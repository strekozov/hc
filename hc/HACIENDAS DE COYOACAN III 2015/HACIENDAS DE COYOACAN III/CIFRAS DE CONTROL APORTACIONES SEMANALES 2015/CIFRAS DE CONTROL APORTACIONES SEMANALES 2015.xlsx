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sala\Documents\HACIENDAS DE COYOACAN III\HACIENDAS DE COYOACAN III\CIFRAS DE CONTROL APORTACIONES SEMANALES 2015\"/>
    </mc:Choice>
  </mc:AlternateContent>
  <bookViews>
    <workbookView xWindow="240" yWindow="480" windowWidth="20115" windowHeight="7125" firstSheet="9" activeTab="12"/>
  </bookViews>
  <sheets>
    <sheet name="C C portaciones DIC 13" sheetId="1" r:id="rId1"/>
    <sheet name="C C portaciones ENE 15" sheetId="5" r:id="rId2"/>
    <sheet name="C C aportaciones FEB 15 " sheetId="6" r:id="rId3"/>
    <sheet name="C C aportaciones MAR 15  " sheetId="7" r:id="rId4"/>
    <sheet name="C C aportaciones ABR 15    (2)" sheetId="9" r:id="rId5"/>
    <sheet name="C C aportaciones MAY 15    (2)" sheetId="12" r:id="rId6"/>
    <sheet name="C C aportaciones JUN 15    (2)" sheetId="13" r:id="rId7"/>
    <sheet name="C C aportaciones JUL 15    (2" sheetId="15" r:id="rId8"/>
    <sheet name="C C aportaciones AGO 15     (3" sheetId="14" r:id="rId9"/>
    <sheet name="C C aportaciones SEPT 15   (2" sheetId="16" r:id="rId10"/>
    <sheet name="C C aportaciones OCT 15 (2)" sheetId="17" r:id="rId11"/>
    <sheet name="C C aportaciones NOV 15   ( (3" sheetId="18" r:id="rId12"/>
    <sheet name="C C aportaciones DIC 15  " sheetId="8" r:id="rId13"/>
    <sheet name="Hoja1" sheetId="10" r:id="rId14"/>
    <sheet name="Hoja2" sheetId="11" r:id="rId15"/>
  </sheets>
  <definedNames>
    <definedName name="_xlnm.Print_Area" localSheetId="4">'C C aportaciones ABR 15    (2)'!$A$1:$O$4</definedName>
    <definedName name="_xlnm.Print_Area" localSheetId="8">'C C aportaciones AGO 15     (3'!$A$1:$O$4</definedName>
    <definedName name="_xlnm.Print_Area" localSheetId="12">'C C aportaciones DIC 15  '!$A$1:$O$4</definedName>
    <definedName name="_xlnm.Print_Area" localSheetId="2">'C C aportaciones FEB 15 '!$A$1:$O$73</definedName>
    <definedName name="_xlnm.Print_Area" localSheetId="7">'C C aportaciones JUL 15    (2'!$A$1:$O$4</definedName>
    <definedName name="_xlnm.Print_Area" localSheetId="6">'C C aportaciones JUN 15    (2)'!$A$1:$O$4</definedName>
    <definedName name="_xlnm.Print_Area" localSheetId="3">'C C aportaciones MAR 15  '!$A$1:$O$4</definedName>
    <definedName name="_xlnm.Print_Area" localSheetId="5">'C C aportaciones MAY 15    (2)'!$A$1:$O$4</definedName>
    <definedName name="_xlnm.Print_Area" localSheetId="11">'C C aportaciones NOV 15   ( (3'!$A$1:$O$1</definedName>
    <definedName name="_xlnm.Print_Area" localSheetId="10">'C C aportaciones OCT 15 (2)'!$A$1:$O$4</definedName>
    <definedName name="_xlnm.Print_Area" localSheetId="9">'C C aportaciones SEPT 15   (2'!$A$1:$O$4</definedName>
    <definedName name="_xlnm.Print_Area" localSheetId="0">'C C portaciones DIC 13'!$A$1:$O$69</definedName>
    <definedName name="_xlnm.Print_Area" localSheetId="1">'C C portaciones ENE 15'!$A$1:$O$72</definedName>
    <definedName name="_xlnm.Print_Titles" localSheetId="4">'C C aportaciones ABR 15    (2)'!$1:$4</definedName>
    <definedName name="_xlnm.Print_Titles" localSheetId="8">'C C aportaciones AGO 15     (3'!$1:$4</definedName>
    <definedName name="_xlnm.Print_Titles" localSheetId="12">'C C aportaciones DIC 15  '!$1:$4</definedName>
    <definedName name="_xlnm.Print_Titles" localSheetId="2">'C C aportaciones FEB 15 '!$1:$7</definedName>
    <definedName name="_xlnm.Print_Titles" localSheetId="7">'C C aportaciones JUL 15    (2'!$1:$4</definedName>
    <definedName name="_xlnm.Print_Titles" localSheetId="6">'C C aportaciones JUN 15    (2)'!$1:$4</definedName>
    <definedName name="_xlnm.Print_Titles" localSheetId="3">'C C aportaciones MAR 15  '!$1:$4</definedName>
    <definedName name="_xlnm.Print_Titles" localSheetId="5">'C C aportaciones MAY 15    (2)'!$1:$4</definedName>
    <definedName name="_xlnm.Print_Titles" localSheetId="11">'C C aportaciones NOV 15   ( (3'!$1:$4</definedName>
    <definedName name="_xlnm.Print_Titles" localSheetId="10">'C C aportaciones OCT 15 (2)'!$1:$4</definedName>
    <definedName name="_xlnm.Print_Titles" localSheetId="9">'C C aportaciones SEPT 15   (2'!$1:$4</definedName>
    <definedName name="_xlnm.Print_Titles" localSheetId="0">'C C portaciones DIC 13'!$1:$7</definedName>
    <definedName name="_xlnm.Print_Titles" localSheetId="1">'C C portaciones ENE 15'!$1:$7</definedName>
  </definedNames>
  <calcPr calcId="171027"/>
</workbook>
</file>

<file path=xl/calcChain.xml><?xml version="1.0" encoding="utf-8"?>
<calcChain xmlns="http://schemas.openxmlformats.org/spreadsheetml/2006/main">
  <c r="K6" i="16" l="1"/>
  <c r="K6" i="9"/>
  <c r="B6" i="9"/>
  <c r="E6" i="9"/>
  <c r="H6" i="9"/>
  <c r="B6" i="17" l="1"/>
  <c r="H6" i="16" l="1"/>
  <c r="E6" i="16" l="1"/>
  <c r="N3" i="18" l="1"/>
  <c r="M3" i="18"/>
  <c r="K3" i="18"/>
  <c r="J3" i="18"/>
  <c r="H3" i="18"/>
  <c r="G3" i="18"/>
  <c r="E3" i="18"/>
  <c r="D3" i="18"/>
  <c r="B3" i="18"/>
  <c r="A3" i="18"/>
  <c r="N6" i="17"/>
  <c r="M6" i="17"/>
  <c r="K6" i="17"/>
  <c r="J6" i="17"/>
  <c r="H6" i="17"/>
  <c r="G6" i="17"/>
  <c r="E6" i="17"/>
  <c r="D6" i="17"/>
  <c r="A6" i="17"/>
  <c r="I3" i="17"/>
  <c r="F3" i="17"/>
  <c r="N6" i="16"/>
  <c r="M6" i="16"/>
  <c r="J6" i="16"/>
  <c r="G6" i="16"/>
  <c r="D6" i="16"/>
  <c r="B6" i="16"/>
  <c r="A6" i="16"/>
  <c r="I3" i="16"/>
  <c r="F3" i="16"/>
  <c r="N6" i="15"/>
  <c r="M6" i="15"/>
  <c r="K6" i="15"/>
  <c r="J6" i="15"/>
  <c r="H6" i="15"/>
  <c r="G6" i="15"/>
  <c r="E6" i="15"/>
  <c r="D6" i="15"/>
  <c r="B6" i="15"/>
  <c r="A6" i="15"/>
  <c r="I3" i="15"/>
  <c r="F3" i="15"/>
  <c r="N6" i="14"/>
  <c r="M6" i="14"/>
  <c r="K6" i="14"/>
  <c r="J6" i="14"/>
  <c r="H6" i="14"/>
  <c r="G6" i="14"/>
  <c r="E6" i="14"/>
  <c r="D6" i="14"/>
  <c r="B6" i="14"/>
  <c r="A6" i="14"/>
  <c r="I3" i="14"/>
  <c r="F3" i="14"/>
  <c r="N6" i="13"/>
  <c r="M6" i="13"/>
  <c r="K6" i="13"/>
  <c r="J6" i="13"/>
  <c r="H6" i="13"/>
  <c r="G6" i="13"/>
  <c r="E6" i="13"/>
  <c r="D6" i="13"/>
  <c r="B6" i="13"/>
  <c r="A6" i="13"/>
  <c r="I3" i="13"/>
  <c r="F3" i="13"/>
  <c r="Q3" i="18" l="1"/>
  <c r="R3" i="18"/>
  <c r="R6" i="17"/>
  <c r="Q6" i="17"/>
  <c r="R6" i="16"/>
  <c r="Q6" i="16"/>
  <c r="R6" i="14"/>
  <c r="Q6" i="14"/>
  <c r="R6" i="15"/>
  <c r="Q6" i="15"/>
  <c r="R6" i="13"/>
  <c r="Q6" i="13"/>
  <c r="N6" i="12"/>
  <c r="M6" i="12"/>
  <c r="K6" i="12"/>
  <c r="J6" i="12"/>
  <c r="H6" i="12"/>
  <c r="G6" i="12"/>
  <c r="E6" i="12"/>
  <c r="D6" i="12"/>
  <c r="B6" i="12"/>
  <c r="A6" i="12"/>
  <c r="I3" i="12"/>
  <c r="F3" i="12"/>
  <c r="Q6" i="12" l="1"/>
  <c r="R6" i="12"/>
  <c r="N6" i="9"/>
  <c r="R6" i="9" s="1"/>
  <c r="M6" i="9"/>
  <c r="J6" i="9"/>
  <c r="G6" i="9"/>
  <c r="D6" i="9"/>
  <c r="A6" i="9"/>
  <c r="I3" i="9"/>
  <c r="F3" i="9"/>
  <c r="Q6" i="9" l="1"/>
  <c r="N6" i="8"/>
  <c r="M6" i="8"/>
  <c r="K6" i="8"/>
  <c r="J6" i="8"/>
  <c r="H6" i="8"/>
  <c r="G6" i="8"/>
  <c r="E6" i="8"/>
  <c r="D6" i="8"/>
  <c r="B6" i="8"/>
  <c r="A6" i="8"/>
  <c r="I3" i="8"/>
  <c r="F3" i="8"/>
  <c r="Q6" i="8" l="1"/>
  <c r="R6" i="8"/>
  <c r="K6" i="6" l="1"/>
  <c r="E6" i="6"/>
  <c r="B6" i="6"/>
  <c r="N6" i="7" l="1"/>
  <c r="M6" i="7"/>
  <c r="K6" i="7"/>
  <c r="J6" i="7"/>
  <c r="H6" i="7"/>
  <c r="G6" i="7"/>
  <c r="E6" i="7"/>
  <c r="D6" i="7"/>
  <c r="B6" i="7"/>
  <c r="A6" i="7"/>
  <c r="I3" i="7"/>
  <c r="F3" i="7"/>
  <c r="R6" i="7" l="1"/>
  <c r="Q6" i="7"/>
  <c r="N6" i="6"/>
  <c r="M6" i="6"/>
  <c r="J6" i="6"/>
  <c r="H6" i="6"/>
  <c r="G6" i="6"/>
  <c r="D6" i="6"/>
  <c r="A6" i="6"/>
  <c r="Q6" i="6" l="1"/>
  <c r="R6" i="6"/>
  <c r="F3" i="6"/>
  <c r="I3" i="6"/>
  <c r="K6" i="5"/>
  <c r="J6" i="5"/>
  <c r="H6" i="5"/>
  <c r="G6" i="5"/>
  <c r="E6" i="5"/>
  <c r="D6" i="5"/>
  <c r="B6" i="5"/>
  <c r="A6" i="5"/>
  <c r="N6" i="1"/>
  <c r="M6" i="1"/>
  <c r="K6" i="1"/>
  <c r="J6" i="1"/>
  <c r="H6" i="1"/>
  <c r="G6" i="1"/>
  <c r="E6" i="1"/>
  <c r="D6" i="1"/>
  <c r="A6" i="1"/>
  <c r="B6" i="1"/>
  <c r="M6" i="5" l="1"/>
  <c r="F3" i="5" s="1"/>
  <c r="N6" i="5"/>
  <c r="I3" i="5" s="1"/>
  <c r="F3" i="1"/>
  <c r="I3" i="1"/>
</calcChain>
</file>

<file path=xl/comments1.xml><?xml version="1.0" encoding="utf-8"?>
<comments xmlns="http://schemas.openxmlformats.org/spreadsheetml/2006/main">
  <authors>
    <author>Bsala</author>
  </authors>
  <commentList>
    <comment ref="E10" authorId="0" shape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pago se aplicó al mes de junio por transferencia bancaria
</t>
        </r>
      </text>
    </comment>
    <comment ref="E12" authorId="0" shape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pago se aplicó al mes de junio por transferencia bancaria
</t>
        </r>
      </text>
    </comment>
    <comment ref="E14" authorId="0" shapeId="0">
      <text>
        <r>
          <rPr>
            <b/>
            <sz val="9"/>
            <color indexed="81"/>
            <rFont val="Tahoma"/>
            <family val="2"/>
          </rPr>
          <t>Bsala:</t>
        </r>
        <r>
          <rPr>
            <sz val="9"/>
            <color indexed="81"/>
            <rFont val="Tahoma"/>
            <family val="2"/>
          </rPr>
          <t xml:space="preserve">
Este pago se aplico al mes de junio por transferancia bancaria
</t>
        </r>
      </text>
    </comment>
  </commentList>
</comments>
</file>

<file path=xl/sharedStrings.xml><?xml version="1.0" encoding="utf-8"?>
<sst xmlns="http://schemas.openxmlformats.org/spreadsheetml/2006/main" count="2602" uniqueCount="573">
  <si>
    <t>1a. Semana</t>
  </si>
  <si>
    <t>Recibo</t>
  </si>
  <si>
    <t>Observación</t>
  </si>
  <si>
    <t>Importe</t>
  </si>
  <si>
    <t>2a. Semana</t>
  </si>
  <si>
    <t>3a. Semana</t>
  </si>
  <si>
    <t>4a. Semana</t>
  </si>
  <si>
    <t>DICIEMBRE</t>
  </si>
  <si>
    <t>Totales del mes</t>
  </si>
  <si>
    <t>Recibos</t>
  </si>
  <si>
    <t>CIFRAS DE CONTROL DE LAS APOTACIONES DEL MES</t>
  </si>
  <si>
    <t>cancelado</t>
  </si>
  <si>
    <t>Cancelado</t>
  </si>
  <si>
    <t>D. Bancario</t>
  </si>
  <si>
    <t>15_Dic-13</t>
  </si>
  <si>
    <t>enero</t>
  </si>
  <si>
    <t>se usò en enero</t>
  </si>
  <si>
    <t>5a. Semana</t>
  </si>
  <si>
    <t>TOTAL MES</t>
  </si>
  <si>
    <t>Pago de abril a diciembre</t>
  </si>
  <si>
    <t xml:space="preserve">$ 100 por mes y 4 </t>
  </si>
  <si>
    <t>tarjetones</t>
  </si>
  <si>
    <t>Pago diciembre/14</t>
  </si>
  <si>
    <t>Pago 1 tarjeta electrónica</t>
  </si>
  <si>
    <t>Pago sep y dic/14</t>
  </si>
  <si>
    <t>$ 400 por mes</t>
  </si>
  <si>
    <t>Pago dic/14 y ene/15</t>
  </si>
  <si>
    <t>$ 200 por mes</t>
  </si>
  <si>
    <t>Pago oct/nov/14</t>
  </si>
  <si>
    <t xml:space="preserve">Pago enero/15 y 1 </t>
  </si>
  <si>
    <t>tarjetón</t>
  </si>
  <si>
    <t>Pago ago/sep/oct/14</t>
  </si>
  <si>
    <t>Pago may/jun/14</t>
  </si>
  <si>
    <t>$ 300 por mes</t>
  </si>
  <si>
    <t>Pago sep/oct/nov/dic/14</t>
  </si>
  <si>
    <t>Pago 2 tarjetones</t>
  </si>
  <si>
    <t>Pago anualidad</t>
  </si>
  <si>
    <t xml:space="preserve">Pago oct/nov/dic/14 y </t>
  </si>
  <si>
    <t>ene/15 $ 100 por mes</t>
  </si>
  <si>
    <t>Pago ene/feb/15</t>
  </si>
  <si>
    <t>Pago ene/feb/mar/abr/15</t>
  </si>
  <si>
    <t>Pago noviembre/14</t>
  </si>
  <si>
    <t>Pago ene/feb/mar/15</t>
  </si>
  <si>
    <t>Pago 1 tarjetón</t>
  </si>
  <si>
    <t xml:space="preserve">C A N C E L A D O </t>
  </si>
  <si>
    <t>TB</t>
  </si>
  <si>
    <t>Pago nov/dic/14</t>
  </si>
  <si>
    <t>Pago nov/dic/14 y</t>
  </si>
  <si>
    <t>ene/15 $ 150 por mes</t>
  </si>
  <si>
    <t>Pago 1 llave</t>
  </si>
  <si>
    <t xml:space="preserve">Pago nov/dic/14 y </t>
  </si>
  <si>
    <t>ene/15 $ 300 por mes</t>
  </si>
  <si>
    <t>Pago enero/15 y 1</t>
  </si>
  <si>
    <t>tarjeta electrónica</t>
  </si>
  <si>
    <t>y 2 tarjetones</t>
  </si>
  <si>
    <t>y 2 tarjetas electro-</t>
  </si>
  <si>
    <t>nicas</t>
  </si>
  <si>
    <t>y 1 tarjetón</t>
  </si>
  <si>
    <t>Pago de 1 tarjetón y</t>
  </si>
  <si>
    <t>1 llave</t>
  </si>
  <si>
    <t xml:space="preserve">Pago nov/dic/14 </t>
  </si>
  <si>
    <t>Pago sep/oct/nov/</t>
  </si>
  <si>
    <t>dic/14 $ 400 por mes</t>
  </si>
  <si>
    <t>1 tarjetón</t>
  </si>
  <si>
    <t xml:space="preserve">$ 300 por mes y 4 </t>
  </si>
  <si>
    <t>jeta electrónica y 1</t>
  </si>
  <si>
    <t>Pago ene/feb/15, 1</t>
  </si>
  <si>
    <t>llave, 1 tarjeta electró-</t>
  </si>
  <si>
    <t>nica y 4 tarjetones</t>
  </si>
  <si>
    <t>Pago enero/15, 1 tar-</t>
  </si>
  <si>
    <t>Pago enero/15 y</t>
  </si>
  <si>
    <t xml:space="preserve">Pago enero/15 y </t>
  </si>
  <si>
    <t>2 llaves</t>
  </si>
  <si>
    <t>C A N C E L A D O</t>
  </si>
  <si>
    <t>Pago cada depto 1,2 y 3</t>
  </si>
  <si>
    <t>oct/nov/dic/14</t>
  </si>
  <si>
    <t>$ 150 por mes</t>
  </si>
  <si>
    <t>Pago de mayo a dic/15</t>
  </si>
  <si>
    <t>Pago ene/feb/mar/</t>
  </si>
  <si>
    <t>abr/15 $ 400 por mes</t>
  </si>
  <si>
    <t xml:space="preserve">Pago ene/feb/15  </t>
  </si>
  <si>
    <t>$ 250 por mes</t>
  </si>
  <si>
    <t>Pago de enero a dic/15</t>
  </si>
  <si>
    <t xml:space="preserve">$ 300 por mes   </t>
  </si>
  <si>
    <t>Pago sept/oct/14</t>
  </si>
  <si>
    <t>Pago de feb/14 a ene/15</t>
  </si>
  <si>
    <t>$ 100 por mes</t>
  </si>
  <si>
    <t>Pago enero/15 y 1 tarjeta</t>
  </si>
  <si>
    <t>electrónica</t>
  </si>
  <si>
    <t>Pago oct/nov/dic/14</t>
  </si>
  <si>
    <t>Pago agosto/14</t>
  </si>
  <si>
    <t>Pago sep/oct8/nov/dic/14</t>
  </si>
  <si>
    <t>dic/14 ene/15 $ 200</t>
  </si>
  <si>
    <t xml:space="preserve">por mes y 1 tarjetra </t>
  </si>
  <si>
    <t>electrónica 64696</t>
  </si>
  <si>
    <t xml:space="preserve">Pago ene/feb/15 </t>
  </si>
  <si>
    <t>Pago llave</t>
  </si>
  <si>
    <t>Pago anualidad 50%</t>
  </si>
  <si>
    <t xml:space="preserve">ene/feb/15 $ 300 </t>
  </si>
  <si>
    <t xml:space="preserve">por mes   </t>
  </si>
  <si>
    <t>15 $ 400 por mes</t>
  </si>
  <si>
    <t xml:space="preserve">Pago anualidad </t>
  </si>
  <si>
    <t>Pago ene/15 $ 400</t>
  </si>
  <si>
    <t>1 tarjeta electrónica</t>
  </si>
  <si>
    <t>num. 64695</t>
  </si>
  <si>
    <t>Pago 1 tarjeta electró-</t>
  </si>
  <si>
    <t>nica num. 64696</t>
  </si>
  <si>
    <t>nica num. 64697</t>
  </si>
  <si>
    <t>Pago aunualidad</t>
  </si>
  <si>
    <t>Pago enero/15 $ 300</t>
  </si>
  <si>
    <t>1 llave y 1 tarjeta</t>
  </si>
  <si>
    <t>electrónica 64698</t>
  </si>
  <si>
    <t>nica num. 64699</t>
  </si>
  <si>
    <t xml:space="preserve">Pago abr/may/15 </t>
  </si>
  <si>
    <t>Pago febrero/15</t>
  </si>
  <si>
    <t>Pago enero/15</t>
  </si>
  <si>
    <t>Pago feb/15 $ 200, 3 tarje-</t>
  </si>
  <si>
    <t>tones y 2 tarjetas electró-</t>
  </si>
  <si>
    <t>nicas 64701 y 64702</t>
  </si>
  <si>
    <t xml:space="preserve">Pago sep/oct/14 </t>
  </si>
  <si>
    <t>Pago anualidad y se le con-</t>
  </si>
  <si>
    <t>dona el mes de diciembre</t>
  </si>
  <si>
    <t>y compro 1 llave</t>
  </si>
  <si>
    <t>$ 400 por mes y 1 llave</t>
  </si>
  <si>
    <t>Pago dic/14 y ene/feb/15</t>
  </si>
  <si>
    <t>Pago 1 trarjeta electrónica</t>
  </si>
  <si>
    <t>num. 64707</t>
  </si>
  <si>
    <t>Pago ene/feb/15 $ 400</t>
  </si>
  <si>
    <t>por mes</t>
  </si>
  <si>
    <t>por mes y 2 tarjetas elec-</t>
  </si>
  <si>
    <t>tronicas 64702/64703</t>
  </si>
  <si>
    <t>Pago ene/feb/15 $ 200</t>
  </si>
  <si>
    <t>Pago julio/14</t>
  </si>
  <si>
    <t>Pago tarjeta electrónica</t>
  </si>
  <si>
    <t>Pago febrero/15 y tarjeta</t>
  </si>
  <si>
    <t>electrónica 64705</t>
  </si>
  <si>
    <t>Pago nov/dic/14, ene/feb</t>
  </si>
  <si>
    <t>/15 $ 400 por mes</t>
  </si>
  <si>
    <t>Pago dic/14 ene/feb/15</t>
  </si>
  <si>
    <t>Pago sep/oct/14 $ 400</t>
  </si>
  <si>
    <t>por mes y 1 llave</t>
  </si>
  <si>
    <t>Pago Junio a diciembre/14</t>
  </si>
  <si>
    <t>ene/feb/15 $ 100 por mes</t>
  </si>
  <si>
    <t>Pago dic/14 y feb/15</t>
  </si>
  <si>
    <t>Pago 2 llaves</t>
  </si>
  <si>
    <t>Pago mar/abr/15</t>
  </si>
  <si>
    <t xml:space="preserve">Pago feb/15 y 1 tarjeta </t>
  </si>
  <si>
    <t>electrónica 64709</t>
  </si>
  <si>
    <t>Pago feb/15 y 1 llave</t>
  </si>
  <si>
    <t>Pago oct/nov/15</t>
  </si>
  <si>
    <t>Pano nov/dic/14</t>
  </si>
  <si>
    <t>Pago feb/mar/15</t>
  </si>
  <si>
    <t>Pago nov/dic/14 y ene/15</t>
  </si>
  <si>
    <t>Pago nov/dic/14 y ene/</t>
  </si>
  <si>
    <t>feb/15 $ 400 por mes</t>
  </si>
  <si>
    <t>electrónica 64710</t>
  </si>
  <si>
    <t>electrónica 64711</t>
  </si>
  <si>
    <t>Pago enero/febrero/15</t>
  </si>
  <si>
    <t>Pago marzo/abril/15</t>
  </si>
  <si>
    <t>Pago febrero/marzo/15</t>
  </si>
  <si>
    <t xml:space="preserve">Pago enero/15 </t>
  </si>
  <si>
    <t>$ 350 por mes</t>
  </si>
  <si>
    <t xml:space="preserve">$ 400 por mes </t>
  </si>
  <si>
    <t>Pago anualidad, se le</t>
  </si>
  <si>
    <t>condona el mes de dic/15</t>
  </si>
  <si>
    <t># 64712</t>
  </si>
  <si>
    <t>Pago 2 tarjetas electróni-</t>
  </si>
  <si>
    <t>cas # 64713 y 64714</t>
  </si>
  <si>
    <t>Pago feb/mar/abr/15</t>
  </si>
  <si>
    <t>Pago ene/feb/15 y 2 lla-</t>
  </si>
  <si>
    <t>ves</t>
  </si>
  <si>
    <t>Pago junio/14</t>
  </si>
  <si>
    <t>Pago de 1 llave</t>
  </si>
  <si>
    <t>Doctor</t>
  </si>
  <si>
    <t>Diferencia</t>
  </si>
  <si>
    <t>por mes y 1 tarjeta elec-</t>
  </si>
  <si>
    <t>tónica 64717</t>
  </si>
  <si>
    <t>Pago marzo y 1 llave</t>
  </si>
  <si>
    <t>Pago feb/mar/15 $ 400</t>
  </si>
  <si>
    <t>tónica 64718</t>
  </si>
  <si>
    <t>Pago ene/feb/15 $ 200}</t>
  </si>
  <si>
    <t xml:space="preserve">por mes  </t>
  </si>
  <si>
    <t>Pago venta bicicleta usada</t>
  </si>
  <si>
    <t>Pago feb/mar/15 $ 300</t>
  </si>
  <si>
    <t xml:space="preserve">Pago ene/fe/15 $ 400 </t>
  </si>
  <si>
    <t>Pago mar/15 y 1 llave</t>
  </si>
  <si>
    <t>Pago feb/mar/15 $ 200</t>
  </si>
  <si>
    <t>Pago ene/feb/mar/abr/</t>
  </si>
  <si>
    <t xml:space="preserve">may/jun/15 $ 300 por </t>
  </si>
  <si>
    <t>mes</t>
  </si>
  <si>
    <t>cas #64719 y 64720</t>
  </si>
  <si>
    <t>Pago de enero a diciembre</t>
  </si>
  <si>
    <t>12 meses $ 400 por mes</t>
  </si>
  <si>
    <t>Pago feb/mar/14 $ 400</t>
  </si>
  <si>
    <t>por mes cheque 614</t>
  </si>
  <si>
    <t>Pago de bajar información</t>
  </si>
  <si>
    <t>de camaras a USB</t>
  </si>
  <si>
    <t>Pago Dic/14 ene/feb/mar/</t>
  </si>
  <si>
    <t># 64731</t>
  </si>
  <si>
    <t>Pago marzo/15 y 1 llave</t>
  </si>
  <si>
    <t>may/15 $ 400 por mes</t>
  </si>
  <si>
    <t>Pago dic/14 ene/feb/mar/</t>
  </si>
  <si>
    <t>abr/ may/15 $ 300 por mes</t>
  </si>
  <si>
    <t>ene/feb/15 $ 300 por mes</t>
  </si>
  <si>
    <t>pago mes diciembre/14</t>
  </si>
  <si>
    <t>este pago se hizo en dic/14</t>
  </si>
  <si>
    <t xml:space="preserve">Pago enero/15 esta pago se </t>
  </si>
  <si>
    <t>hizo en enero/15 TB</t>
  </si>
  <si>
    <t>Pago nov/dic/14 ene/feb/</t>
  </si>
  <si>
    <t>mar/15 $ 400 por mes</t>
  </si>
  <si>
    <t>Pago dic/14 ene/feb/mar/15</t>
  </si>
  <si>
    <t xml:space="preserve"> $ 400 por mes</t>
  </si>
  <si>
    <t>Pago jul/ago/sep/oct/nov/</t>
  </si>
  <si>
    <t>dic/14 $ 150 por mes</t>
  </si>
  <si>
    <t>enero a diciembre, anuali-</t>
  </si>
  <si>
    <t>dad $ 400 por mes</t>
  </si>
  <si>
    <t>Pago abr/may/jun/jul/ago/</t>
  </si>
  <si>
    <t>sep/ oct/nov/dic/14</t>
  </si>
  <si>
    <t>Pago jun/jul/ago/sep/oct/</t>
  </si>
  <si>
    <t>nov/dic/14 ene/feb/mar/15</t>
  </si>
  <si>
    <t>$ 250 por mes 2 llaves y 1</t>
  </si>
  <si>
    <t>tarjeta electrónica 64732</t>
  </si>
  <si>
    <t>Pago abril/15</t>
  </si>
  <si>
    <t>Pago 1 tarjeta electróni-</t>
  </si>
  <si>
    <t>ca 64737</t>
  </si>
  <si>
    <t xml:space="preserve">Pago por información </t>
  </si>
  <si>
    <t>descargada a USB</t>
  </si>
  <si>
    <t>Pago marzo/15 y 2 tarjeta</t>
  </si>
  <si>
    <t># 64733 y # 64734</t>
  </si>
  <si>
    <t>Pago marzo/15</t>
  </si>
  <si>
    <t># 64735</t>
  </si>
  <si>
    <t>Pago de enero a junio</t>
  </si>
  <si>
    <t>Pago mar/abr/may/15</t>
  </si>
  <si>
    <t>Pago ago/sep/oct/nov/</t>
  </si>
  <si>
    <t xml:space="preserve">dic/14 ene/feb/mar y </t>
  </si>
  <si>
    <t>Pago mar/abr/15 $ 150</t>
  </si>
  <si>
    <t xml:space="preserve">Pago mar/abr/15 </t>
  </si>
  <si>
    <t># 1583</t>
  </si>
  <si>
    <t>Pago mayo</t>
  </si>
  <si>
    <t>Pago mar/abr/15 $ 400</t>
  </si>
  <si>
    <t>trónica # 64736</t>
  </si>
  <si>
    <t>Pago feb/mar/abr/15 y 1</t>
  </si>
  <si>
    <t>tarjeta electrónica #64738</t>
  </si>
  <si>
    <t>Pago abr/may/15 $ 200</t>
  </si>
  <si>
    <t>trónica # 64739</t>
  </si>
  <si>
    <t xml:space="preserve">Pago abr/may/15 $ 400 </t>
  </si>
  <si>
    <t>Pago mar/abr/15 $ 200 p</t>
  </si>
  <si>
    <t>Pago ene/feb/15 $ 300</t>
  </si>
  <si>
    <t>Pago mayo/15</t>
  </si>
  <si>
    <t>Pago feb/mar/15 $  100</t>
  </si>
  <si>
    <t>Pago febrero/15 $ 400</t>
  </si>
  <si>
    <t>este pago fue de marzo</t>
  </si>
  <si>
    <t># 1584</t>
  </si>
  <si>
    <t>Pago abril/15 y 1 llave</t>
  </si>
  <si>
    <t>Pago mar/abri/15</t>
  </si>
  <si>
    <t># 1585</t>
  </si>
  <si>
    <t># 1586</t>
  </si>
  <si>
    <t xml:space="preserve">se le condono el mes de </t>
  </si>
  <si>
    <t>Pago ene/feb/mar/14</t>
  </si>
  <si>
    <t>Pago abr/may/jun/15</t>
  </si>
  <si>
    <t>Pago may/jun/15</t>
  </si>
  <si>
    <t>Pago abr/may/15</t>
  </si>
  <si>
    <t>Pago abri/may/15</t>
  </si>
  <si>
    <t># 64740</t>
  </si>
  <si>
    <t># 6781</t>
  </si>
  <si>
    <t># 1587</t>
  </si>
  <si>
    <t>Pago de enero a agosto/15</t>
  </si>
  <si>
    <t>Pago mayo y 1 llave</t>
  </si>
  <si>
    <t># 1588</t>
  </si>
  <si>
    <t>Pago abr/may/jun/jul/ago</t>
  </si>
  <si>
    <t>sep/oct/nov/dic/15</t>
  </si>
  <si>
    <t>Pago feb/mar/abr/may/15</t>
  </si>
  <si>
    <t>Pago may/jun/jul/15</t>
  </si>
  <si>
    <t>Pagp abr/may/15</t>
  </si>
  <si>
    <t>Pago junio/15</t>
  </si>
  <si>
    <t>Pago 3 tarjetas electrónica</t>
  </si>
  <si>
    <t>Pago  1 llave electrónica</t>
  </si>
  <si>
    <t>Pago mayo y 1 tarjeta</t>
  </si>
  <si>
    <t>electrónica 6785</t>
  </si>
  <si>
    <t>electrónica 7162</t>
  </si>
  <si>
    <t>electrónica 7133</t>
  </si>
  <si>
    <t>Pago mar/abr/may/jun/15</t>
  </si>
  <si>
    <t>Pago mayo/15 y 1 tarjeta</t>
  </si>
  <si>
    <t>electrónica 7136</t>
  </si>
  <si>
    <t>Pago marzo</t>
  </si>
  <si>
    <t>Pago abr/may/jun/jul/15</t>
  </si>
  <si>
    <t>may/jun/15 $ 400 por mes</t>
  </si>
  <si>
    <t>1 llave y 2 tarjetas electró-</t>
  </si>
  <si>
    <t>nicas 7134 y 7135</t>
  </si>
  <si>
    <t>Este recibo no esta fisica-</t>
  </si>
  <si>
    <t>mente y no se cobró</t>
  </si>
  <si>
    <t>Pago jun/jul/ago/15</t>
  </si>
  <si>
    <t>Pago mayo/15 y 1 llave</t>
  </si>
  <si>
    <t>Compro 1 llave</t>
  </si>
  <si>
    <t>Pago ene/feb/mar/155</t>
  </si>
  <si>
    <t>$ 400 por mes y 2 llaves</t>
  </si>
  <si>
    <t xml:space="preserve">$ 400 por mes   </t>
  </si>
  <si>
    <t>Pago jun/15 y 1 llave</t>
  </si>
  <si>
    <t>Pago jun/15 1 llave y 2</t>
  </si>
  <si>
    <t>tarjetas electrónicas</t>
  </si>
  <si>
    <t># 5751 y 5752</t>
  </si>
  <si>
    <t>Pago 1 tarjeta # 5753</t>
  </si>
  <si>
    <t>Pago 1 tarjeta # 5754</t>
  </si>
  <si>
    <t>Pago jun/jul/15</t>
  </si>
  <si>
    <t>Pago 1 tarjeta # 7138</t>
  </si>
  <si>
    <t xml:space="preserve">Pago mayo/15  </t>
  </si>
  <si>
    <t xml:space="preserve">Pago mes de mayo y fue </t>
  </si>
  <si>
    <t>transferencia bancaria</t>
  </si>
  <si>
    <t>en el mes de mayo</t>
  </si>
  <si>
    <t>Pago mes de marzo/15</t>
  </si>
  <si>
    <t>y fue transferencia banca-</t>
  </si>
  <si>
    <t>ría en el mes de mayo</t>
  </si>
  <si>
    <t>Pago mes de junio y 1 tar-</t>
  </si>
  <si>
    <t>jeta electrónica</t>
  </si>
  <si>
    <t>Pago mes de jun/jul/15</t>
  </si>
  <si>
    <t>Pago may/jun/jul/ago/15</t>
  </si>
  <si>
    <t>Pago junio/15 y 1 tarjeta</t>
  </si>
  <si>
    <t>electrónica # 5756</t>
  </si>
  <si>
    <t>Pago feb/mar/abr/may/</t>
  </si>
  <si>
    <t>jun/15 $ 400 por mes</t>
  </si>
  <si>
    <t>Pago julio/15</t>
  </si>
  <si>
    <t>Pago julio/15 y 1 llave</t>
  </si>
  <si>
    <t>Pago jul/ago/15 y 1 llave</t>
  </si>
  <si>
    <t>$200 por mes</t>
  </si>
  <si>
    <t>Pago jul/ago/15</t>
  </si>
  <si>
    <t># 5758</t>
  </si>
  <si>
    <t>Pago jun/jul/15 $ 400 por</t>
  </si>
  <si>
    <t>mes y 1 tarjeta electrónica</t>
  </si>
  <si>
    <t># 5759</t>
  </si>
  <si>
    <t xml:space="preserve">mes  </t>
  </si>
  <si>
    <t># 5760</t>
  </si>
  <si>
    <t>Pago abr/may/15 $ 400 por</t>
  </si>
  <si>
    <t># 5602</t>
  </si>
  <si>
    <t xml:space="preserve">Pago 1 llave y 1 tarjeta </t>
  </si>
  <si>
    <t>electrónica # 5608</t>
  </si>
  <si>
    <t>Pago jun/jul/15 $ 300 por</t>
  </si>
  <si>
    <t>Pago may/jun /15 $ 200</t>
  </si>
  <si>
    <t># 5609</t>
  </si>
  <si>
    <t>Pago mar/abr/15 $ 200 por</t>
  </si>
  <si>
    <t># 5610</t>
  </si>
  <si>
    <t>may/jun/jul/15 $ 400 por</t>
  </si>
  <si>
    <t># 1706</t>
  </si>
  <si>
    <t>Pago junio a diciembre/15</t>
  </si>
  <si>
    <t>Pago de enero a julio/15</t>
  </si>
  <si>
    <t>Pago ago/sep/oct/15</t>
  </si>
  <si>
    <t>Pago mar/abr/may/jun/</t>
  </si>
  <si>
    <t>jul/15 $ 200 por mes</t>
  </si>
  <si>
    <t>Pago ago/sep/15</t>
  </si>
  <si>
    <t>Pago de enero a junio/15</t>
  </si>
  <si>
    <t>Pago jul/ago/sep/15</t>
  </si>
  <si>
    <t>Pago julio/15 1 llave y 1</t>
  </si>
  <si>
    <t>tarjeta electrónica 1705</t>
  </si>
  <si>
    <t>electrónica # 1706</t>
  </si>
  <si>
    <t>Pago ago/sept/15</t>
  </si>
  <si>
    <t>Pago agosto/15</t>
  </si>
  <si>
    <t># 5601</t>
  </si>
  <si>
    <t>Pago jul/ago/sep/oct/nov</t>
  </si>
  <si>
    <t>dic/15 y ene/16</t>
  </si>
  <si>
    <t>$ 200 por mes y 1 tarjeta</t>
  </si>
  <si>
    <t>electrónica # 5604</t>
  </si>
  <si>
    <t>Pago de enero a agosto</t>
  </si>
  <si>
    <t># 5403</t>
  </si>
  <si>
    <t>Pago de febrero a agosto</t>
  </si>
  <si>
    <t>Pago sep/oct/nov/dic/15</t>
  </si>
  <si>
    <t>Pago de febrero a junio/15</t>
  </si>
  <si>
    <t>jul/ago/15 $ 300 por mes</t>
  </si>
  <si>
    <t>Pago sept/oct/15</t>
  </si>
  <si>
    <t># 5761</t>
  </si>
  <si>
    <t>Pago jul/15 y 1 llave</t>
  </si>
  <si>
    <t>Pago de enero a mayo/15</t>
  </si>
  <si>
    <t>Pago agosto/15 y 1 llave</t>
  </si>
  <si>
    <t>Pago agosto/15 y 1 tarjeta</t>
  </si>
  <si>
    <t>electrónica # 5611</t>
  </si>
  <si>
    <t>Tarjeta a la Iglesia San</t>
  </si>
  <si>
    <t>Judas Tadeo S/C</t>
  </si>
  <si>
    <t>cas # 5613 u 5614</t>
  </si>
  <si>
    <t>Pago ago/sep/15 $ 200</t>
  </si>
  <si>
    <t>trónicas #5619 y 5616</t>
  </si>
  <si>
    <t>Pago septiembre/15</t>
  </si>
  <si>
    <t>Pago de 2 tarjetas electró-</t>
  </si>
  <si>
    <t>Pago sept/15 y 1 tarjeta</t>
  </si>
  <si>
    <t># 5618</t>
  </si>
  <si>
    <t>Pago abri/may/jun/15</t>
  </si>
  <si>
    <t>Pago septiembre/15 y</t>
  </si>
  <si>
    <t># 5620</t>
  </si>
  <si>
    <t>Pago de 1 tarjeta electró-</t>
  </si>
  <si>
    <t>nica # 5605</t>
  </si>
  <si>
    <t>Pago de septiembre y 1</t>
  </si>
  <si>
    <t># 5606</t>
  </si>
  <si>
    <t>$400 por mes</t>
  </si>
  <si>
    <t>Pago sep/oct/15</t>
  </si>
  <si>
    <t>Pago  jun/jul/ago/sep/15</t>
  </si>
  <si>
    <t>Pago jul/agp/15</t>
  </si>
  <si>
    <t>Pago abr/may/jun/jul/</t>
  </si>
  <si>
    <t>ago/15 $ 400 por mes</t>
  </si>
  <si>
    <t>Pano junio/15</t>
  </si>
  <si>
    <t>Pago jun/jul/ago/sep/15</t>
  </si>
  <si>
    <t>Pago septiembre/15 1 lla-</t>
  </si>
  <si>
    <t>ve y 3 tarjetas electrónicas</t>
  </si>
  <si>
    <t>#5762, 5763 y 5765</t>
  </si>
  <si>
    <t>Pago 1 llave y 1 tarjeta</t>
  </si>
  <si>
    <t>electrónica # 5769</t>
  </si>
  <si>
    <t xml:space="preserve">Pago 1 llave  </t>
  </si>
  <si>
    <t>Pago octubre/15</t>
  </si>
  <si>
    <t>Pago may/jun/jul/ago/sep</t>
  </si>
  <si>
    <t># 5788</t>
  </si>
  <si>
    <t># 5770</t>
  </si>
  <si>
    <t>$  200 por mes</t>
  </si>
  <si>
    <t># 5787</t>
  </si>
  <si>
    <t>Pago septiembre y 1 llave</t>
  </si>
  <si>
    <t>Pago 3 llaves</t>
  </si>
  <si>
    <t>Pago may/jun/jul/ago/</t>
  </si>
  <si>
    <t>sept/15 $ 380 por mes</t>
  </si>
  <si>
    <t>y 2 tarjetas electronicas</t>
  </si>
  <si>
    <t>Recibo transf. Bancaría</t>
  </si>
  <si>
    <t>nicas # 5767 y 5781</t>
  </si>
  <si>
    <t>Pago ago/sept/oct/15</t>
  </si>
  <si>
    <t>Pago agostos/15</t>
  </si>
  <si>
    <t>Pago octubre/15 y 1 llave</t>
  </si>
  <si>
    <t>Pago octubre y 1 tarjeta</t>
  </si>
  <si>
    <t>electrónica # 5785</t>
  </si>
  <si>
    <t>Pago noviembre/15</t>
  </si>
  <si>
    <t>Pago jun/jul/ago/sept/oct</t>
  </si>
  <si>
    <t>Pago 3 tarjetas electróni-</t>
  </si>
  <si>
    <t>cas # 5782, 5783, 5786</t>
  </si>
  <si>
    <t>Pago anualidad, se le con-</t>
  </si>
  <si>
    <t xml:space="preserve">Pago tarjeta electrónica </t>
  </si>
  <si>
    <t># 5784</t>
  </si>
  <si>
    <t>Pago jul/ago/sept/15</t>
  </si>
  <si>
    <t>y 1 llave</t>
  </si>
  <si>
    <t>Pago ago/sept/oct/nov/15</t>
  </si>
  <si>
    <t>Pago oct/nov/dic/15</t>
  </si>
  <si>
    <t>nica # 5636 y 1 llave</t>
  </si>
  <si>
    <t># 5637</t>
  </si>
  <si>
    <t>Pago jul/ago/sept/oct/15</t>
  </si>
  <si>
    <t>Pago mar/abri/mar/jun/</t>
  </si>
  <si>
    <t>jul/ago/sept/</t>
  </si>
  <si>
    <t>Pago nov/dic/15</t>
  </si>
  <si>
    <t>Pago diciembre/15</t>
  </si>
  <si>
    <t>Pago sept/oct/nov/dic/15</t>
  </si>
  <si>
    <t>Pago septiembre</t>
  </si>
  <si>
    <t>electrónica # 5635</t>
  </si>
  <si>
    <t># 5640</t>
  </si>
  <si>
    <t># 5638</t>
  </si>
  <si>
    <t>Pago oct/nov/dic/</t>
  </si>
  <si>
    <t>Pago junio y septiembre</t>
  </si>
  <si>
    <t>Pago septiembre y octubre</t>
  </si>
  <si>
    <t>Pago agosto/septiembre</t>
  </si>
  <si>
    <t>Pago tareta electrónica</t>
  </si>
  <si>
    <t># 1020</t>
  </si>
  <si>
    <t xml:space="preserve"> </t>
  </si>
  <si>
    <t>Pago agosto y septiembre</t>
  </si>
  <si>
    <t>Pago octubre y 1 llave</t>
  </si>
  <si>
    <t>Pago julio y agosto</t>
  </si>
  <si>
    <t>Transferencia bancaria</t>
  </si>
  <si>
    <t>se uso en el mes de sept</t>
  </si>
  <si>
    <t>Pago jul/ago/sep/oct/</t>
  </si>
  <si>
    <t>nov/dic/15 $ 400 por mes</t>
  </si>
  <si>
    <t>Pago 4 tarjetas electróni-</t>
  </si>
  <si>
    <t>cas # 5632m 5633m 1014  y</t>
  </si>
  <si>
    <t>Pago 1 tarjeta # 1015</t>
  </si>
  <si>
    <t>dic/15 $ 400 por mes</t>
  </si>
  <si>
    <t>dic/15 $ 100 por mes</t>
  </si>
  <si>
    <t>Pago sep/15 1 1 llave</t>
  </si>
  <si>
    <t>Pago noviembre</t>
  </si>
  <si>
    <t>Pago 1 tarjeta # 1017</t>
  </si>
  <si>
    <t>Pago abril/mayo/15</t>
  </si>
  <si>
    <t>Pago 1 tarjeta # 1018</t>
  </si>
  <si>
    <t>Pago jun/jul/ago/sep/oct</t>
  </si>
  <si>
    <t>Pgo sep/oct/15</t>
  </si>
  <si>
    <t>Pago jul/ago/sep/ oct/15</t>
  </si>
  <si>
    <t>NO ESTA FISICAMENTE</t>
  </si>
  <si>
    <t>Pago jul/ago/sep/oct/15</t>
  </si>
  <si>
    <t xml:space="preserve">Pago anualidad y se le </t>
  </si>
  <si>
    <t>condonó el mes de dic/15</t>
  </si>
  <si>
    <t>Pago oct/nov/</t>
  </si>
  <si>
    <t>$ 250.00 por mes</t>
  </si>
  <si>
    <t>Pago mar/abr/may/jun/jul/</t>
  </si>
  <si>
    <t>ago/sep/oct/nov/15</t>
  </si>
  <si>
    <t>Pao de mes de octubre y 1</t>
  </si>
  <si>
    <t xml:space="preserve">llave </t>
  </si>
  <si>
    <t>Pago de julio a diciembre/15</t>
  </si>
  <si>
    <t># 1003</t>
  </si>
  <si>
    <t># 1007</t>
  </si>
  <si>
    <t>Pago sep/oct/nov/15</t>
  </si>
  <si>
    <t>$ 1001</t>
  </si>
  <si>
    <t>Pago sept/oct/nov/15</t>
  </si>
  <si>
    <t>Pago 2 tarjetas electrónicas</t>
  </si>
  <si>
    <t># 1004 y 1005</t>
  </si>
  <si>
    <t>Pago nov/15 1 llave y 1</t>
  </si>
  <si>
    <t>T.E. # 1019</t>
  </si>
  <si>
    <t>$ 400 por me</t>
  </si>
  <si>
    <t>TRANSFERENCIA BANCARIA</t>
  </si>
  <si>
    <t>Pago de abril a noviembre</t>
  </si>
  <si>
    <t>15/ $ 400 por mes</t>
  </si>
  <si>
    <t>Pago nov/15 1 T.E.  #1006</t>
  </si>
  <si>
    <t>Pago de mayo a diciembre</t>
  </si>
  <si>
    <t>15 $ 300 por mes</t>
  </si>
  <si>
    <t>Che. 627 santander</t>
  </si>
  <si>
    <t>Pago nov/15 y 1 llave</t>
  </si>
  <si>
    <t>Pago 1 T.E. # 1035</t>
  </si>
  <si>
    <t>Pago may/jun/jul/ago/sep/</t>
  </si>
  <si>
    <t>15/ $ 200 por mes</t>
  </si>
  <si>
    <t xml:space="preserve">Pago oct/nov/15 </t>
  </si>
  <si>
    <t>Pago nov/dic/15 y ene/16</t>
  </si>
  <si>
    <t>Pago nov/ dic/15</t>
  </si>
  <si>
    <t xml:space="preserve">Pago nov/dic/15 </t>
  </si>
  <si>
    <t>$ 1200 por mes</t>
  </si>
  <si>
    <t>Pago de 2 llaves</t>
  </si>
  <si>
    <t>Pago T.E. # 1321</t>
  </si>
  <si>
    <t>Pago T.E. # 1322</t>
  </si>
  <si>
    <t>Pago sep/oct/nov/dic/</t>
  </si>
  <si>
    <t>Pago enero/16</t>
  </si>
  <si>
    <t>$300 por mes</t>
  </si>
  <si>
    <t>Pago T.E. # 1013</t>
  </si>
  <si>
    <t>Pago oct/nov/15 $ 400 por</t>
  </si>
  <si>
    <t>mes y 1 llave</t>
  </si>
  <si>
    <t>Pago 1 T.E. # 1031</t>
  </si>
  <si>
    <t>Pago dic/15 y 1 T.E. # 1034</t>
  </si>
  <si>
    <t>Pago dic/15 y 1 llave</t>
  </si>
  <si>
    <t>Pago T.E. # 1037</t>
  </si>
  <si>
    <t>Pago T.E. # 1038</t>
  </si>
  <si>
    <t xml:space="preserve">Pago feb/mar/15 $ 100 </t>
  </si>
  <si>
    <t>por mes y 2 llaves</t>
  </si>
  <si>
    <t>Pago diciembre/15 y 1 T.E.</t>
  </si>
  <si>
    <t># 1039</t>
  </si>
  <si>
    <t>Pago T.E. # 1032</t>
  </si>
  <si>
    <t>Transferencia bancaría</t>
  </si>
  <si>
    <t>$ 400 pesos</t>
  </si>
  <si>
    <t xml:space="preserve">Pago diciembre/15 y </t>
  </si>
  <si>
    <t>Pago T.E. # 1024</t>
  </si>
  <si>
    <t>Pago oc/nov/dic/15</t>
  </si>
  <si>
    <t>Pago T.E. # 1025</t>
  </si>
  <si>
    <t>dic/15 $ 200 por mes</t>
  </si>
  <si>
    <t>Pago anualidad 2016</t>
  </si>
  <si>
    <t>Pago 1 T.E. # 1026</t>
  </si>
  <si>
    <t>Paog nov/dic/15</t>
  </si>
  <si>
    <t>Pago oct/nov/dic/156</t>
  </si>
  <si>
    <t>Pago dic/15 1 2 llave</t>
  </si>
  <si>
    <t>Pago ene/feb/16</t>
  </si>
  <si>
    <t>Pago 1 T.E. # 1028</t>
  </si>
  <si>
    <t>nov/dic/15  $ 300 por mes</t>
  </si>
  <si>
    <t>y 1 T.E. # 6571</t>
  </si>
  <si>
    <t>Pago T.E. # 6572</t>
  </si>
  <si>
    <t>y 1 T.E. # 1027</t>
  </si>
  <si>
    <t>Pago Nov/dic/15</t>
  </si>
  <si>
    <t>$ 400l por mes</t>
  </si>
  <si>
    <t>Colegio Carmel enero/15</t>
  </si>
  <si>
    <t>Colegio Carmel dic/14</t>
  </si>
  <si>
    <t>Pago feb/15</t>
  </si>
  <si>
    <t>Colegio Carmel marzo/15</t>
  </si>
  <si>
    <t>Colegio Carmel abril/15</t>
  </si>
  <si>
    <t>Colegio Carmel junio/15</t>
  </si>
  <si>
    <t>Colegio Carmel mayo/15</t>
  </si>
  <si>
    <t>liq. Mensualidad</t>
  </si>
  <si>
    <t>tranferencia bancaria</t>
  </si>
  <si>
    <t>Colegio Carmel julio/15</t>
  </si>
  <si>
    <t>Paga ene/feb/mar/15</t>
  </si>
  <si>
    <t>Paga jul/ago/15</t>
  </si>
  <si>
    <t>Paga sep/15 transferencia</t>
  </si>
  <si>
    <t>Paga abril/15 transferen</t>
  </si>
  <si>
    <t>Colegio Carmel ago/15</t>
  </si>
  <si>
    <t>Colegio Carmel sep/15</t>
  </si>
  <si>
    <t>Paga abr/may/jun/15</t>
  </si>
  <si>
    <t>$ 200 por mes transferen</t>
  </si>
  <si>
    <t>Pago sep/15  transferencia</t>
  </si>
  <si>
    <t>Pago oct/15 transferencia</t>
  </si>
  <si>
    <t>Colegio Carmel oct/15</t>
  </si>
  <si>
    <t>Pago nov/15 tranferencia</t>
  </si>
  <si>
    <t>Pago jul/15 transferencia</t>
  </si>
  <si>
    <t>Colegio Carmel nov/15</t>
  </si>
  <si>
    <t>Pago dic/15 transf</t>
  </si>
  <si>
    <t>Colegio Carmel dic/15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</si>
</sst>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;[Red]\-&quot;$&quot;#,##0"/>
    <numFmt numFmtId="165" formatCode="_-* #,##0.00_-;\-* #,##0.00_-;_-* &quot;-&quot;??_-;_-@_-"/>
    <numFmt numFmtId="166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9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0EBB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126">
    <xf numFmtId="0" fontId="0" fillId="0" borderId="0" xfId="0"/>
    <xf numFmtId="166" fontId="4" fillId="2" borderId="0" xfId="1" applyNumberFormat="1" applyFont="1" applyFill="1" applyAlignment="1">
      <alignment vertical="center"/>
    </xf>
    <xf numFmtId="166" fontId="0" fillId="0" borderId="0" xfId="0" applyNumberFormat="1"/>
    <xf numFmtId="14" fontId="6" fillId="0" borderId="0" xfId="0" applyNumberFormat="1" applyFont="1"/>
    <xf numFmtId="166" fontId="6" fillId="0" borderId="0" xfId="0" applyNumberFormat="1" applyFont="1" applyAlignment="1">
      <alignment horizontal="right"/>
    </xf>
    <xf numFmtId="0" fontId="0" fillId="0" borderId="4" xfId="0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6" fontId="4" fillId="2" borderId="0" xfId="1" applyNumberFormat="1" applyFont="1" applyFill="1" applyAlignment="1">
      <alignment horizontal="center" vertical="center"/>
    </xf>
    <xf numFmtId="15" fontId="0" fillId="3" borderId="1" xfId="0" applyNumberForma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1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1" xfId="0" applyFill="1" applyBorder="1" applyAlignment="1">
      <alignment horizontal="center"/>
    </xf>
    <xf numFmtId="0" fontId="0" fillId="7" borderId="0" xfId="0" applyFill="1"/>
    <xf numFmtId="0" fontId="0" fillId="8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15" fontId="5" fillId="8" borderId="1" xfId="0" applyNumberFormat="1" applyFont="1" applyFill="1" applyBorder="1" applyAlignment="1">
      <alignment horizontal="center"/>
    </xf>
    <xf numFmtId="166" fontId="6" fillId="0" borderId="0" xfId="0" applyNumberFormat="1" applyFont="1" applyAlignment="1">
      <alignment horizontal="center"/>
    </xf>
    <xf numFmtId="0" fontId="0" fillId="8" borderId="0" xfId="0" applyFill="1" applyAlignment="1">
      <alignment wrapText="1"/>
    </xf>
    <xf numFmtId="14" fontId="6" fillId="0" borderId="0" xfId="0" applyNumberFormat="1" applyFont="1" applyAlignment="1">
      <alignment horizontal="center"/>
    </xf>
    <xf numFmtId="0" fontId="0" fillId="6" borderId="0" xfId="0" applyFont="1" applyFill="1"/>
    <xf numFmtId="49" fontId="0" fillId="8" borderId="0" xfId="0" applyNumberFormat="1" applyFill="1" applyAlignment="1">
      <alignment horizontal="left"/>
    </xf>
    <xf numFmtId="49" fontId="0" fillId="8" borderId="0" xfId="0" applyNumberFormat="1" applyFill="1"/>
    <xf numFmtId="49" fontId="0" fillId="6" borderId="0" xfId="0" applyNumberFormat="1" applyFill="1" applyAlignment="1">
      <alignment horizontal="left"/>
    </xf>
    <xf numFmtId="49" fontId="0" fillId="4" borderId="0" xfId="0" applyNumberFormat="1" applyFill="1" applyAlignment="1">
      <alignment horizontal="left"/>
    </xf>
    <xf numFmtId="49" fontId="0" fillId="4" borderId="0" xfId="0" applyNumberFormat="1" applyFill="1"/>
    <xf numFmtId="0" fontId="0" fillId="0" borderId="0" xfId="0" applyFill="1" applyAlignment="1">
      <alignment horizontal="center"/>
    </xf>
    <xf numFmtId="15" fontId="5" fillId="0" borderId="1" xfId="0" applyNumberFormat="1" applyFont="1" applyFill="1" applyBorder="1" applyAlignment="1">
      <alignment horizontal="center"/>
    </xf>
    <xf numFmtId="0" fontId="2" fillId="0" borderId="0" xfId="0" applyFont="1"/>
    <xf numFmtId="0" fontId="0" fillId="7" borderId="5" xfId="0" applyFill="1" applyBorder="1" applyAlignment="1">
      <alignment horizontal="center"/>
    </xf>
    <xf numFmtId="166" fontId="9" fillId="9" borderId="0" xfId="0" applyNumberFormat="1" applyFont="1" applyFill="1" applyAlignment="1">
      <alignment vertical="center"/>
    </xf>
    <xf numFmtId="166" fontId="3" fillId="9" borderId="0" xfId="0" applyNumberFormat="1" applyFont="1" applyFill="1" applyAlignment="1">
      <alignment vertical="center"/>
    </xf>
    <xf numFmtId="17" fontId="0" fillId="7" borderId="0" xfId="0" applyNumberFormat="1" applyFill="1"/>
    <xf numFmtId="0" fontId="0" fillId="0" borderId="6" xfId="0" applyBorder="1"/>
    <xf numFmtId="0" fontId="10" fillId="6" borderId="0" xfId="0" applyFont="1" applyFill="1"/>
    <xf numFmtId="39" fontId="9" fillId="9" borderId="0" xfId="0" applyNumberFormat="1" applyFont="1" applyFill="1" applyAlignment="1">
      <alignment vertical="center"/>
    </xf>
    <xf numFmtId="15" fontId="11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5" fontId="11" fillId="6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4" fontId="0" fillId="8" borderId="0" xfId="0" applyNumberForma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5" fillId="10" borderId="0" xfId="0" applyFont="1" applyFill="1"/>
    <xf numFmtId="49" fontId="5" fillId="10" borderId="0" xfId="0" applyNumberFormat="1" applyFont="1" applyFill="1"/>
    <xf numFmtId="0" fontId="0" fillId="10" borderId="0" xfId="0" applyFill="1" applyAlignment="1">
      <alignment horizontal="center"/>
    </xf>
    <xf numFmtId="0" fontId="0" fillId="10" borderId="0" xfId="0" applyFill="1"/>
    <xf numFmtId="49" fontId="0" fillId="10" borderId="0" xfId="0" applyNumberFormat="1" applyFill="1"/>
    <xf numFmtId="0" fontId="5" fillId="10" borderId="0" xfId="0" applyFont="1" applyFill="1" applyBorder="1"/>
    <xf numFmtId="17" fontId="0" fillId="10" borderId="0" xfId="0" applyNumberFormat="1" applyFill="1"/>
    <xf numFmtId="0" fontId="0" fillId="0" borderId="0" xfId="0" applyFill="1"/>
    <xf numFmtId="0" fontId="11" fillId="10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/>
    <xf numFmtId="15" fontId="2" fillId="11" borderId="1" xfId="0" applyNumberFormat="1" applyFont="1" applyFill="1" applyBorder="1" applyAlignment="1">
      <alignment horizontal="center"/>
    </xf>
    <xf numFmtId="0" fontId="12" fillId="0" borderId="0" xfId="0" applyFont="1" applyFill="1" applyAlignment="1">
      <alignment horizontal="center"/>
    </xf>
    <xf numFmtId="0" fontId="12" fillId="0" borderId="0" xfId="0" applyFont="1" applyFill="1"/>
    <xf numFmtId="4" fontId="0" fillId="0" borderId="0" xfId="0" applyNumberFormat="1" applyFill="1" applyAlignment="1">
      <alignment horizontal="center"/>
    </xf>
    <xf numFmtId="4" fontId="0" fillId="5" borderId="0" xfId="0" applyNumberFormat="1" applyFill="1"/>
    <xf numFmtId="164" fontId="0" fillId="11" borderId="0" xfId="0" applyNumberFormat="1" applyFill="1"/>
    <xf numFmtId="0" fontId="0" fillId="6" borderId="0" xfId="0" applyFill="1" applyAlignment="1">
      <alignment horizontal="left"/>
    </xf>
    <xf numFmtId="4" fontId="0" fillId="6" borderId="0" xfId="0" applyNumberFormat="1" applyFill="1"/>
    <xf numFmtId="4" fontId="0" fillId="11" borderId="0" xfId="0" applyNumberFormat="1" applyFill="1"/>
    <xf numFmtId="4" fontId="0" fillId="10" borderId="0" xfId="0" applyNumberFormat="1" applyFill="1"/>
    <xf numFmtId="4" fontId="0" fillId="7" borderId="0" xfId="0" applyNumberFormat="1" applyFill="1"/>
    <xf numFmtId="4" fontId="0" fillId="0" borderId="0" xfId="0" applyNumberFormat="1" applyFill="1"/>
    <xf numFmtId="0" fontId="0" fillId="7" borderId="0" xfId="0" applyFill="1" applyAlignment="1">
      <alignment horizontal="center"/>
    </xf>
    <xf numFmtId="2" fontId="0" fillId="6" borderId="0" xfId="0" applyNumberFormat="1" applyFill="1"/>
    <xf numFmtId="4" fontId="0" fillId="4" borderId="0" xfId="0" applyNumberFormat="1" applyFill="1"/>
    <xf numFmtId="0" fontId="11" fillId="10" borderId="1" xfId="0" applyFont="1" applyFill="1" applyBorder="1" applyAlignment="1">
      <alignment horizontal="center"/>
    </xf>
    <xf numFmtId="4" fontId="5" fillId="10" borderId="0" xfId="0" applyNumberFormat="1" applyFont="1" applyFill="1"/>
    <xf numFmtId="0" fontId="0" fillId="12" borderId="0" xfId="0" applyFill="1" applyAlignment="1">
      <alignment horizontal="center"/>
    </xf>
    <xf numFmtId="4" fontId="0" fillId="12" borderId="0" xfId="0" applyNumberFormat="1" applyFill="1"/>
    <xf numFmtId="0" fontId="0" fillId="12" borderId="0" xfId="0" applyFill="1"/>
    <xf numFmtId="15" fontId="2" fillId="10" borderId="1" xfId="0" applyNumberFormat="1" applyFont="1" applyFill="1" applyBorder="1" applyAlignment="1">
      <alignment horizontal="center"/>
    </xf>
    <xf numFmtId="15" fontId="11" fillId="10" borderId="1" xfId="0" applyNumberFormat="1" applyFont="1" applyFill="1" applyBorder="1" applyAlignment="1">
      <alignment horizontal="center"/>
    </xf>
    <xf numFmtId="15" fontId="2" fillId="7" borderId="1" xfId="0" applyNumberFormat="1" applyFont="1" applyFill="1" applyBorder="1" applyAlignment="1">
      <alignment horizontal="center"/>
    </xf>
    <xf numFmtId="15" fontId="0" fillId="7" borderId="1" xfId="0" applyNumberFormat="1" applyFill="1" applyBorder="1" applyAlignment="1">
      <alignment horizontal="center"/>
    </xf>
    <xf numFmtId="0" fontId="0" fillId="8" borderId="0" xfId="0" applyFill="1" applyAlignment="1">
      <alignment horizontal="left"/>
    </xf>
    <xf numFmtId="164" fontId="5" fillId="10" borderId="0" xfId="0" applyNumberFormat="1" applyFont="1" applyFill="1"/>
    <xf numFmtId="164" fontId="0" fillId="8" borderId="0" xfId="0" applyNumberFormat="1" applyFill="1"/>
    <xf numFmtId="4" fontId="0" fillId="0" borderId="0" xfId="0" applyNumberFormat="1" applyAlignment="1">
      <alignment horizontal="center"/>
    </xf>
    <xf numFmtId="164" fontId="0" fillId="10" borderId="0" xfId="0" applyNumberFormat="1" applyFill="1"/>
    <xf numFmtId="17" fontId="0" fillId="11" borderId="0" xfId="0" applyNumberFormat="1" applyFill="1" applyAlignment="1">
      <alignment horizontal="left"/>
    </xf>
    <xf numFmtId="0" fontId="0" fillId="11" borderId="0" xfId="0" applyFill="1" applyAlignment="1">
      <alignment horizontal="left"/>
    </xf>
    <xf numFmtId="4" fontId="10" fillId="11" borderId="0" xfId="0" applyNumberFormat="1" applyFont="1" applyFill="1"/>
    <xf numFmtId="0" fontId="0" fillId="13" borderId="0" xfId="0" applyFill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" fillId="0" borderId="0" xfId="0" applyFont="1" applyAlignment="1">
      <alignment horizontal="right"/>
    </xf>
    <xf numFmtId="0" fontId="9" fillId="9" borderId="0" xfId="0" applyFont="1" applyFill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FFFF66"/>
      <color rgb="FFD0EB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workbookViewId="0">
      <selection sqref="A1:K1"/>
    </sheetView>
  </sheetViews>
  <sheetFormatPr baseColWidth="10" defaultRowHeight="15" x14ac:dyDescent="0.25"/>
  <cols>
    <col min="1" max="1" width="6.85546875" style="7" customWidth="1"/>
    <col min="2" max="2" width="7.7109375" customWidth="1"/>
    <col min="3" max="3" width="14.7109375" customWidth="1"/>
    <col min="4" max="4" width="6.85546875" style="7" customWidth="1"/>
    <col min="5" max="5" width="9" customWidth="1"/>
    <col min="6" max="6" width="14" customWidth="1"/>
    <col min="7" max="7" width="6.28515625" style="7" customWidth="1"/>
    <col min="8" max="8" width="8.28515625" customWidth="1"/>
    <col min="9" max="9" width="13.140625" customWidth="1"/>
    <col min="10" max="10" width="7.5703125" style="7" customWidth="1"/>
    <col min="11" max="11" width="7.7109375" customWidth="1"/>
    <col min="13" max="13" width="7.28515625" customWidth="1"/>
    <col min="14" max="14" width="7.5703125" customWidth="1"/>
  </cols>
  <sheetData>
    <row r="1" spans="1:16" ht="15.75" x14ac:dyDescent="0.25">
      <c r="A1" s="108" t="s">
        <v>10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10" t="s">
        <v>7</v>
      </c>
      <c r="M1" s="110"/>
      <c r="N1" s="6">
        <v>2013</v>
      </c>
      <c r="O1" s="5"/>
    </row>
    <row r="2" spans="1:16" ht="15.75" x14ac:dyDescent="0.25">
      <c r="A2" s="8">
        <v>2013</v>
      </c>
    </row>
    <row r="3" spans="1:16" ht="15.75" x14ac:dyDescent="0.25">
      <c r="A3" s="3" t="s">
        <v>7</v>
      </c>
      <c r="C3" s="116" t="s">
        <v>8</v>
      </c>
      <c r="D3" s="116"/>
      <c r="E3" s="28" t="s">
        <v>9</v>
      </c>
      <c r="F3" s="4">
        <f>A6+D6+G6+J6+M6</f>
        <v>186</v>
      </c>
      <c r="H3" s="4" t="s">
        <v>3</v>
      </c>
      <c r="I3" s="2">
        <f>B6+E6+H6+K6+N6</f>
        <v>94230</v>
      </c>
    </row>
    <row r="5" spans="1:16" x14ac:dyDescent="0.25">
      <c r="A5" s="111" t="s">
        <v>0</v>
      </c>
      <c r="B5" s="111"/>
      <c r="C5" s="111"/>
      <c r="D5" s="112" t="s">
        <v>4</v>
      </c>
      <c r="E5" s="112"/>
      <c r="F5" s="112"/>
      <c r="G5" s="113" t="s">
        <v>5</v>
      </c>
      <c r="H5" s="113"/>
      <c r="I5" s="113"/>
      <c r="J5" s="114" t="s">
        <v>6</v>
      </c>
      <c r="K5" s="114"/>
      <c r="L5" s="114"/>
      <c r="M5" s="115" t="s">
        <v>6</v>
      </c>
      <c r="N5" s="115"/>
      <c r="O5" s="115"/>
      <c r="P5" s="39" t="s">
        <v>18</v>
      </c>
    </row>
    <row r="6" spans="1:16" x14ac:dyDescent="0.25">
      <c r="A6" s="9">
        <f>SUBTOTAL(3,A8:A119)</f>
        <v>62</v>
      </c>
      <c r="B6" s="1">
        <f>SUBTOTAL(9,B8:B119)</f>
        <v>30060</v>
      </c>
      <c r="C6" s="27">
        <v>41609</v>
      </c>
      <c r="D6" s="9">
        <f>SUBTOTAL(3,D8:D119)</f>
        <v>38</v>
      </c>
      <c r="E6" s="1">
        <f>SUBTOTAL(9,E8:E119)</f>
        <v>18100</v>
      </c>
      <c r="F6" s="38">
        <v>41616</v>
      </c>
      <c r="G6" s="9">
        <f>SUBTOTAL(3,G8:G119)</f>
        <v>41</v>
      </c>
      <c r="H6" s="1">
        <f>SUBTOTAL(9,H8:H119)</f>
        <v>22470</v>
      </c>
      <c r="I6" s="14" t="s">
        <v>14</v>
      </c>
      <c r="J6" s="9">
        <f>SUBTOTAL(3,J8:J119)</f>
        <v>27</v>
      </c>
      <c r="K6" s="1">
        <f>SUBTOTAL(9,K8:K119)</f>
        <v>12770</v>
      </c>
      <c r="L6" s="38">
        <v>41630</v>
      </c>
      <c r="M6" s="1">
        <f>SUBTOTAL(3,M8:M119)</f>
        <v>18</v>
      </c>
      <c r="N6" s="1">
        <f>SUBTOTAL(9,N8:N119)</f>
        <v>10830</v>
      </c>
      <c r="O6" s="10">
        <v>41637</v>
      </c>
    </row>
    <row r="7" spans="1:16" x14ac:dyDescent="0.25">
      <c r="A7" s="24" t="s">
        <v>1</v>
      </c>
      <c r="B7" s="24" t="s">
        <v>3</v>
      </c>
      <c r="C7" s="24" t="s">
        <v>2</v>
      </c>
      <c r="D7" s="19" t="s">
        <v>1</v>
      </c>
      <c r="E7" s="19" t="s">
        <v>3</v>
      </c>
      <c r="F7" s="19" t="s">
        <v>2</v>
      </c>
      <c r="G7" s="14" t="s">
        <v>1</v>
      </c>
      <c r="H7" s="14" t="s">
        <v>3</v>
      </c>
      <c r="I7" s="14" t="s">
        <v>2</v>
      </c>
      <c r="J7" s="11" t="s">
        <v>1</v>
      </c>
      <c r="K7" s="11" t="s">
        <v>3</v>
      </c>
      <c r="L7" s="11" t="s">
        <v>2</v>
      </c>
      <c r="M7" s="22" t="s">
        <v>1</v>
      </c>
      <c r="N7" s="22" t="s">
        <v>3</v>
      </c>
      <c r="O7" s="22" t="s">
        <v>2</v>
      </c>
    </row>
    <row r="8" spans="1:16" x14ac:dyDescent="0.25">
      <c r="A8" s="25">
        <v>6026</v>
      </c>
      <c r="B8" s="26">
        <v>300</v>
      </c>
      <c r="C8" s="26"/>
      <c r="D8" s="20">
        <v>6113</v>
      </c>
      <c r="E8" s="21"/>
      <c r="F8" s="21" t="s">
        <v>12</v>
      </c>
      <c r="G8" s="15">
        <v>6151</v>
      </c>
      <c r="H8" s="16">
        <v>300</v>
      </c>
      <c r="I8" s="16"/>
      <c r="J8" s="12">
        <v>6192</v>
      </c>
      <c r="K8" s="13">
        <v>400</v>
      </c>
      <c r="L8" s="13"/>
      <c r="M8" s="23">
        <v>6219</v>
      </c>
      <c r="N8" s="23">
        <v>600</v>
      </c>
      <c r="O8" s="23"/>
    </row>
    <row r="9" spans="1:16" x14ac:dyDescent="0.25">
      <c r="A9" s="25">
        <v>6027</v>
      </c>
      <c r="B9" s="26">
        <v>800</v>
      </c>
      <c r="C9" s="26"/>
      <c r="D9" s="20">
        <v>6114</v>
      </c>
      <c r="E9" s="21">
        <v>900</v>
      </c>
      <c r="F9" s="21"/>
      <c r="G9" s="15">
        <v>6152</v>
      </c>
      <c r="H9" s="16">
        <v>400</v>
      </c>
      <c r="I9" s="16"/>
      <c r="J9" s="12">
        <v>6193</v>
      </c>
      <c r="K9" s="13">
        <v>800</v>
      </c>
      <c r="L9" s="13"/>
      <c r="M9" s="23">
        <v>6220</v>
      </c>
      <c r="N9" s="23">
        <v>400</v>
      </c>
      <c r="O9" s="23"/>
    </row>
    <row r="10" spans="1:16" x14ac:dyDescent="0.25">
      <c r="A10" s="25">
        <v>6028</v>
      </c>
      <c r="B10" s="26">
        <v>400</v>
      </c>
      <c r="C10" s="26"/>
      <c r="D10" s="20">
        <v>6115</v>
      </c>
      <c r="E10" s="21">
        <v>800</v>
      </c>
      <c r="F10" s="21"/>
      <c r="G10" s="15">
        <v>6153</v>
      </c>
      <c r="H10" s="16">
        <v>800</v>
      </c>
      <c r="I10" s="16"/>
      <c r="J10" s="12">
        <v>6194</v>
      </c>
      <c r="K10" s="13">
        <v>800</v>
      </c>
      <c r="L10" s="13"/>
      <c r="M10" s="23">
        <v>6221</v>
      </c>
      <c r="N10" s="23">
        <v>900</v>
      </c>
      <c r="O10" s="23"/>
    </row>
    <row r="11" spans="1:16" x14ac:dyDescent="0.25">
      <c r="A11" s="25">
        <v>6029</v>
      </c>
      <c r="B11" s="26">
        <v>400</v>
      </c>
      <c r="C11" s="26"/>
      <c r="D11" s="20">
        <v>6116</v>
      </c>
      <c r="E11" s="21">
        <v>400</v>
      </c>
      <c r="F11" s="21"/>
      <c r="G11" s="15">
        <v>6154</v>
      </c>
      <c r="H11" s="16"/>
      <c r="I11" s="16" t="s">
        <v>13</v>
      </c>
      <c r="J11" s="12">
        <v>6195</v>
      </c>
      <c r="K11" s="13">
        <v>400</v>
      </c>
      <c r="L11" s="13"/>
      <c r="M11" s="23">
        <v>6222</v>
      </c>
      <c r="N11" s="23">
        <v>560</v>
      </c>
      <c r="O11" s="23"/>
    </row>
    <row r="12" spans="1:16" x14ac:dyDescent="0.25">
      <c r="A12" s="25">
        <v>6030</v>
      </c>
      <c r="B12" s="26">
        <v>400</v>
      </c>
      <c r="C12" s="26"/>
      <c r="D12" s="20">
        <v>6117</v>
      </c>
      <c r="E12" s="21">
        <v>200</v>
      </c>
      <c r="F12" s="21"/>
      <c r="G12" s="15">
        <v>6155</v>
      </c>
      <c r="H12" s="16"/>
      <c r="I12" s="16" t="s">
        <v>13</v>
      </c>
      <c r="J12" s="12">
        <v>6196</v>
      </c>
      <c r="K12" s="13">
        <v>400</v>
      </c>
      <c r="L12" s="13"/>
      <c r="M12" s="23">
        <v>6223</v>
      </c>
      <c r="N12" s="23">
        <v>400</v>
      </c>
      <c r="O12" s="23"/>
    </row>
    <row r="13" spans="1:16" x14ac:dyDescent="0.25">
      <c r="A13" s="25">
        <v>6031</v>
      </c>
      <c r="B13" s="26">
        <v>800</v>
      </c>
      <c r="C13" s="26"/>
      <c r="D13" s="20">
        <v>6118</v>
      </c>
      <c r="E13" s="21">
        <v>1200</v>
      </c>
      <c r="F13" s="21"/>
      <c r="G13" s="15">
        <v>6156</v>
      </c>
      <c r="H13" s="16"/>
      <c r="I13" s="16" t="s">
        <v>13</v>
      </c>
      <c r="J13" s="12">
        <v>6197</v>
      </c>
      <c r="K13" s="13">
        <v>400</v>
      </c>
      <c r="L13" s="13"/>
      <c r="M13" s="23">
        <v>6224</v>
      </c>
      <c r="N13" s="23">
        <v>500</v>
      </c>
      <c r="O13" s="23"/>
    </row>
    <row r="14" spans="1:16" x14ac:dyDescent="0.25">
      <c r="A14" s="25">
        <v>6032</v>
      </c>
      <c r="B14" s="26">
        <v>200</v>
      </c>
      <c r="C14" s="26"/>
      <c r="D14" s="20">
        <v>6119</v>
      </c>
      <c r="E14" s="21">
        <v>800</v>
      </c>
      <c r="F14" s="21"/>
      <c r="G14" s="15">
        <v>6157</v>
      </c>
      <c r="H14" s="16"/>
      <c r="I14" s="16" t="s">
        <v>13</v>
      </c>
      <c r="J14" s="12">
        <v>6198</v>
      </c>
      <c r="K14" s="13">
        <v>800</v>
      </c>
      <c r="L14" s="13"/>
      <c r="M14" s="23">
        <v>6225</v>
      </c>
      <c r="N14" s="23">
        <v>1200</v>
      </c>
      <c r="O14" s="23"/>
    </row>
    <row r="15" spans="1:16" x14ac:dyDescent="0.25">
      <c r="A15" s="25">
        <v>6033</v>
      </c>
      <c r="B15" s="26">
        <v>400</v>
      </c>
      <c r="C15" s="26"/>
      <c r="D15" s="20">
        <v>6120</v>
      </c>
      <c r="E15" s="21">
        <v>300</v>
      </c>
      <c r="F15" s="21"/>
      <c r="G15" s="15">
        <v>6158</v>
      </c>
      <c r="H15" s="16">
        <v>1300</v>
      </c>
      <c r="I15" s="16"/>
      <c r="J15" s="12">
        <v>6199</v>
      </c>
      <c r="K15" s="13">
        <v>300</v>
      </c>
      <c r="L15" s="13"/>
      <c r="M15" s="23">
        <v>6226</v>
      </c>
      <c r="N15" s="23">
        <v>400</v>
      </c>
      <c r="O15" s="23"/>
    </row>
    <row r="16" spans="1:16" x14ac:dyDescent="0.25">
      <c r="A16" s="25">
        <v>6034</v>
      </c>
      <c r="B16" s="26">
        <v>300</v>
      </c>
      <c r="C16" s="26"/>
      <c r="D16" s="20">
        <v>6121</v>
      </c>
      <c r="E16" s="21">
        <v>560</v>
      </c>
      <c r="F16" s="21"/>
      <c r="G16" s="15">
        <v>6159</v>
      </c>
      <c r="H16" s="16">
        <v>1800</v>
      </c>
      <c r="I16" s="16"/>
      <c r="J16" s="12">
        <v>6200</v>
      </c>
      <c r="K16" s="13">
        <v>200</v>
      </c>
      <c r="L16" s="13"/>
      <c r="M16" s="23">
        <v>6227</v>
      </c>
      <c r="N16" s="23">
        <v>560</v>
      </c>
      <c r="O16" s="23"/>
    </row>
    <row r="17" spans="1:15" x14ac:dyDescent="0.25">
      <c r="A17" s="25">
        <v>6035</v>
      </c>
      <c r="B17" s="26">
        <v>300</v>
      </c>
      <c r="C17" s="26"/>
      <c r="D17" s="20">
        <v>6122</v>
      </c>
      <c r="E17" s="21">
        <v>400</v>
      </c>
      <c r="F17" s="21"/>
      <c r="G17" s="15">
        <v>6160</v>
      </c>
      <c r="H17" s="16">
        <v>400</v>
      </c>
      <c r="I17" s="16"/>
      <c r="J17" s="12">
        <v>6201</v>
      </c>
      <c r="K17" s="13">
        <v>200</v>
      </c>
      <c r="L17" s="13"/>
      <c r="M17" s="23">
        <v>6228</v>
      </c>
      <c r="N17" s="23">
        <v>800</v>
      </c>
      <c r="O17" s="23"/>
    </row>
    <row r="18" spans="1:15" x14ac:dyDescent="0.25">
      <c r="A18" s="25">
        <v>6036</v>
      </c>
      <c r="B18" s="26">
        <v>400</v>
      </c>
      <c r="C18" s="26"/>
      <c r="D18" s="20">
        <v>6123</v>
      </c>
      <c r="E18" s="21">
        <v>120</v>
      </c>
      <c r="F18" s="21"/>
      <c r="G18" s="15">
        <v>6161</v>
      </c>
      <c r="H18" s="16">
        <v>400</v>
      </c>
      <c r="I18" s="16"/>
      <c r="J18" s="12">
        <v>6202</v>
      </c>
      <c r="K18" s="13">
        <v>800</v>
      </c>
      <c r="L18" s="13"/>
      <c r="M18" s="23">
        <v>6229</v>
      </c>
      <c r="N18" s="23">
        <v>800</v>
      </c>
      <c r="O18" s="23"/>
    </row>
    <row r="19" spans="1:15" x14ac:dyDescent="0.25">
      <c r="A19" s="25">
        <v>6037</v>
      </c>
      <c r="B19" s="26">
        <v>600</v>
      </c>
      <c r="C19" s="26"/>
      <c r="D19" s="20">
        <v>6124</v>
      </c>
      <c r="E19" s="21">
        <v>200</v>
      </c>
      <c r="F19" s="21"/>
      <c r="G19" s="15">
        <v>6162</v>
      </c>
      <c r="H19" s="16">
        <v>200</v>
      </c>
      <c r="I19" s="16"/>
      <c r="J19" s="12">
        <v>6203</v>
      </c>
      <c r="K19" s="13">
        <v>800</v>
      </c>
      <c r="L19" s="13"/>
      <c r="M19" s="23">
        <v>6230</v>
      </c>
      <c r="N19" s="23">
        <v>760</v>
      </c>
      <c r="O19" s="23"/>
    </row>
    <row r="20" spans="1:15" x14ac:dyDescent="0.25">
      <c r="A20" s="25">
        <v>6038</v>
      </c>
      <c r="B20" s="26">
        <v>800</v>
      </c>
      <c r="C20" s="26"/>
      <c r="D20" s="20">
        <v>6125</v>
      </c>
      <c r="E20" s="21">
        <v>400</v>
      </c>
      <c r="F20" s="21"/>
      <c r="G20" s="15">
        <v>6163</v>
      </c>
      <c r="H20" s="16">
        <v>160</v>
      </c>
      <c r="I20" s="16"/>
      <c r="J20" s="12">
        <v>6204</v>
      </c>
      <c r="K20" s="13">
        <v>300</v>
      </c>
      <c r="L20" s="13"/>
      <c r="M20" s="23">
        <v>6231</v>
      </c>
      <c r="N20" s="23">
        <v>150</v>
      </c>
      <c r="O20" s="23"/>
    </row>
    <row r="21" spans="1:15" x14ac:dyDescent="0.25">
      <c r="A21" s="25">
        <v>6039</v>
      </c>
      <c r="B21" s="26">
        <v>400</v>
      </c>
      <c r="C21" s="26"/>
      <c r="D21" s="20">
        <v>6126</v>
      </c>
      <c r="E21" s="21">
        <v>1200</v>
      </c>
      <c r="F21" s="21"/>
      <c r="G21" s="15">
        <v>6164</v>
      </c>
      <c r="H21" s="16">
        <v>800</v>
      </c>
      <c r="I21" s="16"/>
      <c r="J21" s="12">
        <v>6205</v>
      </c>
      <c r="K21" s="13">
        <v>600</v>
      </c>
      <c r="L21" s="13"/>
      <c r="M21" s="23">
        <v>6232</v>
      </c>
      <c r="N21" s="23">
        <v>400</v>
      </c>
      <c r="O21" s="23"/>
    </row>
    <row r="22" spans="1:15" x14ac:dyDescent="0.25">
      <c r="A22" s="25">
        <v>6040</v>
      </c>
      <c r="B22" s="26">
        <v>400</v>
      </c>
      <c r="C22" s="26"/>
      <c r="D22" s="20">
        <v>6127</v>
      </c>
      <c r="E22" s="21">
        <v>400</v>
      </c>
      <c r="F22" s="21"/>
      <c r="G22" s="15">
        <v>6165</v>
      </c>
      <c r="H22" s="16">
        <v>400</v>
      </c>
      <c r="I22" s="16"/>
      <c r="J22" s="12">
        <v>6206</v>
      </c>
      <c r="K22" s="13">
        <v>350</v>
      </c>
      <c r="L22" s="13"/>
      <c r="M22" s="23">
        <v>6233</v>
      </c>
      <c r="N22" s="23">
        <v>800</v>
      </c>
      <c r="O22" s="23"/>
    </row>
    <row r="23" spans="1:15" x14ac:dyDescent="0.25">
      <c r="A23" s="25">
        <v>6041</v>
      </c>
      <c r="B23" s="26">
        <v>600</v>
      </c>
      <c r="C23" s="26"/>
      <c r="D23" s="20">
        <v>6128</v>
      </c>
      <c r="E23" s="21">
        <v>400</v>
      </c>
      <c r="F23" s="21"/>
      <c r="G23" s="15">
        <v>6166</v>
      </c>
      <c r="H23" s="16">
        <v>400</v>
      </c>
      <c r="I23" s="16"/>
      <c r="J23" s="12">
        <v>6207</v>
      </c>
      <c r="K23" s="13">
        <v>350</v>
      </c>
      <c r="L23" s="13"/>
      <c r="M23" s="23">
        <v>6234</v>
      </c>
      <c r="N23" s="23">
        <v>400</v>
      </c>
      <c r="O23" s="23"/>
    </row>
    <row r="24" spans="1:15" x14ac:dyDescent="0.25">
      <c r="A24" s="25">
        <v>6042</v>
      </c>
      <c r="B24" s="26">
        <v>1500</v>
      </c>
      <c r="C24" s="26"/>
      <c r="D24" s="20">
        <v>6129</v>
      </c>
      <c r="E24" s="21">
        <v>350</v>
      </c>
      <c r="F24" s="21"/>
      <c r="G24" s="15">
        <v>6167</v>
      </c>
      <c r="H24" s="16">
        <v>1200</v>
      </c>
      <c r="I24" s="16"/>
      <c r="J24" s="12">
        <v>6208</v>
      </c>
      <c r="K24" s="13">
        <v>400</v>
      </c>
      <c r="L24" s="13"/>
      <c r="M24" s="23">
        <v>6235</v>
      </c>
      <c r="N24" s="23">
        <v>800</v>
      </c>
      <c r="O24" s="23"/>
    </row>
    <row r="25" spans="1:15" x14ac:dyDescent="0.25">
      <c r="A25" s="25">
        <v>6043</v>
      </c>
      <c r="B25" s="26">
        <v>800</v>
      </c>
      <c r="C25" s="26"/>
      <c r="D25" s="20">
        <v>6130</v>
      </c>
      <c r="E25" s="21">
        <v>400</v>
      </c>
      <c r="F25" s="21"/>
      <c r="G25" s="15">
        <v>6168</v>
      </c>
      <c r="H25" s="16">
        <v>300</v>
      </c>
      <c r="I25" s="16"/>
      <c r="J25" s="12">
        <v>6209</v>
      </c>
      <c r="K25" s="13">
        <v>400</v>
      </c>
      <c r="L25" s="13"/>
      <c r="M25" s="23">
        <v>6236</v>
      </c>
      <c r="N25" s="23">
        <v>400</v>
      </c>
      <c r="O25" s="23"/>
    </row>
    <row r="26" spans="1:15" x14ac:dyDescent="0.25">
      <c r="A26" s="25">
        <v>6044</v>
      </c>
      <c r="B26" s="26">
        <v>800</v>
      </c>
      <c r="C26" s="26"/>
      <c r="D26" s="20">
        <v>6131</v>
      </c>
      <c r="E26" s="21">
        <v>400</v>
      </c>
      <c r="F26" s="21"/>
      <c r="G26" s="15">
        <v>6169</v>
      </c>
      <c r="H26" s="16">
        <v>1000</v>
      </c>
      <c r="I26" s="16"/>
      <c r="J26" s="12">
        <v>6210</v>
      </c>
      <c r="K26" s="13">
        <v>520</v>
      </c>
      <c r="L26" s="13"/>
      <c r="M26" s="23"/>
      <c r="N26" s="23"/>
      <c r="O26" s="23"/>
    </row>
    <row r="27" spans="1:15" x14ac:dyDescent="0.25">
      <c r="A27" s="25">
        <v>6045</v>
      </c>
      <c r="B27" s="26">
        <v>400</v>
      </c>
      <c r="C27" s="26"/>
      <c r="D27" s="20">
        <v>6132</v>
      </c>
      <c r="E27" s="21">
        <v>100</v>
      </c>
      <c r="F27" s="21"/>
      <c r="G27" s="15">
        <v>6170</v>
      </c>
      <c r="H27" s="16">
        <v>160</v>
      </c>
      <c r="I27" s="16"/>
      <c r="J27" s="12">
        <v>6211</v>
      </c>
      <c r="K27" s="13">
        <v>350</v>
      </c>
      <c r="L27" s="13"/>
      <c r="M27" s="23"/>
      <c r="N27" s="23"/>
      <c r="O27" s="23"/>
    </row>
    <row r="28" spans="1:15" x14ac:dyDescent="0.25">
      <c r="A28" s="25">
        <v>6046</v>
      </c>
      <c r="B28" s="26">
        <v>400</v>
      </c>
      <c r="C28" s="26"/>
      <c r="D28" s="20">
        <v>6133</v>
      </c>
      <c r="E28" s="21">
        <v>360</v>
      </c>
      <c r="F28" s="21"/>
      <c r="G28" s="15">
        <v>6171</v>
      </c>
      <c r="H28" s="16">
        <v>160</v>
      </c>
      <c r="I28" s="16"/>
      <c r="J28" s="12">
        <v>6212</v>
      </c>
      <c r="K28" s="13">
        <v>300</v>
      </c>
      <c r="L28" s="13"/>
      <c r="M28" s="23"/>
      <c r="N28" s="23"/>
      <c r="O28" s="23"/>
    </row>
    <row r="29" spans="1:15" x14ac:dyDescent="0.25">
      <c r="A29" s="25">
        <v>6047</v>
      </c>
      <c r="B29" s="26">
        <v>400</v>
      </c>
      <c r="C29" s="26"/>
      <c r="D29" s="20">
        <v>6134</v>
      </c>
      <c r="E29" s="21">
        <v>800</v>
      </c>
      <c r="F29" s="21"/>
      <c r="G29" s="15">
        <v>6172</v>
      </c>
      <c r="H29" s="16">
        <v>560</v>
      </c>
      <c r="I29" s="16"/>
      <c r="J29" s="12">
        <v>6213</v>
      </c>
      <c r="K29" s="13">
        <v>100</v>
      </c>
      <c r="L29" s="13"/>
      <c r="M29" s="23"/>
      <c r="N29" s="23"/>
      <c r="O29" s="23"/>
    </row>
    <row r="30" spans="1:15" x14ac:dyDescent="0.25">
      <c r="A30" s="25">
        <v>6048</v>
      </c>
      <c r="B30" s="26">
        <v>300</v>
      </c>
      <c r="C30" s="26"/>
      <c r="D30" s="20">
        <v>6135</v>
      </c>
      <c r="E30" s="21">
        <v>650</v>
      </c>
      <c r="F30" s="21"/>
      <c r="G30" s="15">
        <v>6173</v>
      </c>
      <c r="H30" s="16">
        <v>350</v>
      </c>
      <c r="I30" s="16"/>
      <c r="J30" s="12">
        <v>6214</v>
      </c>
      <c r="K30" s="13">
        <v>750</v>
      </c>
      <c r="L30" s="13"/>
      <c r="M30" s="23"/>
      <c r="N30" s="23"/>
      <c r="O30" s="23"/>
    </row>
    <row r="31" spans="1:15" x14ac:dyDescent="0.25">
      <c r="A31" s="25">
        <v>6049</v>
      </c>
      <c r="B31" s="26">
        <v>500</v>
      </c>
      <c r="C31" s="26"/>
      <c r="D31" s="20">
        <v>6136</v>
      </c>
      <c r="E31" s="21">
        <v>400</v>
      </c>
      <c r="F31" s="21"/>
      <c r="G31" s="15">
        <v>6174</v>
      </c>
      <c r="H31" s="16">
        <v>400</v>
      </c>
      <c r="I31" s="16"/>
      <c r="J31" s="12">
        <v>6215</v>
      </c>
      <c r="K31" s="13">
        <v>300</v>
      </c>
      <c r="L31" s="13"/>
      <c r="M31" s="23"/>
      <c r="N31" s="23"/>
      <c r="O31" s="23"/>
    </row>
    <row r="32" spans="1:15" x14ac:dyDescent="0.25">
      <c r="A32" s="25">
        <v>6050</v>
      </c>
      <c r="B32" s="26">
        <v>800</v>
      </c>
      <c r="C32" s="26"/>
      <c r="D32" s="20">
        <v>6137</v>
      </c>
      <c r="E32" s="21">
        <v>600</v>
      </c>
      <c r="F32" s="21"/>
      <c r="G32" s="15">
        <v>6175</v>
      </c>
      <c r="H32" s="16">
        <v>400</v>
      </c>
      <c r="I32" s="16"/>
      <c r="J32" s="12">
        <v>6216</v>
      </c>
      <c r="K32" s="13">
        <v>1200</v>
      </c>
      <c r="L32" s="13"/>
      <c r="M32" s="23"/>
      <c r="N32" s="23"/>
      <c r="O32" s="23"/>
    </row>
    <row r="33" spans="1:15" x14ac:dyDescent="0.25">
      <c r="A33" s="25">
        <v>6051</v>
      </c>
      <c r="B33" s="26">
        <v>800</v>
      </c>
      <c r="C33" s="26"/>
      <c r="D33" s="20">
        <v>6138</v>
      </c>
      <c r="E33" s="21">
        <v>1160</v>
      </c>
      <c r="F33" s="21"/>
      <c r="G33" s="15">
        <v>6176</v>
      </c>
      <c r="H33" s="16">
        <v>800</v>
      </c>
      <c r="I33" s="16"/>
      <c r="J33" s="12">
        <v>6217</v>
      </c>
      <c r="K33" s="13">
        <v>300</v>
      </c>
      <c r="L33" s="13"/>
      <c r="M33" s="23"/>
      <c r="N33" s="23"/>
      <c r="O33" s="23"/>
    </row>
    <row r="34" spans="1:15" x14ac:dyDescent="0.25">
      <c r="A34" s="25">
        <v>6052</v>
      </c>
      <c r="B34" s="26">
        <v>400</v>
      </c>
      <c r="C34" s="26"/>
      <c r="D34" s="20">
        <v>6139</v>
      </c>
      <c r="E34" s="21">
        <v>200</v>
      </c>
      <c r="F34" s="21"/>
      <c r="G34" s="15">
        <v>6177</v>
      </c>
      <c r="H34" s="16">
        <v>400</v>
      </c>
      <c r="I34" s="16"/>
      <c r="J34" s="12">
        <v>6218</v>
      </c>
      <c r="K34" s="13">
        <v>250</v>
      </c>
      <c r="L34" s="13"/>
      <c r="M34" s="23"/>
      <c r="N34" s="23"/>
      <c r="O34" s="23"/>
    </row>
    <row r="35" spans="1:15" x14ac:dyDescent="0.25">
      <c r="A35" s="25">
        <v>6053</v>
      </c>
      <c r="B35" s="26">
        <v>400</v>
      </c>
      <c r="C35" s="26"/>
      <c r="D35" s="20">
        <v>6140</v>
      </c>
      <c r="E35" s="21">
        <v>400</v>
      </c>
      <c r="F35" s="21"/>
      <c r="G35" s="15">
        <v>6178</v>
      </c>
      <c r="H35" s="16">
        <v>1200</v>
      </c>
      <c r="I35" s="16"/>
      <c r="J35" s="12"/>
      <c r="K35" s="13"/>
      <c r="L35" s="13"/>
      <c r="M35" s="23"/>
      <c r="N35" s="23"/>
      <c r="O35" s="23"/>
    </row>
    <row r="36" spans="1:15" x14ac:dyDescent="0.25">
      <c r="A36" s="25">
        <v>6054</v>
      </c>
      <c r="B36" s="26">
        <v>300</v>
      </c>
      <c r="C36" s="26"/>
      <c r="D36" s="20">
        <v>6141</v>
      </c>
      <c r="E36" s="21">
        <v>400</v>
      </c>
      <c r="F36" s="21"/>
      <c r="G36" s="15">
        <v>6179</v>
      </c>
      <c r="H36" s="16">
        <v>400</v>
      </c>
      <c r="I36" s="16"/>
      <c r="J36" s="12"/>
      <c r="K36" s="13"/>
      <c r="L36" s="13"/>
      <c r="M36" s="23"/>
      <c r="N36" s="23"/>
      <c r="O36" s="23"/>
    </row>
    <row r="37" spans="1:15" x14ac:dyDescent="0.25">
      <c r="A37" s="25">
        <v>6055</v>
      </c>
      <c r="B37" s="26">
        <v>400</v>
      </c>
      <c r="C37" s="26"/>
      <c r="D37" s="20">
        <v>6142</v>
      </c>
      <c r="E37" s="21">
        <v>700</v>
      </c>
      <c r="F37" s="21"/>
      <c r="G37" s="15">
        <v>6180</v>
      </c>
      <c r="H37" s="16">
        <v>160</v>
      </c>
      <c r="I37" s="16"/>
      <c r="J37" s="12"/>
      <c r="K37" s="13"/>
      <c r="L37" s="13"/>
      <c r="M37" s="23"/>
      <c r="N37" s="23"/>
      <c r="O37" s="23"/>
    </row>
    <row r="38" spans="1:15" x14ac:dyDescent="0.25">
      <c r="A38" s="25">
        <v>6056</v>
      </c>
      <c r="B38" s="26">
        <v>400</v>
      </c>
      <c r="C38" s="26"/>
      <c r="D38" s="20">
        <v>6143</v>
      </c>
      <c r="E38" s="21">
        <v>150</v>
      </c>
      <c r="F38" s="21"/>
      <c r="G38" s="15">
        <v>6181</v>
      </c>
      <c r="H38" s="16">
        <v>600</v>
      </c>
      <c r="I38" s="16"/>
      <c r="J38" s="12"/>
      <c r="K38" s="13"/>
      <c r="L38" s="13"/>
      <c r="M38" s="23"/>
      <c r="N38" s="23"/>
      <c r="O38" s="23"/>
    </row>
    <row r="39" spans="1:15" x14ac:dyDescent="0.25">
      <c r="A39" s="25">
        <v>6057</v>
      </c>
      <c r="B39" s="26">
        <v>400</v>
      </c>
      <c r="C39" s="26"/>
      <c r="D39" s="20">
        <v>6144</v>
      </c>
      <c r="E39" s="21">
        <v>300</v>
      </c>
      <c r="F39" s="21"/>
      <c r="G39" s="15">
        <v>6182</v>
      </c>
      <c r="H39" s="16">
        <v>400</v>
      </c>
      <c r="I39" s="16"/>
      <c r="J39" s="12"/>
      <c r="K39" s="13"/>
      <c r="L39" s="13"/>
      <c r="M39" s="23"/>
      <c r="N39" s="23"/>
      <c r="O39" s="23"/>
    </row>
    <row r="40" spans="1:15" x14ac:dyDescent="0.25">
      <c r="A40" s="25">
        <v>6058</v>
      </c>
      <c r="B40" s="26">
        <v>320</v>
      </c>
      <c r="C40" s="26"/>
      <c r="D40" s="20">
        <v>6145</v>
      </c>
      <c r="E40" s="21">
        <v>400</v>
      </c>
      <c r="F40" s="21"/>
      <c r="G40" s="15">
        <v>6183</v>
      </c>
      <c r="H40" s="16">
        <v>160</v>
      </c>
      <c r="I40" s="16"/>
      <c r="J40" s="12"/>
      <c r="K40" s="13"/>
      <c r="L40" s="13"/>
      <c r="M40" s="23"/>
      <c r="N40" s="23"/>
      <c r="O40" s="23"/>
    </row>
    <row r="41" spans="1:15" x14ac:dyDescent="0.25">
      <c r="A41" s="25">
        <v>6059</v>
      </c>
      <c r="B41" s="26">
        <v>400</v>
      </c>
      <c r="C41" s="26"/>
      <c r="D41" s="20">
        <v>6146</v>
      </c>
      <c r="E41" s="21">
        <v>350</v>
      </c>
      <c r="F41" s="21"/>
      <c r="G41" s="15">
        <v>6184</v>
      </c>
      <c r="H41" s="16">
        <v>400</v>
      </c>
      <c r="I41" s="16"/>
      <c r="J41" s="12"/>
      <c r="K41" s="13"/>
      <c r="L41" s="13"/>
      <c r="M41" s="23"/>
      <c r="N41" s="23"/>
      <c r="O41" s="23"/>
    </row>
    <row r="42" spans="1:15" x14ac:dyDescent="0.25">
      <c r="A42" s="25">
        <v>6060</v>
      </c>
      <c r="B42" s="26">
        <v>600</v>
      </c>
      <c r="C42" s="26"/>
      <c r="D42" s="20">
        <v>6147</v>
      </c>
      <c r="E42" s="21">
        <v>400</v>
      </c>
      <c r="F42" s="21"/>
      <c r="G42" s="15">
        <v>6185</v>
      </c>
      <c r="H42" s="16">
        <v>200</v>
      </c>
      <c r="I42" s="16"/>
      <c r="J42" s="12"/>
      <c r="K42" s="13"/>
      <c r="L42" s="13"/>
      <c r="M42" s="23"/>
      <c r="N42" s="23"/>
      <c r="O42" s="23"/>
    </row>
    <row r="43" spans="1:15" x14ac:dyDescent="0.25">
      <c r="A43" s="25">
        <v>6061</v>
      </c>
      <c r="B43" s="26">
        <v>900</v>
      </c>
      <c r="C43" s="26"/>
      <c r="D43" s="20">
        <v>6148</v>
      </c>
      <c r="E43" s="21">
        <v>600</v>
      </c>
      <c r="F43" s="21"/>
      <c r="G43" s="15">
        <v>6186</v>
      </c>
      <c r="H43" s="16">
        <v>400</v>
      </c>
      <c r="I43" s="16"/>
      <c r="J43" s="12"/>
      <c r="K43" s="13"/>
      <c r="L43" s="13"/>
      <c r="M43" s="23"/>
      <c r="N43" s="23"/>
      <c r="O43" s="23"/>
    </row>
    <row r="44" spans="1:15" x14ac:dyDescent="0.25">
      <c r="A44" s="25">
        <v>6062</v>
      </c>
      <c r="B44" s="26">
        <v>160</v>
      </c>
      <c r="C44" s="26"/>
      <c r="D44" s="20">
        <v>6149</v>
      </c>
      <c r="E44" s="21">
        <v>400</v>
      </c>
      <c r="F44" s="21"/>
      <c r="G44" s="15">
        <v>6187</v>
      </c>
      <c r="H44" s="16">
        <v>400</v>
      </c>
      <c r="I44" s="16"/>
      <c r="J44" s="12"/>
      <c r="K44" s="13"/>
      <c r="L44" s="13"/>
      <c r="M44" s="23"/>
      <c r="N44" s="23"/>
      <c r="O44" s="23"/>
    </row>
    <row r="45" spans="1:15" x14ac:dyDescent="0.25">
      <c r="A45" s="25">
        <v>6063</v>
      </c>
      <c r="B45" s="26">
        <v>600</v>
      </c>
      <c r="C45" s="26"/>
      <c r="D45" s="20">
        <v>6150</v>
      </c>
      <c r="E45" s="21">
        <v>300</v>
      </c>
      <c r="F45" s="21"/>
      <c r="G45" s="15">
        <v>6188</v>
      </c>
      <c r="H45" s="16">
        <v>400</v>
      </c>
      <c r="I45" s="16"/>
      <c r="J45" s="12"/>
      <c r="K45" s="13"/>
      <c r="L45" s="13"/>
      <c r="M45" s="23"/>
      <c r="N45" s="23"/>
      <c r="O45" s="23"/>
    </row>
    <row r="46" spans="1:15" x14ac:dyDescent="0.25">
      <c r="A46" s="25">
        <v>6064</v>
      </c>
      <c r="B46" s="26">
        <v>150</v>
      </c>
      <c r="C46" s="26"/>
      <c r="D46" s="20"/>
      <c r="E46" s="21"/>
      <c r="F46" s="21"/>
      <c r="G46" s="15">
        <v>6189</v>
      </c>
      <c r="H46" s="16">
        <v>160</v>
      </c>
      <c r="I46" s="16"/>
      <c r="J46" s="12"/>
      <c r="K46" s="13"/>
      <c r="L46" s="13"/>
      <c r="M46" s="23"/>
      <c r="N46" s="23"/>
      <c r="O46" s="23"/>
    </row>
    <row r="47" spans="1:15" x14ac:dyDescent="0.25">
      <c r="A47" s="25">
        <v>6065</v>
      </c>
      <c r="B47" s="26">
        <v>300</v>
      </c>
      <c r="C47" s="26"/>
      <c r="D47" s="20"/>
      <c r="E47" s="21"/>
      <c r="F47" s="21"/>
      <c r="G47" s="15">
        <v>6190</v>
      </c>
      <c r="H47" s="16">
        <v>600</v>
      </c>
      <c r="I47" s="16"/>
      <c r="J47" s="12"/>
      <c r="K47" s="13"/>
      <c r="L47" s="13"/>
      <c r="M47" s="23"/>
      <c r="N47" s="23"/>
      <c r="O47" s="23"/>
    </row>
    <row r="48" spans="1:15" x14ac:dyDescent="0.25">
      <c r="A48" s="25">
        <v>6066</v>
      </c>
      <c r="B48" s="26">
        <v>400</v>
      </c>
      <c r="C48" s="26"/>
      <c r="D48" s="20"/>
      <c r="E48" s="21"/>
      <c r="F48" s="21"/>
      <c r="G48" s="15">
        <v>6191</v>
      </c>
      <c r="H48" s="16">
        <v>3900</v>
      </c>
      <c r="I48" s="16"/>
      <c r="J48" s="12"/>
      <c r="K48" s="13"/>
      <c r="L48" s="13"/>
      <c r="M48" s="23"/>
      <c r="N48" s="23"/>
      <c r="O48" s="23"/>
    </row>
    <row r="49" spans="1:15" x14ac:dyDescent="0.25">
      <c r="A49" s="25">
        <v>6067</v>
      </c>
      <c r="B49" s="26">
        <v>560</v>
      </c>
      <c r="C49" s="26"/>
      <c r="D49" s="20"/>
      <c r="E49" s="21"/>
      <c r="F49" s="21"/>
      <c r="G49" s="15"/>
      <c r="H49" s="16"/>
      <c r="I49" s="16"/>
      <c r="J49" s="12"/>
      <c r="K49" s="13"/>
      <c r="L49" s="13"/>
      <c r="M49" s="23"/>
      <c r="N49" s="23"/>
      <c r="O49" s="23"/>
    </row>
    <row r="50" spans="1:15" x14ac:dyDescent="0.25">
      <c r="A50" s="25">
        <v>6068</v>
      </c>
      <c r="B50" s="26"/>
      <c r="C50" s="26" t="s">
        <v>11</v>
      </c>
      <c r="D50" s="20"/>
      <c r="E50" s="21"/>
      <c r="F50" s="21"/>
      <c r="G50" s="15"/>
      <c r="H50" s="16"/>
      <c r="I50" s="16"/>
      <c r="J50" s="12"/>
      <c r="K50" s="13"/>
      <c r="L50" s="13"/>
      <c r="M50" s="23"/>
      <c r="N50" s="23"/>
      <c r="O50" s="23"/>
    </row>
    <row r="51" spans="1:15" x14ac:dyDescent="0.25">
      <c r="A51" s="25">
        <v>6069</v>
      </c>
      <c r="B51" s="26">
        <v>160</v>
      </c>
      <c r="C51" s="26"/>
      <c r="D51" s="20"/>
      <c r="E51" s="21"/>
      <c r="F51" s="21"/>
      <c r="G51" s="15"/>
      <c r="H51" s="16"/>
      <c r="I51" s="16"/>
      <c r="J51" s="12"/>
      <c r="K51" s="13"/>
      <c r="L51" s="13"/>
      <c r="M51" s="23"/>
      <c r="N51" s="23"/>
      <c r="O51" s="23"/>
    </row>
    <row r="52" spans="1:15" x14ac:dyDescent="0.25">
      <c r="A52" s="25">
        <v>6070</v>
      </c>
      <c r="B52" s="26">
        <v>400</v>
      </c>
      <c r="C52" s="26"/>
      <c r="D52" s="20"/>
      <c r="E52" s="21"/>
      <c r="F52" s="21"/>
      <c r="G52" s="15"/>
      <c r="H52" s="16"/>
      <c r="I52" s="16"/>
      <c r="J52" s="12"/>
      <c r="K52" s="13"/>
      <c r="L52" s="13"/>
      <c r="M52" s="23"/>
      <c r="N52" s="23"/>
      <c r="O52" s="23"/>
    </row>
    <row r="53" spans="1:15" x14ac:dyDescent="0.25">
      <c r="A53" s="25">
        <v>6071</v>
      </c>
      <c r="B53" s="26">
        <v>600</v>
      </c>
      <c r="C53" s="26"/>
      <c r="D53" s="20"/>
      <c r="E53" s="21"/>
      <c r="F53" s="21"/>
      <c r="G53" s="15"/>
      <c r="H53" s="16"/>
      <c r="I53" s="16"/>
      <c r="J53" s="12"/>
      <c r="K53" s="13"/>
      <c r="L53" s="13"/>
      <c r="M53" s="23"/>
      <c r="N53" s="23"/>
      <c r="O53" s="23"/>
    </row>
    <row r="54" spans="1:15" x14ac:dyDescent="0.25">
      <c r="A54" s="25">
        <v>6072</v>
      </c>
      <c r="B54" s="26">
        <v>400</v>
      </c>
      <c r="C54" s="26"/>
      <c r="D54" s="20"/>
      <c r="E54" s="21"/>
      <c r="F54" s="21"/>
      <c r="G54" s="15"/>
      <c r="H54" s="16"/>
      <c r="I54" s="16"/>
      <c r="J54" s="12"/>
      <c r="K54" s="13"/>
      <c r="L54" s="13"/>
      <c r="M54" s="23"/>
      <c r="N54" s="23"/>
      <c r="O54" s="23"/>
    </row>
    <row r="55" spans="1:15" x14ac:dyDescent="0.25">
      <c r="A55" s="25">
        <v>6073</v>
      </c>
      <c r="B55" s="26">
        <v>400</v>
      </c>
      <c r="C55" s="26"/>
      <c r="D55" s="20"/>
      <c r="E55" s="21"/>
      <c r="F55" s="21"/>
      <c r="G55" s="15"/>
      <c r="H55" s="16"/>
      <c r="I55" s="16"/>
      <c r="J55" s="12"/>
      <c r="K55" s="13"/>
      <c r="L55" s="13"/>
      <c r="M55" s="23"/>
      <c r="N55" s="23"/>
      <c r="O55" s="23"/>
    </row>
    <row r="56" spans="1:15" x14ac:dyDescent="0.25">
      <c r="A56" s="25">
        <v>6074</v>
      </c>
      <c r="B56" s="26">
        <v>400</v>
      </c>
      <c r="C56" s="26"/>
      <c r="D56" s="20"/>
      <c r="E56" s="21"/>
      <c r="F56" s="21"/>
      <c r="G56" s="15"/>
      <c r="H56" s="16"/>
      <c r="I56" s="16"/>
      <c r="J56" s="12"/>
      <c r="K56" s="13"/>
      <c r="L56" s="13"/>
      <c r="M56" s="23"/>
      <c r="N56" s="23"/>
      <c r="O56" s="23"/>
    </row>
    <row r="57" spans="1:15" x14ac:dyDescent="0.25">
      <c r="A57" s="25">
        <v>6075</v>
      </c>
      <c r="B57" s="26">
        <v>1800</v>
      </c>
      <c r="C57" s="26"/>
      <c r="D57" s="20"/>
      <c r="E57" s="21"/>
      <c r="F57" s="21"/>
      <c r="G57" s="15"/>
      <c r="H57" s="16"/>
      <c r="I57" s="16"/>
      <c r="J57" s="12"/>
      <c r="K57" s="13"/>
      <c r="L57" s="13"/>
      <c r="M57" s="23"/>
      <c r="N57" s="23"/>
      <c r="O57" s="23"/>
    </row>
    <row r="58" spans="1:15" x14ac:dyDescent="0.25">
      <c r="A58" s="25">
        <v>6076</v>
      </c>
      <c r="B58" s="26">
        <v>400</v>
      </c>
      <c r="C58" s="26"/>
      <c r="D58" s="20"/>
      <c r="E58" s="21"/>
      <c r="F58" s="21"/>
      <c r="G58" s="15"/>
      <c r="H58" s="16"/>
      <c r="I58" s="16"/>
      <c r="J58" s="12"/>
      <c r="K58" s="13"/>
      <c r="L58" s="13"/>
      <c r="M58" s="23"/>
      <c r="N58" s="23"/>
      <c r="O58" s="23"/>
    </row>
    <row r="59" spans="1:15" x14ac:dyDescent="0.25">
      <c r="A59" s="25">
        <v>6077</v>
      </c>
      <c r="B59" s="26">
        <v>460</v>
      </c>
      <c r="C59" s="26"/>
      <c r="D59" s="20"/>
      <c r="E59" s="21"/>
      <c r="F59" s="21"/>
      <c r="G59" s="15"/>
      <c r="H59" s="16"/>
      <c r="I59" s="16"/>
      <c r="J59" s="12"/>
      <c r="K59" s="13"/>
      <c r="L59" s="13"/>
      <c r="M59" s="23"/>
      <c r="N59" s="23"/>
      <c r="O59" s="23"/>
    </row>
    <row r="60" spans="1:15" x14ac:dyDescent="0.25">
      <c r="A60" s="25">
        <v>6078</v>
      </c>
      <c r="B60" s="26">
        <v>400</v>
      </c>
      <c r="C60" s="26"/>
      <c r="D60" s="20"/>
      <c r="E60" s="21"/>
      <c r="F60" s="21"/>
      <c r="G60" s="15"/>
      <c r="H60" s="16"/>
      <c r="I60" s="16"/>
      <c r="J60" s="12"/>
      <c r="K60" s="13"/>
      <c r="L60" s="13"/>
      <c r="M60" s="23"/>
      <c r="N60" s="23"/>
      <c r="O60" s="23"/>
    </row>
    <row r="61" spans="1:15" x14ac:dyDescent="0.25">
      <c r="A61" s="25">
        <v>6079</v>
      </c>
      <c r="B61" s="26">
        <v>400</v>
      </c>
      <c r="C61" s="26"/>
      <c r="D61" s="20"/>
      <c r="E61" s="21"/>
      <c r="F61" s="21"/>
      <c r="G61" s="15"/>
      <c r="H61" s="16"/>
      <c r="I61" s="16"/>
      <c r="J61" s="12"/>
      <c r="K61" s="13"/>
      <c r="L61" s="13"/>
      <c r="M61" s="23"/>
      <c r="N61" s="23"/>
      <c r="O61" s="23"/>
    </row>
    <row r="62" spans="1:15" x14ac:dyDescent="0.25">
      <c r="A62" s="25">
        <v>6080</v>
      </c>
      <c r="B62" s="26">
        <v>400</v>
      </c>
      <c r="C62" s="26"/>
      <c r="D62" s="20"/>
      <c r="E62" s="21"/>
      <c r="F62" s="21"/>
      <c r="G62" s="15"/>
      <c r="H62" s="16"/>
      <c r="I62" s="16"/>
      <c r="J62" s="12"/>
      <c r="K62" s="13"/>
      <c r="L62" s="13"/>
      <c r="M62" s="23"/>
      <c r="N62" s="23"/>
      <c r="O62" s="23"/>
    </row>
    <row r="63" spans="1:15" x14ac:dyDescent="0.25">
      <c r="A63" s="25">
        <v>6081</v>
      </c>
      <c r="B63" s="26">
        <v>200</v>
      </c>
      <c r="C63" s="26"/>
      <c r="D63" s="20"/>
      <c r="E63" s="21"/>
      <c r="F63" s="21"/>
      <c r="G63" s="15"/>
      <c r="H63" s="16"/>
      <c r="I63" s="16"/>
      <c r="J63" s="12"/>
      <c r="K63" s="13"/>
      <c r="L63" s="13"/>
      <c r="M63" s="23"/>
      <c r="N63" s="23"/>
      <c r="O63" s="23"/>
    </row>
    <row r="64" spans="1:15" x14ac:dyDescent="0.25">
      <c r="A64" s="25">
        <v>6082</v>
      </c>
      <c r="B64" s="26">
        <v>400</v>
      </c>
      <c r="C64" s="26"/>
      <c r="D64" s="20"/>
      <c r="E64" s="21"/>
      <c r="F64" s="21"/>
      <c r="G64" s="15"/>
      <c r="H64" s="16"/>
      <c r="I64" s="16"/>
      <c r="J64" s="12"/>
      <c r="K64" s="13"/>
      <c r="L64" s="13"/>
      <c r="M64" s="23"/>
      <c r="N64" s="23"/>
      <c r="O64" s="23"/>
    </row>
    <row r="65" spans="1:15" x14ac:dyDescent="0.25">
      <c r="A65" s="25">
        <v>6083</v>
      </c>
      <c r="B65" s="26">
        <v>450</v>
      </c>
      <c r="C65" s="26"/>
      <c r="D65" s="20"/>
      <c r="E65" s="21"/>
      <c r="F65" s="21"/>
      <c r="G65" s="15"/>
      <c r="H65" s="16"/>
      <c r="I65" s="16"/>
      <c r="J65" s="12"/>
      <c r="K65" s="13"/>
      <c r="L65" s="13"/>
      <c r="M65" s="23"/>
      <c r="N65" s="23"/>
      <c r="O65" s="23"/>
    </row>
    <row r="66" spans="1:15" x14ac:dyDescent="0.25">
      <c r="A66" s="25">
        <v>6084</v>
      </c>
      <c r="B66" s="26">
        <v>700</v>
      </c>
      <c r="C66" s="26"/>
      <c r="D66" s="20"/>
      <c r="E66" s="21"/>
      <c r="F66" s="21"/>
      <c r="G66" s="15"/>
      <c r="H66" s="16"/>
      <c r="I66" s="16"/>
      <c r="J66" s="12"/>
      <c r="K66" s="13"/>
      <c r="L66" s="13"/>
      <c r="M66" s="23"/>
      <c r="N66" s="23"/>
      <c r="O66" s="23"/>
    </row>
    <row r="67" spans="1:15" x14ac:dyDescent="0.25">
      <c r="A67" s="25">
        <v>6085</v>
      </c>
      <c r="B67" s="26">
        <v>800</v>
      </c>
      <c r="C67" s="26"/>
      <c r="D67" s="20"/>
      <c r="E67" s="21"/>
      <c r="F67" s="21"/>
      <c r="G67" s="15"/>
      <c r="H67" s="16"/>
      <c r="I67" s="16"/>
      <c r="J67" s="12"/>
      <c r="K67" s="13"/>
      <c r="L67" s="13"/>
      <c r="M67" s="23"/>
      <c r="N67" s="23"/>
      <c r="O67" s="23"/>
    </row>
    <row r="68" spans="1:15" ht="13.5" customHeight="1" x14ac:dyDescent="0.25">
      <c r="A68" s="25">
        <v>6086</v>
      </c>
      <c r="B68" s="26"/>
      <c r="C68" s="29" t="s">
        <v>16</v>
      </c>
      <c r="D68" s="20"/>
      <c r="E68" s="21"/>
      <c r="F68" s="21"/>
      <c r="G68" s="15"/>
      <c r="H68" s="16"/>
      <c r="I68" s="16"/>
      <c r="J68" s="12"/>
      <c r="K68" s="13"/>
      <c r="L68" s="13"/>
      <c r="M68" s="23"/>
      <c r="N68" s="23"/>
      <c r="O68" s="23"/>
    </row>
    <row r="69" spans="1:15" x14ac:dyDescent="0.25">
      <c r="A69" s="25">
        <v>6087</v>
      </c>
      <c r="B69" s="26">
        <v>400</v>
      </c>
      <c r="C69" s="26"/>
      <c r="D69" s="20"/>
      <c r="E69" s="21"/>
      <c r="F69" s="21"/>
      <c r="G69" s="15"/>
      <c r="H69" s="16"/>
      <c r="I69" s="16"/>
      <c r="J69" s="12"/>
      <c r="K69" s="13"/>
      <c r="L69" s="13"/>
      <c r="M69" s="23"/>
      <c r="N69" s="23"/>
      <c r="O69" s="23"/>
    </row>
    <row r="70" spans="1:15" x14ac:dyDescent="0.25">
      <c r="A70" s="25"/>
      <c r="B70" s="26"/>
      <c r="C70" s="26"/>
      <c r="D70" s="20"/>
      <c r="E70" s="21"/>
      <c r="F70" s="21"/>
      <c r="G70" s="17"/>
      <c r="H70" s="18"/>
      <c r="I70" s="18"/>
      <c r="M70" s="23"/>
      <c r="N70" s="23"/>
      <c r="O70" s="23"/>
    </row>
    <row r="71" spans="1:15" x14ac:dyDescent="0.25">
      <c r="A71" s="25"/>
      <c r="B71" s="26"/>
      <c r="C71" s="26"/>
      <c r="D71" s="20"/>
      <c r="E71" s="21"/>
      <c r="F71" s="21"/>
      <c r="G71" s="17"/>
      <c r="H71" s="18"/>
      <c r="I71" s="18"/>
      <c r="M71" s="23"/>
      <c r="N71" s="23"/>
      <c r="O71" s="23"/>
    </row>
    <row r="72" spans="1:15" x14ac:dyDescent="0.25">
      <c r="A72" s="25"/>
      <c r="B72" s="26"/>
      <c r="C72" s="26"/>
      <c r="D72" s="20"/>
      <c r="E72" s="21"/>
      <c r="F72" s="21"/>
      <c r="G72" s="17"/>
      <c r="H72" s="18"/>
      <c r="I72" s="18"/>
      <c r="M72" s="23"/>
      <c r="N72" s="23"/>
      <c r="O72" s="23"/>
    </row>
    <row r="73" spans="1:15" x14ac:dyDescent="0.25">
      <c r="A73" s="25"/>
      <c r="B73" s="26"/>
      <c r="C73" s="26"/>
      <c r="D73" s="20"/>
      <c r="E73" s="21"/>
      <c r="F73" s="21"/>
      <c r="G73" s="17"/>
      <c r="H73" s="18"/>
      <c r="I73" s="18"/>
      <c r="M73" s="23"/>
      <c r="N73" s="23"/>
      <c r="O73" s="23"/>
    </row>
    <row r="74" spans="1:15" x14ac:dyDescent="0.25">
      <c r="A74" s="25"/>
      <c r="B74" s="26"/>
      <c r="C74" s="26"/>
      <c r="D74" s="20"/>
      <c r="E74" s="21"/>
      <c r="F74" s="21"/>
      <c r="G74" s="17"/>
      <c r="H74" s="18"/>
      <c r="I74" s="18"/>
      <c r="M74" s="23"/>
      <c r="N74" s="23"/>
      <c r="O74" s="23"/>
    </row>
    <row r="75" spans="1:15" x14ac:dyDescent="0.25">
      <c r="A75" s="25"/>
      <c r="B75" s="26"/>
      <c r="C75" s="26"/>
      <c r="D75" s="20"/>
      <c r="E75" s="21"/>
      <c r="F75" s="21"/>
      <c r="G75" s="17"/>
      <c r="H75" s="18"/>
      <c r="I75" s="18"/>
      <c r="M75" s="23"/>
      <c r="N75" s="23"/>
      <c r="O75" s="23"/>
    </row>
    <row r="76" spans="1:15" x14ac:dyDescent="0.25">
      <c r="A76" s="25"/>
      <c r="B76" s="26"/>
      <c r="C76" s="26"/>
      <c r="D76" s="20"/>
      <c r="E76" s="21"/>
      <c r="F76" s="21"/>
      <c r="G76" s="17"/>
      <c r="H76" s="18"/>
      <c r="I76" s="18"/>
      <c r="M76" s="23"/>
      <c r="N76" s="23"/>
      <c r="O76" s="23"/>
    </row>
    <row r="77" spans="1:15" x14ac:dyDescent="0.25">
      <c r="A77" s="25"/>
      <c r="B77" s="26"/>
      <c r="C77" s="26"/>
      <c r="D77" s="20"/>
      <c r="E77" s="21"/>
      <c r="F77" s="21"/>
      <c r="G77" s="17"/>
      <c r="H77" s="18"/>
      <c r="I77" s="18"/>
      <c r="M77" s="23"/>
      <c r="N77" s="23"/>
      <c r="O77" s="23"/>
    </row>
    <row r="78" spans="1:15" x14ac:dyDescent="0.25">
      <c r="A78" s="25"/>
      <c r="B78" s="26"/>
      <c r="C78" s="26"/>
      <c r="D78" s="20"/>
      <c r="E78" s="21"/>
      <c r="F78" s="21"/>
      <c r="G78" s="17"/>
      <c r="H78" s="18"/>
      <c r="I78" s="18"/>
      <c r="M78" s="23"/>
      <c r="N78" s="23"/>
      <c r="O78" s="23"/>
    </row>
    <row r="79" spans="1:15" x14ac:dyDescent="0.25">
      <c r="A79" s="25"/>
      <c r="B79" s="26"/>
      <c r="C79" s="26"/>
      <c r="D79" s="20"/>
      <c r="E79" s="21"/>
      <c r="F79" s="21"/>
      <c r="G79" s="17"/>
      <c r="H79" s="18"/>
      <c r="I79" s="18"/>
      <c r="M79" s="23"/>
      <c r="N79" s="23"/>
      <c r="O79" s="23"/>
    </row>
    <row r="80" spans="1:15" x14ac:dyDescent="0.25">
      <c r="A80" s="25"/>
      <c r="B80" s="26"/>
      <c r="C80" s="26"/>
      <c r="D80" s="20"/>
      <c r="E80" s="21"/>
      <c r="F80" s="21"/>
      <c r="G80" s="17"/>
      <c r="H80" s="18"/>
      <c r="I80" s="18"/>
      <c r="M80" s="23"/>
      <c r="N80" s="23"/>
      <c r="O80" s="23"/>
    </row>
  </sheetData>
  <mergeCells count="8">
    <mergeCell ref="A1:K1"/>
    <mergeCell ref="L1:M1"/>
    <mergeCell ref="A5:C5"/>
    <mergeCell ref="D5:F5"/>
    <mergeCell ref="G5:I5"/>
    <mergeCell ref="J5:L5"/>
    <mergeCell ref="M5:O5"/>
    <mergeCell ref="C3:D3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3"/>
  <sheetViews>
    <sheetView topLeftCell="A5" workbookViewId="0">
      <pane ySplit="3" topLeftCell="A77" activePane="bottomLeft" state="frozen"/>
      <selection activeCell="A5" sqref="A5"/>
      <selection pane="bottomLeft" activeCell="K91" sqref="K91"/>
    </sheetView>
  </sheetViews>
  <sheetFormatPr baseColWidth="10" defaultRowHeight="15" x14ac:dyDescent="0.25"/>
  <cols>
    <col min="1" max="1" width="7.7109375" style="7" customWidth="1"/>
    <col min="2" max="2" width="8.140625" style="7" bestFit="1" customWidth="1"/>
    <col min="3" max="3" width="23.7109375" customWidth="1"/>
    <col min="4" max="4" width="7.7109375" style="7" customWidth="1"/>
    <col min="5" max="5" width="8.7109375" customWidth="1"/>
    <col min="6" max="6" width="23.7109375" customWidth="1"/>
    <col min="7" max="7" width="7.7109375" style="7" customWidth="1"/>
    <col min="8" max="8" width="8.7109375" customWidth="1"/>
    <col min="9" max="9" width="23.7109375" customWidth="1"/>
    <col min="10" max="10" width="7.7109375" style="7" customWidth="1"/>
    <col min="11" max="11" width="9.85546875" customWidth="1"/>
    <col min="12" max="12" width="23.7109375" customWidth="1"/>
    <col min="13" max="13" width="7.7109375" customWidth="1"/>
    <col min="14" max="14" width="9.5703125" customWidth="1"/>
    <col min="15" max="15" width="23.7109375" customWidth="1"/>
    <col min="16" max="16" width="13.7109375" customWidth="1"/>
  </cols>
  <sheetData>
    <row r="1" spans="1:17" ht="15.75" x14ac:dyDescent="0.25">
      <c r="A1" s="108" t="s">
        <v>10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10" t="s">
        <v>15</v>
      </c>
      <c r="M1" s="110"/>
      <c r="N1" s="6">
        <v>2014</v>
      </c>
      <c r="O1" s="5"/>
    </row>
    <row r="2" spans="1:17" ht="15.75" x14ac:dyDescent="0.25">
      <c r="A2" s="8">
        <v>2013</v>
      </c>
    </row>
    <row r="3" spans="1:17" ht="15.75" x14ac:dyDescent="0.25">
      <c r="A3" s="30" t="s">
        <v>7</v>
      </c>
      <c r="C3" s="116" t="s">
        <v>8</v>
      </c>
      <c r="D3" s="116"/>
      <c r="E3" s="28" t="s">
        <v>9</v>
      </c>
      <c r="F3" s="4">
        <f>A6+D6+G6+J6+M6</f>
        <v>410</v>
      </c>
      <c r="H3" s="4" t="s">
        <v>3</v>
      </c>
      <c r="I3" s="2">
        <f>B6+E6+H6+K6+N6</f>
        <v>315270</v>
      </c>
    </row>
    <row r="5" spans="1:17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1" t="s">
        <v>6</v>
      </c>
      <c r="K5" s="121"/>
      <c r="L5" s="121"/>
      <c r="M5" s="122" t="s">
        <v>17</v>
      </c>
      <c r="N5" s="122"/>
      <c r="O5" s="122"/>
      <c r="P5" s="117"/>
      <c r="Q5" s="117"/>
    </row>
    <row r="6" spans="1:17" x14ac:dyDescent="0.25">
      <c r="A6" s="9">
        <f>SUBTOTAL(3,A8:A120)</f>
        <v>52</v>
      </c>
      <c r="B6" s="9">
        <f>SUBTOTAL(9,B8:B120)</f>
        <v>30055</v>
      </c>
      <c r="C6" s="47">
        <v>42008</v>
      </c>
      <c r="D6" s="9">
        <f>SUBTOTAL(3,D8:D120)</f>
        <v>52</v>
      </c>
      <c r="E6" s="1">
        <f>SUBTOTAL(9,E8:E120)</f>
        <v>30530</v>
      </c>
      <c r="F6" s="50">
        <v>41285</v>
      </c>
      <c r="G6" s="9">
        <f>SUBTOTAL(3,G8:G120)</f>
        <v>52</v>
      </c>
      <c r="H6" s="1">
        <f>SUBTOTAL(9,H8:H120)</f>
        <v>38000</v>
      </c>
      <c r="I6" s="51">
        <v>45675</v>
      </c>
      <c r="J6" s="9">
        <f>SUBTOTAL(3,J8:J120)</f>
        <v>49</v>
      </c>
      <c r="K6" s="1">
        <f>SUBTOTAL(9,K8:K120)</f>
        <v>59050</v>
      </c>
      <c r="L6" s="96">
        <v>11348</v>
      </c>
      <c r="M6" s="1">
        <f>+A6+D6+G6+J6</f>
        <v>205</v>
      </c>
      <c r="N6" s="1">
        <f>+B6+E6+H6+K6</f>
        <v>157635</v>
      </c>
      <c r="O6" s="97"/>
      <c r="P6" s="42"/>
      <c r="Q6" s="41"/>
    </row>
    <row r="7" spans="1:17" x14ac:dyDescent="0.25">
      <c r="A7" s="55" t="s">
        <v>1</v>
      </c>
      <c r="B7" s="55" t="s">
        <v>3</v>
      </c>
      <c r="C7" s="55" t="s">
        <v>2</v>
      </c>
      <c r="D7" s="56" t="s">
        <v>1</v>
      </c>
      <c r="E7" s="56" t="s">
        <v>3</v>
      </c>
      <c r="F7" s="56" t="s">
        <v>2</v>
      </c>
      <c r="G7" s="57" t="s">
        <v>1</v>
      </c>
      <c r="H7" s="57" t="s">
        <v>3</v>
      </c>
      <c r="I7" s="57" t="s">
        <v>2</v>
      </c>
      <c r="J7" s="71" t="s">
        <v>1</v>
      </c>
      <c r="K7" s="71" t="s">
        <v>3</v>
      </c>
      <c r="L7" s="71" t="s">
        <v>2</v>
      </c>
      <c r="M7" s="53" t="s">
        <v>1</v>
      </c>
      <c r="N7" s="53" t="s">
        <v>3</v>
      </c>
      <c r="O7" s="53" t="s">
        <v>2</v>
      </c>
      <c r="P7" s="54"/>
      <c r="Q7" s="54"/>
    </row>
    <row r="8" spans="1:17" x14ac:dyDescent="0.25">
      <c r="A8" s="25">
        <v>8634</v>
      </c>
      <c r="B8" s="61">
        <v>980</v>
      </c>
      <c r="C8" s="26" t="s">
        <v>19</v>
      </c>
      <c r="D8" s="20">
        <v>8686</v>
      </c>
      <c r="E8" s="82">
        <v>4400</v>
      </c>
      <c r="F8" s="21" t="s">
        <v>36</v>
      </c>
      <c r="G8" s="15">
        <v>8729</v>
      </c>
      <c r="H8" s="89">
        <v>170</v>
      </c>
      <c r="I8" s="16" t="s">
        <v>70</v>
      </c>
      <c r="J8" s="62">
        <v>8784</v>
      </c>
      <c r="K8" s="91">
        <v>1160</v>
      </c>
      <c r="L8" s="63" t="s">
        <v>61</v>
      </c>
      <c r="M8" s="23"/>
      <c r="N8" s="85"/>
      <c r="O8" s="23"/>
      <c r="P8" s="7" t="s">
        <v>173</v>
      </c>
      <c r="Q8" s="7" t="s">
        <v>174</v>
      </c>
    </row>
    <row r="9" spans="1:17" x14ac:dyDescent="0.25">
      <c r="A9" s="25"/>
      <c r="B9" s="61"/>
      <c r="C9" s="26" t="s">
        <v>20</v>
      </c>
      <c r="D9" s="20">
        <v>8687</v>
      </c>
      <c r="E9" s="82">
        <v>4400</v>
      </c>
      <c r="F9" s="34" t="s">
        <v>36</v>
      </c>
      <c r="G9" s="15"/>
      <c r="H9" s="89"/>
      <c r="I9" s="16" t="s">
        <v>63</v>
      </c>
      <c r="J9" s="62"/>
      <c r="K9" s="91"/>
      <c r="L9" s="63" t="s">
        <v>92</v>
      </c>
      <c r="M9" s="23"/>
      <c r="N9" s="85"/>
      <c r="O9" s="23"/>
      <c r="P9" s="102">
        <v>136585</v>
      </c>
      <c r="Q9" s="102">
        <v>50</v>
      </c>
    </row>
    <row r="10" spans="1:17" x14ac:dyDescent="0.25">
      <c r="A10" s="25"/>
      <c r="B10" s="61"/>
      <c r="C10" s="26" t="s">
        <v>21</v>
      </c>
      <c r="D10" s="20">
        <v>8688</v>
      </c>
      <c r="E10" s="82">
        <v>40</v>
      </c>
      <c r="F10" s="21" t="s">
        <v>35</v>
      </c>
      <c r="G10" s="15">
        <v>8730</v>
      </c>
      <c r="H10" s="89">
        <v>680</v>
      </c>
      <c r="I10" s="16" t="s">
        <v>46</v>
      </c>
      <c r="J10" s="62"/>
      <c r="K10" s="91"/>
      <c r="L10" s="63" t="s">
        <v>93</v>
      </c>
      <c r="M10" s="23"/>
      <c r="N10" s="85"/>
      <c r="O10" s="23"/>
    </row>
    <row r="11" spans="1:17" x14ac:dyDescent="0.25">
      <c r="A11" s="25">
        <v>8635</v>
      </c>
      <c r="B11" s="61">
        <v>600</v>
      </c>
      <c r="C11" s="26" t="s">
        <v>22</v>
      </c>
      <c r="D11" s="20">
        <v>8689</v>
      </c>
      <c r="E11" s="88">
        <v>20</v>
      </c>
      <c r="F11" s="21" t="s">
        <v>43</v>
      </c>
      <c r="G11" s="15"/>
      <c r="H11" s="89"/>
      <c r="I11" s="16" t="s">
        <v>64</v>
      </c>
      <c r="J11" s="62"/>
      <c r="K11" s="91"/>
      <c r="L11" s="63" t="s">
        <v>94</v>
      </c>
      <c r="M11" s="23"/>
      <c r="N11" s="85"/>
      <c r="O11" s="23"/>
    </row>
    <row r="12" spans="1:17" x14ac:dyDescent="0.25">
      <c r="A12" s="25">
        <v>8636</v>
      </c>
      <c r="B12" s="61">
        <v>160</v>
      </c>
      <c r="C12" s="26" t="s">
        <v>23</v>
      </c>
      <c r="D12" s="20">
        <v>8690</v>
      </c>
      <c r="E12" s="82"/>
      <c r="F12" s="21"/>
      <c r="G12" s="15"/>
      <c r="H12" s="89"/>
      <c r="I12" s="16" t="s">
        <v>21</v>
      </c>
      <c r="J12" s="65">
        <v>8785</v>
      </c>
      <c r="K12" s="84">
        <v>400</v>
      </c>
      <c r="L12" s="68"/>
      <c r="M12" s="23"/>
      <c r="N12" s="85"/>
      <c r="O12" s="23"/>
    </row>
    <row r="13" spans="1:17" x14ac:dyDescent="0.25">
      <c r="A13" s="25">
        <v>8637</v>
      </c>
      <c r="B13" s="61">
        <v>800</v>
      </c>
      <c r="C13" s="26" t="s">
        <v>24</v>
      </c>
      <c r="D13" s="20">
        <v>8691</v>
      </c>
      <c r="E13" s="21"/>
      <c r="F13" s="21" t="s">
        <v>44</v>
      </c>
      <c r="G13" s="15">
        <v>8731</v>
      </c>
      <c r="H13" s="89">
        <v>580</v>
      </c>
      <c r="I13" s="16" t="s">
        <v>69</v>
      </c>
      <c r="J13" s="62">
        <v>8786</v>
      </c>
      <c r="K13" s="91">
        <v>400</v>
      </c>
      <c r="L13" s="63" t="s">
        <v>95</v>
      </c>
      <c r="M13" s="23"/>
      <c r="N13" s="85"/>
      <c r="O13" s="23"/>
    </row>
    <row r="14" spans="1:17" x14ac:dyDescent="0.25">
      <c r="A14" s="25"/>
      <c r="B14" s="61"/>
      <c r="C14" s="26" t="s">
        <v>25</v>
      </c>
      <c r="D14" s="20">
        <v>8692</v>
      </c>
      <c r="E14" s="82">
        <v>80</v>
      </c>
      <c r="F14" s="21" t="s">
        <v>35</v>
      </c>
      <c r="G14" s="15"/>
      <c r="H14" s="89"/>
      <c r="I14" s="16" t="s">
        <v>65</v>
      </c>
      <c r="J14" s="62"/>
      <c r="K14" s="91"/>
      <c r="L14" s="63" t="s">
        <v>86</v>
      </c>
      <c r="M14" s="23"/>
      <c r="N14" s="85"/>
      <c r="O14" s="23"/>
    </row>
    <row r="15" spans="1:17" x14ac:dyDescent="0.25">
      <c r="A15" s="25">
        <v>8638</v>
      </c>
      <c r="B15" s="61">
        <v>400</v>
      </c>
      <c r="C15" s="26" t="s">
        <v>26</v>
      </c>
      <c r="D15" s="20">
        <v>8693</v>
      </c>
      <c r="E15" s="82">
        <v>300</v>
      </c>
      <c r="F15" s="21" t="s">
        <v>45</v>
      </c>
      <c r="G15" s="15"/>
      <c r="H15" s="89"/>
      <c r="I15" s="16" t="s">
        <v>30</v>
      </c>
      <c r="J15" s="62">
        <v>8787</v>
      </c>
      <c r="K15" s="91">
        <v>160</v>
      </c>
      <c r="L15" s="63" t="s">
        <v>96</v>
      </c>
      <c r="M15" s="23"/>
      <c r="N15" s="85"/>
      <c r="O15" s="23"/>
    </row>
    <row r="16" spans="1:17" x14ac:dyDescent="0.25">
      <c r="A16" s="25"/>
      <c r="B16" s="61"/>
      <c r="C16" s="26" t="s">
        <v>27</v>
      </c>
      <c r="D16" s="20">
        <v>8694</v>
      </c>
      <c r="E16" s="82">
        <v>350</v>
      </c>
      <c r="F16" s="21"/>
      <c r="G16" s="15">
        <v>8732</v>
      </c>
      <c r="H16" s="89">
        <v>1160</v>
      </c>
      <c r="I16" s="35" t="s">
        <v>66</v>
      </c>
      <c r="J16" s="62">
        <v>8788</v>
      </c>
      <c r="K16" s="91">
        <v>2200</v>
      </c>
      <c r="L16" s="63" t="s">
        <v>97</v>
      </c>
      <c r="M16" s="23"/>
      <c r="N16" s="85"/>
      <c r="O16" s="23"/>
    </row>
    <row r="17" spans="1:15" x14ac:dyDescent="0.25">
      <c r="A17" s="25">
        <v>8639</v>
      </c>
      <c r="B17" s="61">
        <v>400</v>
      </c>
      <c r="C17" s="26"/>
      <c r="D17" s="20">
        <v>8695</v>
      </c>
      <c r="E17" s="82">
        <v>800</v>
      </c>
      <c r="F17" s="21" t="s">
        <v>46</v>
      </c>
      <c r="G17" s="15"/>
      <c r="H17" s="89"/>
      <c r="I17" s="16" t="s">
        <v>67</v>
      </c>
      <c r="J17" s="62"/>
      <c r="K17" s="91"/>
      <c r="L17" s="63" t="s">
        <v>27</v>
      </c>
      <c r="M17" s="23"/>
      <c r="N17" s="85"/>
      <c r="O17" s="23"/>
    </row>
    <row r="18" spans="1:15" x14ac:dyDescent="0.25">
      <c r="A18" s="25">
        <v>8640</v>
      </c>
      <c r="B18" s="61">
        <v>800</v>
      </c>
      <c r="C18" s="26" t="s">
        <v>28</v>
      </c>
      <c r="D18" s="20"/>
      <c r="E18" s="82"/>
      <c r="F18" s="21" t="s">
        <v>25</v>
      </c>
      <c r="G18" s="15"/>
      <c r="H18" s="89"/>
      <c r="I18" s="16" t="s">
        <v>68</v>
      </c>
      <c r="J18" s="62">
        <v>8789</v>
      </c>
      <c r="K18" s="91">
        <v>1200</v>
      </c>
      <c r="L18" s="63" t="s">
        <v>50</v>
      </c>
      <c r="M18" s="23"/>
      <c r="N18" s="85"/>
      <c r="O18" s="23"/>
    </row>
    <row r="19" spans="1:15" x14ac:dyDescent="0.25">
      <c r="A19" s="25"/>
      <c r="B19" s="61"/>
      <c r="C19" s="26" t="s">
        <v>25</v>
      </c>
      <c r="D19" s="20">
        <v>8696</v>
      </c>
      <c r="E19" s="82">
        <v>800</v>
      </c>
      <c r="F19" s="21" t="s">
        <v>46</v>
      </c>
      <c r="G19" s="15">
        <v>8733</v>
      </c>
      <c r="H19" s="89">
        <v>720</v>
      </c>
      <c r="I19" s="16" t="s">
        <v>71</v>
      </c>
      <c r="J19" s="62"/>
      <c r="K19" s="91"/>
      <c r="L19" s="63" t="s">
        <v>98</v>
      </c>
      <c r="M19" s="23"/>
      <c r="N19" s="85"/>
      <c r="O19" s="23"/>
    </row>
    <row r="20" spans="1:15" x14ac:dyDescent="0.25">
      <c r="A20" s="25">
        <v>8641</v>
      </c>
      <c r="B20" s="61">
        <v>400</v>
      </c>
      <c r="C20" s="26"/>
      <c r="D20" s="20"/>
      <c r="E20" s="82"/>
      <c r="F20" s="21" t="s">
        <v>25</v>
      </c>
      <c r="G20" s="15"/>
      <c r="H20" s="89"/>
      <c r="I20" s="16" t="s">
        <v>72</v>
      </c>
      <c r="J20" s="62"/>
      <c r="K20" s="91"/>
      <c r="L20" s="63" t="s">
        <v>99</v>
      </c>
      <c r="M20" s="23"/>
      <c r="N20" s="85"/>
      <c r="O20" s="23"/>
    </row>
    <row r="21" spans="1:15" x14ac:dyDescent="0.25">
      <c r="A21" s="25">
        <v>8642</v>
      </c>
      <c r="B21" s="61">
        <v>420</v>
      </c>
      <c r="C21" s="26" t="s">
        <v>29</v>
      </c>
      <c r="D21" s="20">
        <v>8697</v>
      </c>
      <c r="E21" s="82">
        <v>800</v>
      </c>
      <c r="F21" s="21" t="s">
        <v>26</v>
      </c>
      <c r="G21" s="15">
        <v>8734</v>
      </c>
      <c r="H21" s="89">
        <v>400</v>
      </c>
      <c r="I21" s="16"/>
      <c r="J21" s="65">
        <v>8790</v>
      </c>
      <c r="K21" s="84">
        <v>4400</v>
      </c>
      <c r="L21" s="63" t="s">
        <v>36</v>
      </c>
      <c r="M21" s="23"/>
      <c r="N21" s="85"/>
      <c r="O21" s="23"/>
    </row>
    <row r="22" spans="1:15" x14ac:dyDescent="0.25">
      <c r="A22" s="25"/>
      <c r="B22" s="61"/>
      <c r="C22" s="26" t="s">
        <v>30</v>
      </c>
      <c r="D22" s="20"/>
      <c r="E22" s="82"/>
      <c r="F22" s="21" t="s">
        <v>25</v>
      </c>
      <c r="G22" s="15">
        <v>8738</v>
      </c>
      <c r="H22" s="89"/>
      <c r="I22" s="36" t="s">
        <v>73</v>
      </c>
      <c r="J22" s="62"/>
      <c r="K22" s="91"/>
      <c r="L22" s="63" t="s">
        <v>25</v>
      </c>
      <c r="M22" s="23"/>
      <c r="N22" s="85"/>
      <c r="O22" s="23"/>
    </row>
    <row r="23" spans="1:15" x14ac:dyDescent="0.25">
      <c r="A23" s="25">
        <v>8643</v>
      </c>
      <c r="B23" s="61">
        <v>1200</v>
      </c>
      <c r="C23" s="26" t="s">
        <v>31</v>
      </c>
      <c r="D23" s="20">
        <v>8698</v>
      </c>
      <c r="E23" s="82">
        <v>450</v>
      </c>
      <c r="F23" s="21" t="s">
        <v>47</v>
      </c>
      <c r="G23" s="15">
        <v>8739</v>
      </c>
      <c r="H23" s="89">
        <v>400</v>
      </c>
      <c r="I23" s="16"/>
      <c r="J23" s="62">
        <v>8791</v>
      </c>
      <c r="K23" s="91">
        <v>400</v>
      </c>
      <c r="L23" s="63"/>
      <c r="M23" s="23"/>
      <c r="N23" s="85"/>
      <c r="O23" s="23"/>
    </row>
    <row r="24" spans="1:15" x14ac:dyDescent="0.25">
      <c r="A24" s="25"/>
      <c r="B24" s="61"/>
      <c r="C24" s="26" t="s">
        <v>25</v>
      </c>
      <c r="D24" s="20"/>
      <c r="E24" s="82"/>
      <c r="F24" s="21" t="s">
        <v>48</v>
      </c>
      <c r="G24" s="15">
        <v>8740</v>
      </c>
      <c r="H24" s="89">
        <v>600</v>
      </c>
      <c r="I24" s="16" t="s">
        <v>42</v>
      </c>
      <c r="J24" s="62">
        <v>8792</v>
      </c>
      <c r="K24" s="91">
        <v>300</v>
      </c>
      <c r="L24" s="63"/>
      <c r="M24" s="23"/>
      <c r="N24" s="85"/>
      <c r="O24" s="23"/>
    </row>
    <row r="25" spans="1:15" x14ac:dyDescent="0.25">
      <c r="A25" s="25">
        <v>8644</v>
      </c>
      <c r="B25" s="61">
        <v>400</v>
      </c>
      <c r="C25" s="26"/>
      <c r="D25" s="20">
        <v>8699</v>
      </c>
      <c r="E25" s="82">
        <v>160</v>
      </c>
      <c r="F25" s="21" t="s">
        <v>49</v>
      </c>
      <c r="G25" s="15"/>
      <c r="H25" s="89"/>
      <c r="I25" s="16" t="s">
        <v>27</v>
      </c>
      <c r="J25" s="62">
        <v>8793</v>
      </c>
      <c r="K25" s="91">
        <v>400</v>
      </c>
      <c r="L25" s="63"/>
      <c r="M25" s="23"/>
      <c r="N25" s="85"/>
      <c r="O25" s="23"/>
    </row>
    <row r="26" spans="1:15" x14ac:dyDescent="0.25">
      <c r="A26" s="25">
        <v>8645</v>
      </c>
      <c r="B26" s="61">
        <v>600</v>
      </c>
      <c r="C26" s="26" t="s">
        <v>32</v>
      </c>
      <c r="D26" s="20">
        <v>8700</v>
      </c>
      <c r="E26" s="82">
        <v>400</v>
      </c>
      <c r="F26" s="21"/>
      <c r="G26" s="15">
        <v>8741</v>
      </c>
      <c r="H26" s="89">
        <v>300</v>
      </c>
      <c r="I26" s="16"/>
      <c r="J26" s="62">
        <v>8794</v>
      </c>
      <c r="K26" s="91">
        <v>400</v>
      </c>
      <c r="L26" s="63"/>
      <c r="M26" s="23"/>
      <c r="N26" s="85"/>
      <c r="O26" s="23"/>
    </row>
    <row r="27" spans="1:15" x14ac:dyDescent="0.25">
      <c r="A27" s="25"/>
      <c r="B27" s="61"/>
      <c r="C27" s="26" t="s">
        <v>33</v>
      </c>
      <c r="D27" s="20">
        <v>8701</v>
      </c>
      <c r="E27" s="82">
        <v>160</v>
      </c>
      <c r="F27" s="21" t="s">
        <v>49</v>
      </c>
      <c r="G27" s="15">
        <v>8742</v>
      </c>
      <c r="H27" s="89">
        <v>1350</v>
      </c>
      <c r="I27" s="16" t="s">
        <v>74</v>
      </c>
      <c r="J27" s="62">
        <v>8795</v>
      </c>
      <c r="K27" s="91">
        <v>600</v>
      </c>
      <c r="L27" s="63" t="s">
        <v>26</v>
      </c>
      <c r="M27" s="23"/>
      <c r="N27" s="85"/>
      <c r="O27" s="23"/>
    </row>
    <row r="28" spans="1:15" x14ac:dyDescent="0.25">
      <c r="A28" s="25">
        <v>8646</v>
      </c>
      <c r="B28" s="61">
        <v>400</v>
      </c>
      <c r="C28" s="26"/>
      <c r="D28" s="20">
        <v>8702</v>
      </c>
      <c r="E28" s="82">
        <v>200</v>
      </c>
      <c r="F28" s="21"/>
      <c r="G28" s="15"/>
      <c r="H28" s="89"/>
      <c r="I28" s="16" t="s">
        <v>75</v>
      </c>
      <c r="J28" s="62"/>
      <c r="K28" s="91"/>
      <c r="L28" s="63" t="s">
        <v>33</v>
      </c>
      <c r="M28" s="23"/>
      <c r="N28" s="85"/>
      <c r="O28" s="23"/>
    </row>
    <row r="29" spans="1:15" x14ac:dyDescent="0.25">
      <c r="A29" s="25">
        <v>8647</v>
      </c>
      <c r="B29" s="61">
        <v>125</v>
      </c>
      <c r="C29" s="26"/>
      <c r="D29" s="20">
        <v>8703</v>
      </c>
      <c r="E29" s="82">
        <v>400</v>
      </c>
      <c r="F29" s="21"/>
      <c r="G29" s="15"/>
      <c r="H29" s="89"/>
      <c r="I29" s="16" t="s">
        <v>76</v>
      </c>
      <c r="J29" s="62">
        <v>8796</v>
      </c>
      <c r="K29" s="91">
        <v>400</v>
      </c>
      <c r="L29" s="63" t="s">
        <v>26</v>
      </c>
      <c r="M29" s="23"/>
      <c r="N29" s="85"/>
      <c r="O29" s="23"/>
    </row>
    <row r="30" spans="1:15" x14ac:dyDescent="0.25">
      <c r="A30" s="25">
        <v>8648</v>
      </c>
      <c r="B30" s="61">
        <v>400</v>
      </c>
      <c r="C30" s="26"/>
      <c r="D30" s="20">
        <v>8704</v>
      </c>
      <c r="E30" s="82">
        <v>900</v>
      </c>
      <c r="F30" s="21" t="s">
        <v>50</v>
      </c>
      <c r="G30" s="15">
        <v>8743</v>
      </c>
      <c r="H30" s="89">
        <v>800</v>
      </c>
      <c r="I30" s="16" t="s">
        <v>26</v>
      </c>
      <c r="J30" s="62"/>
      <c r="K30" s="91"/>
      <c r="L30" s="63" t="s">
        <v>27</v>
      </c>
      <c r="M30" s="23"/>
      <c r="N30" s="85"/>
      <c r="O30" s="23"/>
    </row>
    <row r="31" spans="1:15" x14ac:dyDescent="0.25">
      <c r="A31" s="25">
        <v>8649</v>
      </c>
      <c r="B31" s="61">
        <v>1600</v>
      </c>
      <c r="C31" s="26" t="s">
        <v>34</v>
      </c>
      <c r="D31" s="20"/>
      <c r="E31" s="82"/>
      <c r="F31" s="21" t="s">
        <v>51</v>
      </c>
      <c r="G31" s="15"/>
      <c r="H31" s="89"/>
      <c r="I31" s="16" t="s">
        <v>25</v>
      </c>
      <c r="J31" s="62">
        <v>8797</v>
      </c>
      <c r="K31" s="91">
        <v>400</v>
      </c>
      <c r="L31" s="63"/>
      <c r="M31" s="23"/>
      <c r="N31" s="85"/>
      <c r="O31" s="23"/>
    </row>
    <row r="32" spans="1:15" x14ac:dyDescent="0.25">
      <c r="A32" s="25"/>
      <c r="B32" s="61"/>
      <c r="C32" s="26" t="s">
        <v>25</v>
      </c>
      <c r="D32" s="20">
        <v>8705</v>
      </c>
      <c r="E32" s="82">
        <v>300</v>
      </c>
      <c r="F32" s="21"/>
      <c r="G32" s="15">
        <v>8744</v>
      </c>
      <c r="H32" s="89">
        <v>400</v>
      </c>
      <c r="I32" s="16"/>
      <c r="J32" s="62">
        <v>8798</v>
      </c>
      <c r="K32" s="91">
        <v>300</v>
      </c>
      <c r="L32" s="63"/>
      <c r="M32" s="23"/>
      <c r="N32" s="85"/>
      <c r="O32" s="23"/>
    </row>
    <row r="33" spans="1:15" x14ac:dyDescent="0.25">
      <c r="A33" s="25">
        <v>8650</v>
      </c>
      <c r="B33" s="61">
        <v>400</v>
      </c>
      <c r="C33" s="26"/>
      <c r="D33" s="20">
        <v>8706</v>
      </c>
      <c r="E33" s="82">
        <v>400</v>
      </c>
      <c r="F33" s="21"/>
      <c r="G33" s="15">
        <v>8745</v>
      </c>
      <c r="H33" s="89">
        <v>400</v>
      </c>
      <c r="I33" s="16"/>
      <c r="J33" s="62">
        <v>8799</v>
      </c>
      <c r="K33" s="91">
        <v>1200</v>
      </c>
      <c r="L33" s="63" t="s">
        <v>78</v>
      </c>
      <c r="M33" s="23"/>
      <c r="N33" s="85"/>
      <c r="O33" s="23"/>
    </row>
    <row r="34" spans="1:15" x14ac:dyDescent="0.25">
      <c r="A34" s="25">
        <v>8651</v>
      </c>
      <c r="B34" s="61">
        <v>400</v>
      </c>
      <c r="C34" s="26"/>
      <c r="D34" s="20">
        <v>8707</v>
      </c>
      <c r="E34" s="82">
        <v>200</v>
      </c>
      <c r="F34" s="31"/>
      <c r="G34" s="15">
        <v>8746</v>
      </c>
      <c r="H34" s="89">
        <v>560</v>
      </c>
      <c r="I34" s="16" t="s">
        <v>52</v>
      </c>
      <c r="J34" s="62"/>
      <c r="K34" s="91"/>
      <c r="L34" s="63" t="s">
        <v>100</v>
      </c>
      <c r="M34" s="23"/>
      <c r="N34" s="85"/>
      <c r="O34" s="23"/>
    </row>
    <row r="35" spans="1:15" x14ac:dyDescent="0.25">
      <c r="A35" s="25">
        <v>8652</v>
      </c>
      <c r="B35" s="61">
        <v>400</v>
      </c>
      <c r="C35" s="26"/>
      <c r="D35" s="20">
        <v>8708</v>
      </c>
      <c r="E35" s="82">
        <v>400</v>
      </c>
      <c r="F35" s="21"/>
      <c r="G35" s="15"/>
      <c r="H35" s="89"/>
      <c r="I35" s="16" t="s">
        <v>53</v>
      </c>
      <c r="J35" s="62">
        <v>8800</v>
      </c>
      <c r="K35" s="91">
        <v>300</v>
      </c>
      <c r="L35" s="63"/>
      <c r="M35" s="23"/>
      <c r="N35" s="85"/>
      <c r="O35" s="23"/>
    </row>
    <row r="36" spans="1:15" x14ac:dyDescent="0.25">
      <c r="A36" s="25">
        <v>8653</v>
      </c>
      <c r="B36" s="61">
        <v>300</v>
      </c>
      <c r="C36" s="26"/>
      <c r="D36" s="20">
        <v>8709</v>
      </c>
      <c r="E36" s="82">
        <v>560</v>
      </c>
      <c r="F36" s="21" t="s">
        <v>52</v>
      </c>
      <c r="G36" s="15">
        <v>8747</v>
      </c>
      <c r="H36" s="89">
        <v>800</v>
      </c>
      <c r="I36" s="16" t="s">
        <v>46</v>
      </c>
      <c r="J36" s="62">
        <v>8801</v>
      </c>
      <c r="K36" s="91">
        <v>160</v>
      </c>
      <c r="L36" s="63" t="s">
        <v>49</v>
      </c>
      <c r="M36" s="23"/>
      <c r="N36" s="85"/>
      <c r="O36" s="23"/>
    </row>
    <row r="37" spans="1:15" x14ac:dyDescent="0.25">
      <c r="A37" s="25">
        <v>8654</v>
      </c>
      <c r="B37" s="61">
        <v>400</v>
      </c>
      <c r="C37" s="26"/>
      <c r="D37" s="20"/>
      <c r="E37" s="82"/>
      <c r="F37" s="21" t="s">
        <v>53</v>
      </c>
      <c r="G37" s="15"/>
      <c r="H37" s="89"/>
      <c r="I37" s="16" t="s">
        <v>25</v>
      </c>
      <c r="J37" s="62">
        <v>8802</v>
      </c>
      <c r="K37" s="91">
        <v>4400</v>
      </c>
      <c r="L37" s="64" t="s">
        <v>101</v>
      </c>
      <c r="M37" s="23"/>
      <c r="N37" s="85"/>
      <c r="O37" s="23"/>
    </row>
    <row r="38" spans="1:15" x14ac:dyDescent="0.25">
      <c r="A38" s="25">
        <v>8655</v>
      </c>
      <c r="B38" s="61">
        <v>400</v>
      </c>
      <c r="C38" s="26"/>
      <c r="D38" s="20">
        <v>8710</v>
      </c>
      <c r="E38" s="82">
        <v>240</v>
      </c>
      <c r="F38" s="21" t="s">
        <v>22</v>
      </c>
      <c r="G38" s="15">
        <v>8748</v>
      </c>
      <c r="H38" s="89">
        <v>2800</v>
      </c>
      <c r="I38" s="16" t="s">
        <v>77</v>
      </c>
      <c r="J38" s="62"/>
      <c r="K38" s="91"/>
      <c r="L38" s="64" t="s">
        <v>25</v>
      </c>
      <c r="M38" s="23"/>
      <c r="N38" s="85"/>
      <c r="O38" s="23"/>
    </row>
    <row r="39" spans="1:15" x14ac:dyDescent="0.25">
      <c r="A39" s="25">
        <v>8656</v>
      </c>
      <c r="B39" s="61">
        <v>400</v>
      </c>
      <c r="C39" s="26"/>
      <c r="D39" s="20"/>
      <c r="E39" s="82"/>
      <c r="F39" s="21" t="s">
        <v>54</v>
      </c>
      <c r="G39" s="15"/>
      <c r="H39" s="89"/>
      <c r="I39" s="16" t="s">
        <v>25</v>
      </c>
      <c r="J39" s="62">
        <v>8803</v>
      </c>
      <c r="K39" s="91">
        <v>300</v>
      </c>
      <c r="L39" s="63" t="s">
        <v>50</v>
      </c>
      <c r="M39" s="23"/>
      <c r="N39" s="85"/>
      <c r="O39" s="23"/>
    </row>
    <row r="40" spans="1:15" x14ac:dyDescent="0.25">
      <c r="A40" s="25">
        <v>8657</v>
      </c>
      <c r="B40" s="61">
        <v>160</v>
      </c>
      <c r="C40" s="26" t="s">
        <v>23</v>
      </c>
      <c r="D40" s="20">
        <v>8711</v>
      </c>
      <c r="E40" s="82">
        <v>400</v>
      </c>
      <c r="F40" s="21"/>
      <c r="G40" s="15">
        <v>8749</v>
      </c>
      <c r="H40" s="89">
        <v>1600</v>
      </c>
      <c r="I40" s="16" t="s">
        <v>78</v>
      </c>
      <c r="J40" s="62"/>
      <c r="K40" s="91"/>
      <c r="L40" s="63" t="s">
        <v>38</v>
      </c>
      <c r="M40" s="23"/>
      <c r="N40" s="85"/>
      <c r="O40" s="23"/>
    </row>
    <row r="41" spans="1:15" x14ac:dyDescent="0.25">
      <c r="A41" s="25">
        <v>8658</v>
      </c>
      <c r="B41" s="61">
        <v>800</v>
      </c>
      <c r="C41" s="26" t="s">
        <v>26</v>
      </c>
      <c r="D41" s="20">
        <v>8712</v>
      </c>
      <c r="E41" s="82">
        <v>400</v>
      </c>
      <c r="F41" s="21"/>
      <c r="G41" s="15"/>
      <c r="H41" s="89"/>
      <c r="I41" s="16" t="s">
        <v>79</v>
      </c>
      <c r="J41" s="62">
        <v>8804</v>
      </c>
      <c r="K41" s="91">
        <v>300</v>
      </c>
      <c r="L41" s="63" t="s">
        <v>50</v>
      </c>
      <c r="M41" s="23"/>
      <c r="N41" s="85"/>
      <c r="O41" s="23"/>
    </row>
    <row r="42" spans="1:15" x14ac:dyDescent="0.25">
      <c r="A42" s="25"/>
      <c r="B42" s="61"/>
      <c r="C42" s="26" t="s">
        <v>25</v>
      </c>
      <c r="D42" s="20">
        <v>8713</v>
      </c>
      <c r="E42" s="82">
        <v>4400</v>
      </c>
      <c r="F42" s="21" t="s">
        <v>36</v>
      </c>
      <c r="G42" s="15">
        <v>8750</v>
      </c>
      <c r="H42" s="89">
        <v>500</v>
      </c>
      <c r="I42" s="16" t="s">
        <v>80</v>
      </c>
      <c r="J42" s="62"/>
      <c r="K42" s="91"/>
      <c r="L42" s="63" t="s">
        <v>38</v>
      </c>
      <c r="M42" s="23"/>
      <c r="N42" s="85"/>
      <c r="O42" s="23"/>
    </row>
    <row r="43" spans="1:15" x14ac:dyDescent="0.25">
      <c r="A43" s="25">
        <v>8659</v>
      </c>
      <c r="B43" s="61">
        <v>200</v>
      </c>
      <c r="C43" s="26"/>
      <c r="D43" s="20">
        <v>8714</v>
      </c>
      <c r="E43" s="82">
        <v>720</v>
      </c>
      <c r="F43" s="21" t="s">
        <v>41</v>
      </c>
      <c r="G43" s="15"/>
      <c r="H43" s="89"/>
      <c r="I43" s="16" t="s">
        <v>81</v>
      </c>
      <c r="J43" s="65">
        <v>8805</v>
      </c>
      <c r="K43" s="84">
        <v>400</v>
      </c>
      <c r="L43" s="63"/>
      <c r="M43" s="23"/>
      <c r="N43" s="85"/>
      <c r="O43" s="23"/>
    </row>
    <row r="44" spans="1:15" x14ac:dyDescent="0.25">
      <c r="A44" s="25">
        <v>8660</v>
      </c>
      <c r="B44" s="61">
        <v>400</v>
      </c>
      <c r="C44" s="26"/>
      <c r="D44" s="20"/>
      <c r="E44" s="82"/>
      <c r="F44" s="21" t="s">
        <v>55</v>
      </c>
      <c r="G44" s="15">
        <v>8751</v>
      </c>
      <c r="H44" s="89">
        <v>200</v>
      </c>
      <c r="I44" s="16"/>
      <c r="J44" s="62">
        <v>8806</v>
      </c>
      <c r="K44" s="91">
        <v>300</v>
      </c>
      <c r="L44" s="63"/>
      <c r="M44" s="23"/>
      <c r="N44" s="85"/>
      <c r="O44" s="23"/>
    </row>
    <row r="45" spans="1:15" x14ac:dyDescent="0.25">
      <c r="A45" s="25">
        <v>8661</v>
      </c>
      <c r="B45" s="61">
        <v>400</v>
      </c>
      <c r="C45" s="26"/>
      <c r="D45" s="20"/>
      <c r="E45" s="82"/>
      <c r="F45" s="21" t="s">
        <v>56</v>
      </c>
      <c r="G45" s="15">
        <v>8752</v>
      </c>
      <c r="H45" s="89">
        <v>600</v>
      </c>
      <c r="I45" s="16" t="s">
        <v>42</v>
      </c>
      <c r="J45" s="65">
        <v>8807</v>
      </c>
      <c r="K45" s="84">
        <v>560</v>
      </c>
      <c r="L45" s="63" t="s">
        <v>102</v>
      </c>
      <c r="M45" s="23"/>
      <c r="N45" s="85"/>
      <c r="O45" s="23"/>
    </row>
    <row r="46" spans="1:15" x14ac:dyDescent="0.25">
      <c r="A46" s="25">
        <v>8662</v>
      </c>
      <c r="B46" s="61">
        <v>400</v>
      </c>
      <c r="C46" s="26" t="s">
        <v>22</v>
      </c>
      <c r="D46" s="20">
        <v>8715</v>
      </c>
      <c r="E46" s="82">
        <v>420</v>
      </c>
      <c r="F46" s="21" t="s">
        <v>22</v>
      </c>
      <c r="G46" s="15"/>
      <c r="H46" s="89"/>
      <c r="I46" s="16" t="s">
        <v>27</v>
      </c>
      <c r="J46" s="62"/>
      <c r="K46" s="91"/>
      <c r="L46" s="63" t="s">
        <v>103</v>
      </c>
      <c r="M46" s="23"/>
      <c r="N46" s="85"/>
      <c r="O46" s="23"/>
    </row>
    <row r="47" spans="1:15" x14ac:dyDescent="0.25">
      <c r="A47" s="25">
        <v>8663</v>
      </c>
      <c r="B47" s="61">
        <v>400</v>
      </c>
      <c r="C47" s="26" t="s">
        <v>22</v>
      </c>
      <c r="D47" s="20"/>
      <c r="E47" s="82"/>
      <c r="F47" s="21" t="s">
        <v>57</v>
      </c>
      <c r="G47" s="15">
        <v>8753</v>
      </c>
      <c r="H47" s="89">
        <v>300</v>
      </c>
      <c r="I47" s="16"/>
      <c r="J47" s="62"/>
      <c r="K47" s="91"/>
      <c r="L47" s="63" t="s">
        <v>104</v>
      </c>
      <c r="M47" s="23"/>
      <c r="N47" s="85"/>
      <c r="O47" s="23"/>
    </row>
    <row r="48" spans="1:15" x14ac:dyDescent="0.25">
      <c r="A48" s="25">
        <v>8664</v>
      </c>
      <c r="B48" s="61">
        <v>40</v>
      </c>
      <c r="C48" s="26" t="s">
        <v>35</v>
      </c>
      <c r="D48" s="20">
        <v>8716</v>
      </c>
      <c r="E48" s="82">
        <v>180</v>
      </c>
      <c r="F48" s="21" t="s">
        <v>58</v>
      </c>
      <c r="G48" s="15">
        <v>8754</v>
      </c>
      <c r="H48" s="89">
        <v>3300</v>
      </c>
      <c r="I48" s="16" t="s">
        <v>82</v>
      </c>
      <c r="J48" s="65">
        <v>8808</v>
      </c>
      <c r="K48" s="91">
        <v>200</v>
      </c>
      <c r="L48" s="66" t="s">
        <v>22</v>
      </c>
      <c r="M48" s="23"/>
      <c r="N48" s="85"/>
      <c r="O48" s="23"/>
    </row>
    <row r="49" spans="1:15" x14ac:dyDescent="0.25">
      <c r="A49" s="25">
        <v>8665</v>
      </c>
      <c r="B49" s="61">
        <v>400</v>
      </c>
      <c r="C49" s="26"/>
      <c r="D49" s="20"/>
      <c r="E49" s="82"/>
      <c r="F49" s="21" t="s">
        <v>59</v>
      </c>
      <c r="G49" s="15"/>
      <c r="H49" s="89"/>
      <c r="I49" s="16" t="s">
        <v>83</v>
      </c>
      <c r="J49" s="65">
        <v>8809</v>
      </c>
      <c r="K49" s="91">
        <v>300</v>
      </c>
      <c r="L49" s="67" t="s">
        <v>41</v>
      </c>
      <c r="M49" s="23"/>
      <c r="N49" s="85"/>
      <c r="O49" s="23"/>
    </row>
    <row r="50" spans="1:15" x14ac:dyDescent="0.25">
      <c r="A50" s="25">
        <v>8666</v>
      </c>
      <c r="B50" s="61">
        <v>4400</v>
      </c>
      <c r="C50" s="26" t="s">
        <v>36</v>
      </c>
      <c r="D50" s="20">
        <v>8717</v>
      </c>
      <c r="E50" s="82">
        <v>250</v>
      </c>
      <c r="F50" s="21"/>
      <c r="G50" s="15">
        <v>8755</v>
      </c>
      <c r="H50" s="89">
        <v>400</v>
      </c>
      <c r="I50" s="16" t="s">
        <v>84</v>
      </c>
      <c r="J50" s="65">
        <v>8810</v>
      </c>
      <c r="K50" s="84">
        <v>200</v>
      </c>
      <c r="L50" s="66" t="s">
        <v>22</v>
      </c>
      <c r="M50" s="23"/>
      <c r="N50" s="85"/>
      <c r="O50" s="23"/>
    </row>
    <row r="51" spans="1:15" x14ac:dyDescent="0.25">
      <c r="A51" s="25">
        <v>8667</v>
      </c>
      <c r="B51" s="61">
        <v>350</v>
      </c>
      <c r="C51" s="26"/>
      <c r="D51" s="20">
        <v>8718</v>
      </c>
      <c r="E51" s="82">
        <v>800</v>
      </c>
      <c r="F51" s="21" t="s">
        <v>60</v>
      </c>
      <c r="G51" s="15"/>
      <c r="H51" s="89"/>
      <c r="I51" s="16" t="s">
        <v>27</v>
      </c>
      <c r="J51" s="65">
        <v>8811</v>
      </c>
      <c r="K51" s="84">
        <v>160</v>
      </c>
      <c r="L51" s="66" t="s">
        <v>105</v>
      </c>
      <c r="M51" s="23"/>
      <c r="N51" s="85"/>
      <c r="O51" s="23"/>
    </row>
    <row r="52" spans="1:15" x14ac:dyDescent="0.25">
      <c r="A52" s="25">
        <v>8668</v>
      </c>
      <c r="B52" s="61">
        <v>300</v>
      </c>
      <c r="C52" s="26"/>
      <c r="D52" s="20"/>
      <c r="E52" s="82"/>
      <c r="F52" s="21" t="s">
        <v>25</v>
      </c>
      <c r="G52" s="15">
        <v>8756</v>
      </c>
      <c r="H52" s="89">
        <v>800</v>
      </c>
      <c r="I52" s="16" t="s">
        <v>26</v>
      </c>
      <c r="J52" s="65"/>
      <c r="K52" s="84"/>
      <c r="L52" s="66" t="s">
        <v>106</v>
      </c>
      <c r="M52" s="23"/>
      <c r="N52" s="85"/>
      <c r="O52" s="23"/>
    </row>
    <row r="53" spans="1:15" x14ac:dyDescent="0.25">
      <c r="A53" s="25">
        <v>8669</v>
      </c>
      <c r="B53" s="61">
        <v>400</v>
      </c>
      <c r="C53" s="26" t="s">
        <v>37</v>
      </c>
      <c r="D53" s="20">
        <v>8719</v>
      </c>
      <c r="E53" s="82">
        <v>20</v>
      </c>
      <c r="F53" s="21" t="s">
        <v>43</v>
      </c>
      <c r="G53" s="15"/>
      <c r="H53" s="89"/>
      <c r="I53" s="16" t="s">
        <v>25</v>
      </c>
      <c r="J53" s="65">
        <v>8812</v>
      </c>
      <c r="K53" s="84">
        <v>400</v>
      </c>
      <c r="L53" s="66"/>
      <c r="M53" s="23"/>
      <c r="N53" s="85"/>
      <c r="O53" s="23"/>
    </row>
    <row r="54" spans="1:15" x14ac:dyDescent="0.25">
      <c r="A54" s="25"/>
      <c r="B54" s="61"/>
      <c r="C54" s="26" t="s">
        <v>38</v>
      </c>
      <c r="D54" s="20">
        <v>8720</v>
      </c>
      <c r="E54" s="82">
        <v>400</v>
      </c>
      <c r="F54" s="34"/>
      <c r="G54" s="15">
        <v>8757</v>
      </c>
      <c r="H54" s="89">
        <v>4400</v>
      </c>
      <c r="I54" s="16" t="s">
        <v>82</v>
      </c>
      <c r="J54" s="65">
        <v>8813</v>
      </c>
      <c r="K54" s="84">
        <v>400</v>
      </c>
      <c r="L54" s="66"/>
      <c r="M54" s="23"/>
      <c r="N54" s="85"/>
      <c r="O54" s="23"/>
    </row>
    <row r="55" spans="1:15" x14ac:dyDescent="0.25">
      <c r="A55" s="25">
        <v>8670</v>
      </c>
      <c r="B55" s="61">
        <v>800</v>
      </c>
      <c r="C55" s="26" t="s">
        <v>39</v>
      </c>
      <c r="D55" s="20">
        <v>8721</v>
      </c>
      <c r="E55" s="82">
        <v>900</v>
      </c>
      <c r="F55" s="34" t="s">
        <v>47</v>
      </c>
      <c r="G55" s="15"/>
      <c r="H55" s="89"/>
      <c r="I55" s="16" t="s">
        <v>25</v>
      </c>
      <c r="J55" s="65">
        <v>8814</v>
      </c>
      <c r="K55" s="84">
        <v>600</v>
      </c>
      <c r="L55" s="66" t="s">
        <v>26</v>
      </c>
      <c r="M55" s="23"/>
      <c r="N55" s="85"/>
      <c r="O55" s="23"/>
    </row>
    <row r="56" spans="1:15" x14ac:dyDescent="0.25">
      <c r="A56" s="25"/>
      <c r="B56" s="61"/>
      <c r="C56" s="26" t="s">
        <v>25</v>
      </c>
      <c r="D56" s="20"/>
      <c r="E56" s="82"/>
      <c r="F56" s="21" t="s">
        <v>51</v>
      </c>
      <c r="G56" s="15">
        <v>8758</v>
      </c>
      <c r="H56" s="89">
        <v>160</v>
      </c>
      <c r="I56" s="16" t="s">
        <v>49</v>
      </c>
      <c r="J56" s="65"/>
      <c r="K56" s="84"/>
      <c r="L56" s="66" t="s">
        <v>33</v>
      </c>
      <c r="M56" s="23"/>
      <c r="N56" s="85"/>
      <c r="O56" s="23"/>
    </row>
    <row r="57" spans="1:15" x14ac:dyDescent="0.25">
      <c r="A57" s="25">
        <v>8671</v>
      </c>
      <c r="B57" s="61">
        <v>400</v>
      </c>
      <c r="C57" s="26"/>
      <c r="D57" s="20">
        <v>8722</v>
      </c>
      <c r="E57" s="82">
        <v>400</v>
      </c>
      <c r="F57" s="21"/>
      <c r="G57" s="15">
        <v>8759</v>
      </c>
      <c r="H57" s="89">
        <v>160</v>
      </c>
      <c r="I57" s="16" t="s">
        <v>23</v>
      </c>
      <c r="J57" s="65">
        <v>8815</v>
      </c>
      <c r="K57" s="84">
        <v>160</v>
      </c>
      <c r="L57" s="66" t="s">
        <v>105</v>
      </c>
      <c r="M57" s="23"/>
      <c r="N57" s="85"/>
      <c r="O57" s="23"/>
    </row>
    <row r="58" spans="1:15" x14ac:dyDescent="0.25">
      <c r="A58" s="25">
        <v>8672</v>
      </c>
      <c r="B58" s="61">
        <v>1600</v>
      </c>
      <c r="C58" s="26" t="s">
        <v>40</v>
      </c>
      <c r="D58" s="20">
        <v>8723</v>
      </c>
      <c r="E58" s="82">
        <v>800</v>
      </c>
      <c r="F58" s="34" t="s">
        <v>26</v>
      </c>
      <c r="G58" s="15">
        <v>8760</v>
      </c>
      <c r="H58" s="89">
        <v>200</v>
      </c>
      <c r="I58" s="16"/>
      <c r="J58" s="65"/>
      <c r="K58" s="84"/>
      <c r="L58" s="66" t="s">
        <v>107</v>
      </c>
      <c r="M58" s="23"/>
      <c r="N58" s="85"/>
      <c r="O58" s="23"/>
    </row>
    <row r="59" spans="1:15" x14ac:dyDescent="0.25">
      <c r="A59" s="25"/>
      <c r="B59" s="61"/>
      <c r="C59" s="26" t="s">
        <v>25</v>
      </c>
      <c r="D59" s="20"/>
      <c r="E59" s="82"/>
      <c r="F59" s="21" t="s">
        <v>25</v>
      </c>
      <c r="G59" s="15">
        <v>8761</v>
      </c>
      <c r="H59" s="89">
        <v>400</v>
      </c>
      <c r="I59" s="16"/>
      <c r="J59" s="65">
        <v>8816</v>
      </c>
      <c r="K59" s="84">
        <v>4400</v>
      </c>
      <c r="L59" s="66" t="s">
        <v>108</v>
      </c>
      <c r="M59" s="23"/>
      <c r="N59" s="85"/>
      <c r="O59" s="23"/>
    </row>
    <row r="60" spans="1:15" x14ac:dyDescent="0.25">
      <c r="A60" s="25">
        <v>8673</v>
      </c>
      <c r="B60" s="61">
        <v>400</v>
      </c>
      <c r="C60" s="26"/>
      <c r="D60" s="20">
        <v>8724</v>
      </c>
      <c r="E60" s="82">
        <v>160</v>
      </c>
      <c r="F60" s="21" t="s">
        <v>49</v>
      </c>
      <c r="G60" s="15">
        <v>8762</v>
      </c>
      <c r="H60" s="89">
        <v>1200</v>
      </c>
      <c r="I60" s="16" t="s">
        <v>85</v>
      </c>
      <c r="J60" s="65"/>
      <c r="K60" s="84"/>
      <c r="L60" s="66" t="s">
        <v>25</v>
      </c>
      <c r="M60" s="23"/>
      <c r="N60" s="85"/>
      <c r="O60" s="23"/>
    </row>
    <row r="61" spans="1:15" x14ac:dyDescent="0.25">
      <c r="A61" s="25">
        <v>8674</v>
      </c>
      <c r="B61" s="61">
        <v>400</v>
      </c>
      <c r="C61" s="26" t="s">
        <v>41</v>
      </c>
      <c r="D61" s="20">
        <v>8725</v>
      </c>
      <c r="E61" s="82">
        <v>400</v>
      </c>
      <c r="F61" s="21"/>
      <c r="G61" s="15"/>
      <c r="H61" s="89"/>
      <c r="I61" s="16" t="s">
        <v>86</v>
      </c>
      <c r="J61" s="65">
        <v>8817</v>
      </c>
      <c r="K61" s="84">
        <v>400</v>
      </c>
      <c r="L61" s="66"/>
      <c r="M61" s="23"/>
      <c r="N61" s="85"/>
      <c r="O61" s="23"/>
    </row>
    <row r="62" spans="1:15" x14ac:dyDescent="0.25">
      <c r="A62" s="25">
        <v>8675</v>
      </c>
      <c r="B62" s="61">
        <v>400</v>
      </c>
      <c r="C62" s="26" t="s">
        <v>22</v>
      </c>
      <c r="D62" s="20">
        <v>8726</v>
      </c>
      <c r="E62" s="82">
        <v>20</v>
      </c>
      <c r="F62" s="21"/>
      <c r="G62" s="15">
        <v>8763</v>
      </c>
      <c r="H62" s="89">
        <v>560</v>
      </c>
      <c r="I62" s="16" t="s">
        <v>87</v>
      </c>
      <c r="J62" s="65">
        <v>8818</v>
      </c>
      <c r="K62" s="84">
        <v>800</v>
      </c>
      <c r="L62" s="66" t="s">
        <v>95</v>
      </c>
      <c r="M62" s="23"/>
      <c r="N62" s="85"/>
      <c r="O62" s="23"/>
    </row>
    <row r="63" spans="1:15" x14ac:dyDescent="0.25">
      <c r="A63" s="25">
        <v>8676</v>
      </c>
      <c r="B63" s="61">
        <v>800</v>
      </c>
      <c r="C63" s="26" t="s">
        <v>26</v>
      </c>
      <c r="D63" s="20">
        <v>8727</v>
      </c>
      <c r="E63" s="82">
        <v>400</v>
      </c>
      <c r="F63" s="21"/>
      <c r="G63" s="15"/>
      <c r="H63" s="89"/>
      <c r="I63" s="16" t="s">
        <v>88</v>
      </c>
      <c r="J63" s="65"/>
      <c r="K63" s="84"/>
      <c r="L63" s="66" t="s">
        <v>25</v>
      </c>
      <c r="M63" s="23"/>
      <c r="N63" s="85"/>
      <c r="O63" s="23"/>
    </row>
    <row r="64" spans="1:15" x14ac:dyDescent="0.25">
      <c r="A64" s="25"/>
      <c r="B64" s="61"/>
      <c r="C64" s="26" t="s">
        <v>25</v>
      </c>
      <c r="D64" s="20">
        <v>8728</v>
      </c>
      <c r="E64" s="82">
        <v>300</v>
      </c>
      <c r="F64" s="21"/>
      <c r="G64" s="15">
        <v>8764</v>
      </c>
      <c r="H64" s="89">
        <v>1600</v>
      </c>
      <c r="I64" s="16" t="s">
        <v>34</v>
      </c>
      <c r="J64" s="65">
        <v>8819</v>
      </c>
      <c r="K64" s="84">
        <v>620</v>
      </c>
      <c r="L64" s="66" t="s">
        <v>109</v>
      </c>
      <c r="M64" s="23"/>
      <c r="N64" s="85"/>
      <c r="O64" s="23"/>
    </row>
    <row r="65" spans="1:15" x14ac:dyDescent="0.25">
      <c r="A65" s="25">
        <v>8677</v>
      </c>
      <c r="B65" s="61">
        <v>160</v>
      </c>
      <c r="C65" s="26" t="s">
        <v>23</v>
      </c>
      <c r="D65" s="20">
        <v>8729</v>
      </c>
      <c r="E65" s="82"/>
      <c r="F65" s="21"/>
      <c r="G65" s="15"/>
      <c r="H65" s="89"/>
      <c r="I65" s="16" t="s">
        <v>25</v>
      </c>
      <c r="J65" s="62"/>
      <c r="K65" s="91"/>
      <c r="L65" s="63" t="s">
        <v>110</v>
      </c>
      <c r="M65" s="23"/>
      <c r="N65" s="85"/>
      <c r="O65" s="23"/>
    </row>
    <row r="66" spans="1:15" x14ac:dyDescent="0.25">
      <c r="A66" s="25">
        <v>8678</v>
      </c>
      <c r="B66" s="61">
        <v>1200</v>
      </c>
      <c r="C66" s="26" t="s">
        <v>42</v>
      </c>
      <c r="D66" s="20">
        <v>8730</v>
      </c>
      <c r="E66" s="82"/>
      <c r="F66" s="21"/>
      <c r="G66" s="15">
        <v>8765</v>
      </c>
      <c r="H66" s="89">
        <v>300</v>
      </c>
      <c r="I66" s="16"/>
      <c r="J66" s="62"/>
      <c r="K66" s="91"/>
      <c r="L66" s="63" t="s">
        <v>111</v>
      </c>
      <c r="M66" s="23"/>
      <c r="N66" s="85"/>
      <c r="O66" s="23"/>
    </row>
    <row r="67" spans="1:15" x14ac:dyDescent="0.25">
      <c r="A67" s="25"/>
      <c r="B67" s="61"/>
      <c r="C67" s="26" t="s">
        <v>25</v>
      </c>
      <c r="D67" s="20">
        <v>8731</v>
      </c>
      <c r="E67" s="82"/>
      <c r="F67" s="21"/>
      <c r="G67" s="15">
        <v>8766</v>
      </c>
      <c r="H67" s="89">
        <v>250</v>
      </c>
      <c r="I67" s="16"/>
      <c r="J67" s="62">
        <v>8820</v>
      </c>
      <c r="K67" s="91">
        <v>160</v>
      </c>
      <c r="L67" s="63" t="s">
        <v>49</v>
      </c>
      <c r="M67" s="23"/>
      <c r="N67" s="85"/>
      <c r="O67" s="23"/>
    </row>
    <row r="68" spans="1:15" x14ac:dyDescent="0.25">
      <c r="A68" s="25">
        <v>8679</v>
      </c>
      <c r="B68" s="61">
        <v>400</v>
      </c>
      <c r="C68" s="26"/>
      <c r="D68" s="20">
        <v>8732</v>
      </c>
      <c r="E68" s="82"/>
      <c r="F68" s="21"/>
      <c r="G68" s="15">
        <v>8767</v>
      </c>
      <c r="H68" s="89">
        <v>200</v>
      </c>
      <c r="I68" s="16"/>
      <c r="J68" s="62">
        <v>8821</v>
      </c>
      <c r="K68" s="91">
        <v>160</v>
      </c>
      <c r="L68" s="63" t="s">
        <v>105</v>
      </c>
      <c r="M68" s="23"/>
      <c r="N68" s="85"/>
      <c r="O68" s="23"/>
    </row>
    <row r="69" spans="1:15" x14ac:dyDescent="0.25">
      <c r="A69" s="25">
        <v>8680</v>
      </c>
      <c r="B69" s="61">
        <v>800</v>
      </c>
      <c r="C69" s="26" t="s">
        <v>28</v>
      </c>
      <c r="D69" s="20">
        <v>8733</v>
      </c>
      <c r="E69" s="82"/>
      <c r="F69" s="21"/>
      <c r="G69" s="15">
        <v>8768</v>
      </c>
      <c r="H69" s="89">
        <v>800</v>
      </c>
      <c r="I69" s="16" t="s">
        <v>26</v>
      </c>
      <c r="J69" s="62"/>
      <c r="K69" s="91"/>
      <c r="L69" s="63" t="s">
        <v>112</v>
      </c>
      <c r="M69" s="23"/>
      <c r="N69" s="85"/>
      <c r="O69" s="23"/>
    </row>
    <row r="70" spans="1:15" x14ac:dyDescent="0.25">
      <c r="A70" s="25"/>
      <c r="B70" s="61"/>
      <c r="C70" s="26" t="s">
        <v>25</v>
      </c>
      <c r="D70" s="20">
        <v>8734</v>
      </c>
      <c r="E70" s="82"/>
      <c r="F70" s="21"/>
      <c r="G70" s="15"/>
      <c r="H70" s="89"/>
      <c r="I70" s="16" t="s">
        <v>25</v>
      </c>
      <c r="J70" s="62">
        <v>8822</v>
      </c>
      <c r="K70" s="91"/>
      <c r="L70" s="63" t="s">
        <v>44</v>
      </c>
      <c r="M70" s="23"/>
      <c r="N70" s="85"/>
      <c r="O70" s="23"/>
    </row>
    <row r="71" spans="1:15" x14ac:dyDescent="0.25">
      <c r="A71" s="25">
        <v>8681</v>
      </c>
      <c r="B71" s="61">
        <v>400</v>
      </c>
      <c r="C71" s="26"/>
      <c r="D71" s="20">
        <v>8735</v>
      </c>
      <c r="E71" s="82">
        <v>1600</v>
      </c>
      <c r="F71" s="21" t="s">
        <v>61</v>
      </c>
      <c r="G71" s="15">
        <v>8769</v>
      </c>
      <c r="H71" s="89">
        <v>1200</v>
      </c>
      <c r="I71" s="16" t="s">
        <v>89</v>
      </c>
      <c r="J71" s="62">
        <v>8823</v>
      </c>
      <c r="K71" s="91">
        <v>500</v>
      </c>
      <c r="L71" s="63" t="s">
        <v>113</v>
      </c>
      <c r="M71" s="23"/>
      <c r="N71" s="85"/>
      <c r="O71" s="23"/>
    </row>
    <row r="72" spans="1:15" x14ac:dyDescent="0.25">
      <c r="A72" s="25">
        <v>8682</v>
      </c>
      <c r="B72" s="61">
        <v>400</v>
      </c>
      <c r="C72" s="26" t="s">
        <v>22</v>
      </c>
      <c r="D72" s="20"/>
      <c r="E72" s="82"/>
      <c r="F72" s="21" t="s">
        <v>62</v>
      </c>
      <c r="G72" s="15"/>
      <c r="H72" s="89"/>
      <c r="I72" s="16" t="s">
        <v>25</v>
      </c>
      <c r="J72" s="62"/>
      <c r="K72" s="91"/>
      <c r="L72" s="63" t="s">
        <v>81</v>
      </c>
      <c r="M72" s="23"/>
      <c r="N72" s="85"/>
      <c r="O72" s="23"/>
    </row>
    <row r="73" spans="1:15" x14ac:dyDescent="0.25">
      <c r="A73" s="25">
        <v>8683</v>
      </c>
      <c r="B73" s="61">
        <v>400</v>
      </c>
      <c r="C73" s="26"/>
      <c r="D73" s="20">
        <v>8736</v>
      </c>
      <c r="E73" s="82">
        <v>400</v>
      </c>
      <c r="F73" s="21"/>
      <c r="G73" s="15">
        <v>8770</v>
      </c>
      <c r="H73" s="89">
        <v>150</v>
      </c>
      <c r="I73" s="16"/>
      <c r="J73" s="62">
        <v>8824</v>
      </c>
      <c r="K73" s="91">
        <v>350</v>
      </c>
      <c r="L73" s="63"/>
      <c r="M73" s="23"/>
      <c r="N73" s="85"/>
      <c r="O73" s="23"/>
    </row>
    <row r="74" spans="1:15" x14ac:dyDescent="0.25">
      <c r="A74" s="25">
        <v>8684</v>
      </c>
      <c r="B74" s="61">
        <v>300</v>
      </c>
      <c r="C74" s="26"/>
      <c r="D74" s="20">
        <v>8737</v>
      </c>
      <c r="E74" s="82">
        <v>400</v>
      </c>
      <c r="F74" s="21" t="s">
        <v>26</v>
      </c>
      <c r="G74" s="15">
        <v>8771</v>
      </c>
      <c r="H74" s="89">
        <v>800</v>
      </c>
      <c r="I74" s="16" t="s">
        <v>26</v>
      </c>
      <c r="J74" s="62">
        <v>8825</v>
      </c>
      <c r="K74" s="91">
        <v>400</v>
      </c>
      <c r="L74" s="63" t="s">
        <v>114</v>
      </c>
      <c r="M74" s="23"/>
      <c r="N74" s="85"/>
      <c r="O74" s="23"/>
    </row>
    <row r="75" spans="1:15" x14ac:dyDescent="0.25">
      <c r="A75" s="25">
        <v>8685</v>
      </c>
      <c r="B75" s="61">
        <v>160</v>
      </c>
      <c r="C75" s="26" t="s">
        <v>23</v>
      </c>
      <c r="D75" s="20"/>
      <c r="E75" s="82"/>
      <c r="F75" s="21" t="s">
        <v>27</v>
      </c>
      <c r="G75" s="15"/>
      <c r="H75" s="89"/>
      <c r="I75" s="16" t="s">
        <v>25</v>
      </c>
      <c r="J75" s="62">
        <v>8826</v>
      </c>
      <c r="K75" s="91">
        <v>800</v>
      </c>
      <c r="L75" s="63" t="s">
        <v>39</v>
      </c>
      <c r="M75" s="23"/>
      <c r="N75" s="85"/>
      <c r="O75" s="23"/>
    </row>
    <row r="76" spans="1:15" x14ac:dyDescent="0.25">
      <c r="A76" s="25"/>
      <c r="B76" s="61"/>
      <c r="C76" s="26"/>
      <c r="D76" s="20"/>
      <c r="E76" s="82"/>
      <c r="F76" s="21"/>
      <c r="G76" s="15">
        <v>8772</v>
      </c>
      <c r="H76" s="89">
        <v>200</v>
      </c>
      <c r="I76" s="16"/>
      <c r="J76" s="62"/>
      <c r="K76" s="91"/>
      <c r="L76" s="63" t="s">
        <v>25</v>
      </c>
      <c r="M76" s="23"/>
      <c r="N76" s="85"/>
      <c r="O76" s="23"/>
    </row>
    <row r="77" spans="1:15" x14ac:dyDescent="0.25">
      <c r="A77" s="25"/>
      <c r="B77" s="61"/>
      <c r="C77" s="26"/>
      <c r="D77" s="20"/>
      <c r="E77" s="82"/>
      <c r="F77" s="21"/>
      <c r="G77" s="15">
        <v>8773</v>
      </c>
      <c r="H77" s="89">
        <v>800</v>
      </c>
      <c r="I77" s="16" t="s">
        <v>26</v>
      </c>
      <c r="J77" s="62">
        <v>8827</v>
      </c>
      <c r="K77" s="91">
        <v>4400</v>
      </c>
      <c r="L77" s="63" t="s">
        <v>36</v>
      </c>
      <c r="M77" s="23"/>
      <c r="N77" s="85"/>
      <c r="O77" s="23"/>
    </row>
    <row r="78" spans="1:15" x14ac:dyDescent="0.25">
      <c r="A78" s="25"/>
      <c r="B78" s="61"/>
      <c r="C78" s="26"/>
      <c r="D78" s="20"/>
      <c r="E78" s="82"/>
      <c r="F78" s="21"/>
      <c r="G78" s="15"/>
      <c r="H78" s="89"/>
      <c r="I78" s="16" t="s">
        <v>25</v>
      </c>
      <c r="J78" s="62"/>
      <c r="K78" s="91"/>
      <c r="L78" s="63" t="s">
        <v>25</v>
      </c>
      <c r="M78" s="23"/>
      <c r="N78" s="85"/>
      <c r="O78" s="23"/>
    </row>
    <row r="79" spans="1:15" x14ac:dyDescent="0.25">
      <c r="A79" s="25"/>
      <c r="B79" s="61"/>
      <c r="C79" s="26"/>
      <c r="D79" s="20"/>
      <c r="E79" s="82"/>
      <c r="F79" s="21"/>
      <c r="G79" s="15">
        <v>8774</v>
      </c>
      <c r="H79" s="89">
        <v>200</v>
      </c>
      <c r="I79" s="16" t="s">
        <v>22</v>
      </c>
      <c r="J79" s="62">
        <v>8828</v>
      </c>
      <c r="K79" s="91">
        <v>400</v>
      </c>
      <c r="L79" s="63" t="s">
        <v>114</v>
      </c>
      <c r="M79" s="23"/>
      <c r="N79" s="85"/>
      <c r="O79" s="23"/>
    </row>
    <row r="80" spans="1:15" x14ac:dyDescent="0.25">
      <c r="A80" s="25"/>
      <c r="B80" s="61"/>
      <c r="C80" s="26"/>
      <c r="D80" s="20"/>
      <c r="E80" s="82"/>
      <c r="F80" s="21"/>
      <c r="G80" s="15">
        <v>8775</v>
      </c>
      <c r="H80" s="89">
        <v>200</v>
      </c>
      <c r="I80" s="16" t="s">
        <v>22</v>
      </c>
      <c r="J80" s="62">
        <v>8829</v>
      </c>
      <c r="K80" s="91">
        <v>100</v>
      </c>
      <c r="L80" s="63"/>
      <c r="M80" s="23"/>
      <c r="N80" s="85"/>
      <c r="O80" s="23"/>
    </row>
    <row r="81" spans="1:15" x14ac:dyDescent="0.25">
      <c r="A81" s="25"/>
      <c r="B81" s="61"/>
      <c r="C81" s="26"/>
      <c r="D81" s="20"/>
      <c r="E81" s="82"/>
      <c r="F81" s="21"/>
      <c r="G81" s="15">
        <v>8776</v>
      </c>
      <c r="H81" s="89">
        <v>400</v>
      </c>
      <c r="I81" s="16" t="s">
        <v>90</v>
      </c>
      <c r="J81" s="62">
        <v>8830</v>
      </c>
      <c r="K81" s="91">
        <v>100</v>
      </c>
      <c r="L81" s="63"/>
      <c r="M81" s="23"/>
      <c r="N81" s="85"/>
      <c r="O81" s="23"/>
    </row>
    <row r="82" spans="1:15" x14ac:dyDescent="0.25">
      <c r="A82" s="25"/>
      <c r="B82" s="61"/>
      <c r="C82" s="26"/>
      <c r="D82" s="20"/>
      <c r="E82" s="82"/>
      <c r="F82" s="21"/>
      <c r="G82" s="15">
        <v>8777</v>
      </c>
      <c r="H82" s="89">
        <v>400</v>
      </c>
      <c r="I82" s="16"/>
      <c r="J82" s="62">
        <v>8831</v>
      </c>
      <c r="K82" s="91">
        <v>600</v>
      </c>
      <c r="L82" s="63" t="s">
        <v>60</v>
      </c>
      <c r="M82" s="23"/>
      <c r="N82" s="85"/>
      <c r="O82" s="23"/>
    </row>
    <row r="83" spans="1:15" x14ac:dyDescent="0.25">
      <c r="A83" s="25"/>
      <c r="B83" s="61"/>
      <c r="C83" s="26"/>
      <c r="D83" s="20"/>
      <c r="E83" s="82"/>
      <c r="F83" s="21"/>
      <c r="G83" s="15">
        <v>8778</v>
      </c>
      <c r="H83" s="89">
        <v>400</v>
      </c>
      <c r="I83" s="16"/>
      <c r="J83" s="62"/>
      <c r="K83" s="91"/>
      <c r="L83" s="63" t="s">
        <v>33</v>
      </c>
      <c r="M83" s="23"/>
      <c r="N83" s="85"/>
      <c r="O83" s="23"/>
    </row>
    <row r="84" spans="1:15" x14ac:dyDescent="0.25">
      <c r="A84" s="25"/>
      <c r="B84" s="61"/>
      <c r="C84" s="26"/>
      <c r="D84" s="20"/>
      <c r="E84" s="82"/>
      <c r="F84" s="21"/>
      <c r="G84" s="15">
        <v>8779</v>
      </c>
      <c r="H84" s="89">
        <v>400</v>
      </c>
      <c r="I84" s="16" t="s">
        <v>26</v>
      </c>
      <c r="J84" s="62">
        <v>8832</v>
      </c>
      <c r="K84" s="91">
        <v>400</v>
      </c>
      <c r="L84" s="63" t="s">
        <v>22</v>
      </c>
      <c r="M84" s="23"/>
      <c r="N84" s="85"/>
      <c r="O84" s="23"/>
    </row>
    <row r="85" spans="1:15" x14ac:dyDescent="0.25">
      <c r="A85" s="25"/>
      <c r="B85" s="61"/>
      <c r="C85" s="26"/>
      <c r="D85" s="20"/>
      <c r="E85" s="82"/>
      <c r="F85" s="21"/>
      <c r="G85" s="15"/>
      <c r="H85" s="89"/>
      <c r="I85" s="16" t="s">
        <v>27</v>
      </c>
      <c r="J85" s="62"/>
      <c r="K85" s="91">
        <v>10000</v>
      </c>
      <c r="L85" s="63" t="s">
        <v>548</v>
      </c>
      <c r="M85" s="23"/>
      <c r="N85" s="85"/>
      <c r="O85" s="23"/>
    </row>
    <row r="86" spans="1:15" x14ac:dyDescent="0.25">
      <c r="A86" s="25"/>
      <c r="B86" s="61"/>
      <c r="C86" s="26"/>
      <c r="D86" s="20"/>
      <c r="E86" s="82"/>
      <c r="F86" s="21"/>
      <c r="G86" s="15">
        <v>8780</v>
      </c>
      <c r="H86" s="89">
        <v>400</v>
      </c>
      <c r="I86" s="16"/>
      <c r="J86" s="62"/>
      <c r="K86" s="91">
        <v>11000</v>
      </c>
      <c r="L86" s="63" t="s">
        <v>547</v>
      </c>
      <c r="M86" s="23"/>
      <c r="N86" s="85"/>
      <c r="O86" s="23"/>
    </row>
    <row r="87" spans="1:15" x14ac:dyDescent="0.25">
      <c r="A87" s="25"/>
      <c r="B87" s="61"/>
      <c r="C87" s="26"/>
      <c r="D87" s="20"/>
      <c r="E87" s="82"/>
      <c r="F87" s="21"/>
      <c r="G87" s="15">
        <v>8781</v>
      </c>
      <c r="H87" s="89">
        <v>400</v>
      </c>
      <c r="I87" s="16"/>
      <c r="J87" s="62"/>
      <c r="K87" s="91"/>
      <c r="L87" s="63"/>
      <c r="M87" s="23"/>
      <c r="N87" s="85"/>
      <c r="O87" s="23"/>
    </row>
    <row r="88" spans="1:15" x14ac:dyDescent="0.25">
      <c r="A88" s="25"/>
      <c r="B88" s="61"/>
      <c r="C88" s="26"/>
      <c r="D88" s="20"/>
      <c r="E88" s="82"/>
      <c r="F88" s="21"/>
      <c r="G88" s="15">
        <v>8782</v>
      </c>
      <c r="H88" s="89">
        <v>1600</v>
      </c>
      <c r="I88" s="16" t="s">
        <v>91</v>
      </c>
      <c r="J88" s="62"/>
      <c r="K88" s="91"/>
      <c r="L88" s="63"/>
      <c r="M88" s="23"/>
      <c r="N88" s="85"/>
      <c r="O88" s="23"/>
    </row>
    <row r="89" spans="1:15" x14ac:dyDescent="0.25">
      <c r="A89" s="25"/>
      <c r="B89" s="61"/>
      <c r="C89" s="26"/>
      <c r="D89" s="20"/>
      <c r="E89" s="82"/>
      <c r="F89" s="21"/>
      <c r="G89" s="15"/>
      <c r="H89" s="89"/>
      <c r="I89" s="16" t="s">
        <v>25</v>
      </c>
      <c r="J89" s="62"/>
      <c r="K89" s="91"/>
      <c r="L89" s="63"/>
      <c r="M89" s="23"/>
      <c r="N89" s="85"/>
      <c r="O89" s="23"/>
    </row>
    <row r="90" spans="1:15" x14ac:dyDescent="0.25">
      <c r="A90" s="25"/>
      <c r="B90" s="61"/>
      <c r="C90" s="26"/>
      <c r="D90" s="20"/>
      <c r="E90" s="82"/>
      <c r="F90" s="21"/>
      <c r="G90" s="15">
        <v>8783</v>
      </c>
      <c r="H90" s="89">
        <v>400</v>
      </c>
      <c r="I90" s="16"/>
      <c r="J90" s="62"/>
      <c r="K90" s="91"/>
      <c r="L90" s="63"/>
      <c r="M90" s="23"/>
      <c r="N90" s="85"/>
      <c r="O90" s="23"/>
    </row>
    <row r="91" spans="1:15" x14ac:dyDescent="0.25">
      <c r="A91" s="25"/>
      <c r="B91" s="61"/>
      <c r="C91" s="26"/>
      <c r="D91" s="20"/>
      <c r="E91" s="82"/>
      <c r="F91" s="21"/>
      <c r="G91" s="15"/>
      <c r="H91" s="89"/>
      <c r="I91" s="16"/>
      <c r="J91" s="62"/>
      <c r="K91" s="91"/>
      <c r="L91" s="63"/>
      <c r="M91" s="23"/>
      <c r="N91" s="85"/>
      <c r="O91" s="23"/>
    </row>
    <row r="92" spans="1:15" x14ac:dyDescent="0.25">
      <c r="A92" s="25"/>
      <c r="B92" s="61"/>
      <c r="C92" s="26"/>
      <c r="D92" s="20"/>
      <c r="E92" s="82"/>
      <c r="F92" s="21"/>
      <c r="G92" s="15"/>
      <c r="H92" s="89"/>
      <c r="I92" s="16"/>
      <c r="J92" s="62"/>
      <c r="K92" s="91"/>
      <c r="L92" s="63"/>
      <c r="M92" s="23"/>
      <c r="N92" s="85"/>
      <c r="O92" s="23"/>
    </row>
    <row r="93" spans="1:15" x14ac:dyDescent="0.25">
      <c r="A93" s="37"/>
      <c r="B93" s="78"/>
      <c r="C93" s="70"/>
    </row>
  </sheetData>
  <mergeCells count="9">
    <mergeCell ref="P5:Q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0"/>
  <sheetViews>
    <sheetView topLeftCell="C5" zoomScaleNormal="100" workbookViewId="0">
      <pane ySplit="3" topLeftCell="A50" activePane="bottomLeft" state="frozen"/>
      <selection activeCell="A5" sqref="A5"/>
      <selection pane="bottomLeft" activeCell="S66" sqref="S66"/>
    </sheetView>
  </sheetViews>
  <sheetFormatPr baseColWidth="10" defaultRowHeight="15" x14ac:dyDescent="0.25"/>
  <cols>
    <col min="1" max="1" width="7.7109375" style="7" customWidth="1"/>
    <col min="2" max="2" width="8.7109375" style="7" customWidth="1"/>
    <col min="3" max="3" width="23.7109375" customWidth="1"/>
    <col min="4" max="4" width="7.7109375" style="7" customWidth="1"/>
    <col min="5" max="5" width="8.7109375" customWidth="1"/>
    <col min="6" max="6" width="23.7109375" customWidth="1"/>
    <col min="7" max="7" width="7.7109375" style="7" customWidth="1"/>
    <col min="8" max="8" width="8.7109375" customWidth="1"/>
    <col min="9" max="9" width="23.7109375" customWidth="1"/>
    <col min="10" max="10" width="7.7109375" style="7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1.28515625" customWidth="1"/>
  </cols>
  <sheetData>
    <row r="1" spans="1:18" ht="15.75" x14ac:dyDescent="0.25">
      <c r="A1" s="108" t="s">
        <v>10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10" t="s">
        <v>15</v>
      </c>
      <c r="M1" s="110"/>
      <c r="N1" s="6">
        <v>2014</v>
      </c>
      <c r="O1" s="5"/>
    </row>
    <row r="2" spans="1:18" ht="15.75" x14ac:dyDescent="0.25">
      <c r="A2" s="8">
        <v>2013</v>
      </c>
    </row>
    <row r="3" spans="1:18" ht="15.75" x14ac:dyDescent="0.25">
      <c r="A3" s="30" t="s">
        <v>7</v>
      </c>
      <c r="C3" s="116" t="s">
        <v>8</v>
      </c>
      <c r="D3" s="116"/>
      <c r="E3" s="28" t="s">
        <v>9</v>
      </c>
      <c r="F3" s="4">
        <f>A6+D6+G6+J6+M6</f>
        <v>170</v>
      </c>
      <c r="H3" s="4" t="s">
        <v>3</v>
      </c>
      <c r="I3" s="2">
        <f>B6+E6+H6+K6+N6</f>
        <v>110305</v>
      </c>
    </row>
    <row r="5" spans="1:18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1" t="s">
        <v>6</v>
      </c>
      <c r="K5" s="121"/>
      <c r="L5" s="121"/>
      <c r="M5" s="122" t="s">
        <v>17</v>
      </c>
      <c r="N5" s="122"/>
      <c r="O5" s="122"/>
      <c r="P5" s="39"/>
      <c r="Q5" s="117" t="s">
        <v>18</v>
      </c>
      <c r="R5" s="117"/>
    </row>
    <row r="6" spans="1:18" x14ac:dyDescent="0.25">
      <c r="A6" s="9">
        <f>SUBTOTAL(3,A8:A121)</f>
        <v>40</v>
      </c>
      <c r="B6" s="9">
        <f>SUBTOTAL(9,B8:B121)</f>
        <v>29355</v>
      </c>
      <c r="C6" s="47">
        <v>42036</v>
      </c>
      <c r="D6" s="9">
        <f>SUBTOTAL(3,D8:D121)</f>
        <v>47</v>
      </c>
      <c r="E6" s="1">
        <f>SUBTOTAL(9,E8:E121)</f>
        <v>21360</v>
      </c>
      <c r="F6" s="50">
        <v>42043</v>
      </c>
      <c r="G6" s="9">
        <f>SUBTOTAL(3,G8:G121)</f>
        <v>50</v>
      </c>
      <c r="H6" s="1">
        <f>SUBTOTAL(9,H8:H121)</f>
        <v>32480</v>
      </c>
      <c r="I6" s="51">
        <v>42050</v>
      </c>
      <c r="J6" s="9">
        <f>SUBTOTAL(3,J8:J107)</f>
        <v>33</v>
      </c>
      <c r="K6" s="1">
        <f>SUM(K8:K145)</f>
        <v>27110</v>
      </c>
      <c r="L6" s="95">
        <v>42057</v>
      </c>
      <c r="M6" s="1">
        <f>SUBTOTAL(3,M8:M121)</f>
        <v>0</v>
      </c>
      <c r="N6" s="1">
        <f>SUBTOTAL(9,N8:N121)</f>
        <v>0</v>
      </c>
      <c r="O6" s="98"/>
      <c r="Q6" s="42">
        <f>+A6+'C C aportaciones FEB 15 '!D6+G6+J6+M6</f>
        <v>170</v>
      </c>
      <c r="R6" s="41">
        <f>+B6+E6+H6+K6+N6</f>
        <v>110305</v>
      </c>
    </row>
    <row r="7" spans="1:18" x14ac:dyDescent="0.25">
      <c r="A7" s="55" t="s">
        <v>1</v>
      </c>
      <c r="B7" s="55" t="s">
        <v>3</v>
      </c>
      <c r="C7" s="55" t="s">
        <v>2</v>
      </c>
      <c r="D7" s="56" t="s">
        <v>1</v>
      </c>
      <c r="E7" s="56" t="s">
        <v>3</v>
      </c>
      <c r="F7" s="56" t="s">
        <v>2</v>
      </c>
      <c r="G7" s="57" t="s">
        <v>1</v>
      </c>
      <c r="H7" s="57" t="s">
        <v>3</v>
      </c>
      <c r="I7" s="57" t="s">
        <v>2</v>
      </c>
      <c r="J7" s="71" t="s">
        <v>1</v>
      </c>
      <c r="K7" s="71" t="s">
        <v>3</v>
      </c>
      <c r="L7" s="71" t="s">
        <v>2</v>
      </c>
      <c r="M7" s="53" t="s">
        <v>1</v>
      </c>
      <c r="N7" s="53" t="s">
        <v>3</v>
      </c>
      <c r="O7" s="53" t="s">
        <v>2</v>
      </c>
      <c r="Q7" s="54" t="s">
        <v>9</v>
      </c>
      <c r="R7" s="54" t="s">
        <v>3</v>
      </c>
    </row>
    <row r="8" spans="1:18" x14ac:dyDescent="0.25">
      <c r="A8" s="25">
        <v>8833</v>
      </c>
      <c r="B8" s="61">
        <v>400</v>
      </c>
      <c r="C8" s="26" t="s">
        <v>26</v>
      </c>
      <c r="D8" s="20">
        <v>8873</v>
      </c>
      <c r="E8" s="82">
        <v>160</v>
      </c>
      <c r="F8" s="21" t="s">
        <v>23</v>
      </c>
      <c r="G8" s="15">
        <v>8920</v>
      </c>
      <c r="H8" s="89">
        <v>1200</v>
      </c>
      <c r="I8" s="16" t="s">
        <v>138</v>
      </c>
      <c r="J8" s="62">
        <v>8970</v>
      </c>
      <c r="K8" s="91">
        <v>160</v>
      </c>
      <c r="L8" s="63" t="s">
        <v>49</v>
      </c>
      <c r="M8" s="23"/>
      <c r="N8" s="85"/>
      <c r="O8" s="23"/>
    </row>
    <row r="9" spans="1:18" x14ac:dyDescent="0.25">
      <c r="A9" s="25"/>
      <c r="B9" s="61"/>
      <c r="C9" s="26" t="s">
        <v>27</v>
      </c>
      <c r="D9" s="20"/>
      <c r="E9" s="82"/>
      <c r="F9" s="34" t="s">
        <v>126</v>
      </c>
      <c r="G9" s="15"/>
      <c r="H9" s="89"/>
      <c r="I9" s="16" t="s">
        <v>25</v>
      </c>
      <c r="J9" s="62">
        <v>8971</v>
      </c>
      <c r="K9" s="91">
        <v>160</v>
      </c>
      <c r="L9" s="63" t="s">
        <v>49</v>
      </c>
      <c r="M9" s="23"/>
      <c r="N9" s="85"/>
      <c r="O9" s="23"/>
    </row>
    <row r="10" spans="1:18" x14ac:dyDescent="0.25">
      <c r="A10" s="25">
        <v>8834</v>
      </c>
      <c r="B10" s="61">
        <v>100</v>
      </c>
      <c r="C10" s="26" t="s">
        <v>115</v>
      </c>
      <c r="D10" s="20">
        <v>8874</v>
      </c>
      <c r="E10" s="82">
        <v>600</v>
      </c>
      <c r="F10" s="21" t="s">
        <v>115</v>
      </c>
      <c r="G10" s="15">
        <v>8921</v>
      </c>
      <c r="H10" s="89">
        <v>1200</v>
      </c>
      <c r="I10" s="16" t="s">
        <v>42</v>
      </c>
      <c r="J10" s="62">
        <v>8972</v>
      </c>
      <c r="K10" s="91">
        <v>160</v>
      </c>
      <c r="L10" s="63" t="s">
        <v>49</v>
      </c>
      <c r="M10" s="23"/>
      <c r="N10" s="85"/>
      <c r="O10" s="23"/>
    </row>
    <row r="11" spans="1:18" x14ac:dyDescent="0.25">
      <c r="A11" s="25">
        <v>8835</v>
      </c>
      <c r="B11" s="61">
        <v>300</v>
      </c>
      <c r="C11" s="26" t="s">
        <v>115</v>
      </c>
      <c r="D11" s="20">
        <v>8875</v>
      </c>
      <c r="E11" s="82">
        <v>300</v>
      </c>
      <c r="F11" s="21"/>
      <c r="G11" s="15"/>
      <c r="H11" s="89"/>
      <c r="I11" s="16" t="s">
        <v>25</v>
      </c>
      <c r="J11" s="62">
        <v>8973</v>
      </c>
      <c r="K11" s="91">
        <v>4400</v>
      </c>
      <c r="L11" s="63" t="s">
        <v>120</v>
      </c>
      <c r="M11" s="23"/>
      <c r="N11" s="85"/>
      <c r="O11" s="23"/>
    </row>
    <row r="12" spans="1:18" x14ac:dyDescent="0.25">
      <c r="A12" s="25">
        <v>8836</v>
      </c>
      <c r="B12" s="61">
        <v>160</v>
      </c>
      <c r="C12" s="26" t="s">
        <v>49</v>
      </c>
      <c r="D12" s="20">
        <v>8876</v>
      </c>
      <c r="E12" s="82">
        <v>600</v>
      </c>
      <c r="F12" s="21" t="s">
        <v>127</v>
      </c>
      <c r="G12" s="15">
        <v>8922</v>
      </c>
      <c r="H12" s="89">
        <v>960</v>
      </c>
      <c r="I12" s="16" t="s">
        <v>139</v>
      </c>
      <c r="J12" s="62"/>
      <c r="K12" s="91"/>
      <c r="L12" s="63" t="s">
        <v>121</v>
      </c>
      <c r="M12" s="23"/>
      <c r="N12" s="85"/>
      <c r="O12" s="23"/>
    </row>
    <row r="13" spans="1:18" x14ac:dyDescent="0.25">
      <c r="A13" s="25">
        <v>8837</v>
      </c>
      <c r="B13" s="61">
        <v>800</v>
      </c>
      <c r="C13" s="26" t="s">
        <v>26</v>
      </c>
      <c r="D13" s="20"/>
      <c r="E13" s="82"/>
      <c r="F13" s="21" t="s">
        <v>128</v>
      </c>
      <c r="G13" s="15"/>
      <c r="H13" s="89"/>
      <c r="I13" s="16" t="s">
        <v>140</v>
      </c>
      <c r="J13" s="62"/>
      <c r="K13" s="91"/>
      <c r="L13" s="63" t="s">
        <v>25</v>
      </c>
      <c r="M13" s="23"/>
      <c r="N13" s="85"/>
      <c r="O13" s="23"/>
    </row>
    <row r="14" spans="1:18" x14ac:dyDescent="0.25">
      <c r="A14" s="25"/>
      <c r="B14" s="61"/>
      <c r="C14" s="26" t="s">
        <v>25</v>
      </c>
      <c r="D14" s="20">
        <v>8877</v>
      </c>
      <c r="E14" s="82">
        <v>300</v>
      </c>
      <c r="F14" s="21"/>
      <c r="G14" s="15">
        <v>8923</v>
      </c>
      <c r="H14" s="89">
        <v>400</v>
      </c>
      <c r="I14" s="16"/>
      <c r="J14" s="62">
        <v>8974</v>
      </c>
      <c r="K14" s="91">
        <v>800</v>
      </c>
      <c r="L14" s="63" t="s">
        <v>157</v>
      </c>
      <c r="M14" s="23"/>
      <c r="N14" s="85"/>
      <c r="O14" s="23"/>
    </row>
    <row r="15" spans="1:18" x14ac:dyDescent="0.25">
      <c r="A15" s="25">
        <v>8838</v>
      </c>
      <c r="B15" s="61">
        <v>680</v>
      </c>
      <c r="C15" s="26" t="s">
        <v>116</v>
      </c>
      <c r="D15" s="20">
        <v>8878</v>
      </c>
      <c r="E15" s="82">
        <v>1200</v>
      </c>
      <c r="F15" s="21" t="s">
        <v>42</v>
      </c>
      <c r="G15" s="15">
        <v>8924</v>
      </c>
      <c r="H15" s="89">
        <v>900</v>
      </c>
      <c r="I15" s="16" t="s">
        <v>141</v>
      </c>
      <c r="J15" s="62"/>
      <c r="K15" s="91"/>
      <c r="L15" s="63" t="s">
        <v>25</v>
      </c>
      <c r="M15" s="23"/>
      <c r="N15" s="85"/>
      <c r="O15" s="23"/>
    </row>
    <row r="16" spans="1:18" x14ac:dyDescent="0.25">
      <c r="A16" s="25"/>
      <c r="B16" s="61"/>
      <c r="C16" s="26" t="s">
        <v>117</v>
      </c>
      <c r="D16" s="20"/>
      <c r="E16" s="82"/>
      <c r="F16" s="21" t="s">
        <v>25</v>
      </c>
      <c r="G16" s="15"/>
      <c r="H16" s="89"/>
      <c r="I16" s="35" t="s">
        <v>142</v>
      </c>
      <c r="J16" s="62">
        <v>8975</v>
      </c>
      <c r="K16" s="91">
        <v>4400</v>
      </c>
      <c r="L16" s="63" t="s">
        <v>120</v>
      </c>
      <c r="M16" s="23"/>
      <c r="N16" s="85"/>
      <c r="O16" s="23"/>
    </row>
    <row r="17" spans="1:15" x14ac:dyDescent="0.25">
      <c r="A17" s="25"/>
      <c r="B17" s="61"/>
      <c r="C17" s="26" t="s">
        <v>118</v>
      </c>
      <c r="D17" s="20">
        <v>8879</v>
      </c>
      <c r="E17" s="82">
        <v>300</v>
      </c>
      <c r="F17" s="21"/>
      <c r="G17" s="15">
        <v>8925</v>
      </c>
      <c r="H17" s="89">
        <v>350</v>
      </c>
      <c r="I17" s="16"/>
      <c r="J17" s="62"/>
      <c r="K17" s="91"/>
      <c r="L17" s="63" t="s">
        <v>121</v>
      </c>
      <c r="M17" s="23"/>
      <c r="N17" s="85"/>
      <c r="O17" s="23"/>
    </row>
    <row r="18" spans="1:15" x14ac:dyDescent="0.25">
      <c r="A18" s="25">
        <v>8839</v>
      </c>
      <c r="B18" s="61">
        <v>400</v>
      </c>
      <c r="C18" s="26"/>
      <c r="D18" s="20">
        <v>8880</v>
      </c>
      <c r="E18" s="82">
        <v>400</v>
      </c>
      <c r="F18" s="21" t="s">
        <v>115</v>
      </c>
      <c r="G18" s="15">
        <v>8926</v>
      </c>
      <c r="H18" s="89">
        <v>300</v>
      </c>
      <c r="I18" s="16"/>
      <c r="J18" s="62"/>
      <c r="K18" s="91"/>
      <c r="L18" s="63" t="s">
        <v>25</v>
      </c>
      <c r="M18" s="23"/>
      <c r="N18" s="85"/>
      <c r="O18" s="23"/>
    </row>
    <row r="19" spans="1:15" x14ac:dyDescent="0.25">
      <c r="A19" s="25">
        <v>8840</v>
      </c>
      <c r="B19" s="61">
        <v>400</v>
      </c>
      <c r="C19" s="26"/>
      <c r="D19" s="20">
        <v>8881</v>
      </c>
      <c r="E19" s="82">
        <v>400</v>
      </c>
      <c r="F19" s="21"/>
      <c r="G19" s="15">
        <v>8927</v>
      </c>
      <c r="H19" s="89">
        <v>800</v>
      </c>
      <c r="I19" s="16" t="s">
        <v>40</v>
      </c>
      <c r="J19" s="62">
        <v>8976</v>
      </c>
      <c r="K19" s="91">
        <v>400</v>
      </c>
      <c r="L19" s="63" t="s">
        <v>158</v>
      </c>
      <c r="M19" s="23"/>
      <c r="N19" s="85"/>
      <c r="O19" s="23"/>
    </row>
    <row r="20" spans="1:15" x14ac:dyDescent="0.25">
      <c r="A20" s="25">
        <v>8841</v>
      </c>
      <c r="B20" s="61">
        <v>400</v>
      </c>
      <c r="C20" s="26" t="s">
        <v>115</v>
      </c>
      <c r="D20" s="20">
        <v>8882</v>
      </c>
      <c r="E20" s="82">
        <v>400</v>
      </c>
      <c r="F20" s="21"/>
      <c r="G20" s="15"/>
      <c r="H20" s="89"/>
      <c r="I20" s="16" t="s">
        <v>27</v>
      </c>
      <c r="J20" s="62"/>
      <c r="K20" s="91"/>
      <c r="L20" s="63" t="s">
        <v>27</v>
      </c>
      <c r="M20" s="23"/>
      <c r="N20" s="85"/>
      <c r="O20" s="23"/>
    </row>
    <row r="21" spans="1:15" x14ac:dyDescent="0.25">
      <c r="A21" s="25">
        <v>8842</v>
      </c>
      <c r="B21" s="61">
        <v>800</v>
      </c>
      <c r="C21" s="26" t="s">
        <v>119</v>
      </c>
      <c r="D21" s="20">
        <v>8883</v>
      </c>
      <c r="E21" s="82">
        <v>300</v>
      </c>
      <c r="F21" s="21"/>
      <c r="G21" s="15">
        <v>8928</v>
      </c>
      <c r="H21" s="89">
        <v>800</v>
      </c>
      <c r="I21" s="16" t="s">
        <v>143</v>
      </c>
      <c r="J21" s="62">
        <v>8977</v>
      </c>
      <c r="K21" s="91">
        <v>400</v>
      </c>
      <c r="L21" s="63"/>
      <c r="M21" s="23"/>
      <c r="N21" s="85"/>
      <c r="O21" s="23"/>
    </row>
    <row r="22" spans="1:15" x14ac:dyDescent="0.25">
      <c r="A22" s="25"/>
      <c r="B22" s="61"/>
      <c r="C22" s="26" t="s">
        <v>25</v>
      </c>
      <c r="D22" s="20">
        <v>8884</v>
      </c>
      <c r="E22" s="82">
        <v>400</v>
      </c>
      <c r="F22" s="21"/>
      <c r="G22" s="15"/>
      <c r="H22" s="89"/>
      <c r="I22" s="36" t="s">
        <v>25</v>
      </c>
      <c r="J22" s="62">
        <v>8978</v>
      </c>
      <c r="K22" s="91">
        <v>400</v>
      </c>
      <c r="L22" s="63" t="s">
        <v>22</v>
      </c>
      <c r="M22" s="23"/>
      <c r="N22" s="85"/>
      <c r="O22" s="23"/>
    </row>
    <row r="23" spans="1:15" x14ac:dyDescent="0.25">
      <c r="A23" s="25">
        <v>8843</v>
      </c>
      <c r="B23" s="61">
        <v>400</v>
      </c>
      <c r="C23" s="26"/>
      <c r="D23" s="20">
        <v>8885</v>
      </c>
      <c r="E23" s="82">
        <v>800</v>
      </c>
      <c r="F23" s="21" t="s">
        <v>127</v>
      </c>
      <c r="G23" s="15">
        <v>8929</v>
      </c>
      <c r="H23" s="89">
        <v>800</v>
      </c>
      <c r="I23" s="16" t="s">
        <v>39</v>
      </c>
      <c r="J23" s="62">
        <v>8979</v>
      </c>
      <c r="K23" s="91">
        <v>800</v>
      </c>
      <c r="L23" s="64" t="s">
        <v>157</v>
      </c>
      <c r="M23" s="23"/>
      <c r="N23" s="85"/>
      <c r="O23" s="23"/>
    </row>
    <row r="24" spans="1:15" x14ac:dyDescent="0.25">
      <c r="A24" s="25">
        <v>8844</v>
      </c>
      <c r="B24" s="61">
        <v>400</v>
      </c>
      <c r="C24" s="26"/>
      <c r="D24" s="20"/>
      <c r="E24" s="82"/>
      <c r="F24" s="21" t="s">
        <v>128</v>
      </c>
      <c r="G24" s="15"/>
      <c r="H24" s="89"/>
      <c r="I24" s="16" t="s">
        <v>25</v>
      </c>
      <c r="J24" s="62"/>
      <c r="K24" s="91"/>
      <c r="L24" s="64" t="s">
        <v>25</v>
      </c>
      <c r="M24" s="23"/>
      <c r="N24" s="85"/>
      <c r="O24" s="23"/>
    </row>
    <row r="25" spans="1:15" x14ac:dyDescent="0.25">
      <c r="A25" s="25">
        <v>8845</v>
      </c>
      <c r="B25" s="61">
        <v>3460</v>
      </c>
      <c r="C25" s="26" t="s">
        <v>120</v>
      </c>
      <c r="D25" s="20">
        <v>8886</v>
      </c>
      <c r="E25" s="82">
        <v>400</v>
      </c>
      <c r="F25" s="21"/>
      <c r="G25" s="15">
        <v>8930</v>
      </c>
      <c r="H25" s="89">
        <v>400</v>
      </c>
      <c r="I25" s="16"/>
      <c r="J25" s="62">
        <v>8980</v>
      </c>
      <c r="K25" s="91">
        <v>400</v>
      </c>
      <c r="L25" s="63"/>
      <c r="M25" s="23"/>
      <c r="N25" s="85"/>
      <c r="O25" s="23"/>
    </row>
    <row r="26" spans="1:15" x14ac:dyDescent="0.25">
      <c r="A26" s="25"/>
      <c r="B26" s="61"/>
      <c r="C26" s="26" t="s">
        <v>121</v>
      </c>
      <c r="D26" s="20">
        <v>8887</v>
      </c>
      <c r="E26" s="82">
        <v>400</v>
      </c>
      <c r="F26" s="21"/>
      <c r="G26" s="15">
        <v>8931</v>
      </c>
      <c r="H26" s="89">
        <v>4400</v>
      </c>
      <c r="I26" s="16" t="s">
        <v>120</v>
      </c>
      <c r="J26" s="62">
        <v>8981</v>
      </c>
      <c r="K26" s="91">
        <v>300</v>
      </c>
      <c r="L26" s="63"/>
      <c r="M26" s="23"/>
      <c r="N26" s="85"/>
      <c r="O26" s="23"/>
    </row>
    <row r="27" spans="1:15" x14ac:dyDescent="0.25">
      <c r="A27" s="25"/>
      <c r="B27" s="61"/>
      <c r="C27" s="26" t="s">
        <v>33</v>
      </c>
      <c r="D27" s="20">
        <v>8888</v>
      </c>
      <c r="E27" s="82">
        <v>300</v>
      </c>
      <c r="F27" s="21" t="s">
        <v>22</v>
      </c>
      <c r="G27" s="15"/>
      <c r="H27" s="89"/>
      <c r="I27" s="16" t="s">
        <v>121</v>
      </c>
      <c r="J27" s="62">
        <v>8982</v>
      </c>
      <c r="K27" s="91">
        <v>800</v>
      </c>
      <c r="L27" s="63" t="s">
        <v>158</v>
      </c>
      <c r="M27" s="23"/>
      <c r="N27" s="85"/>
      <c r="O27" s="23"/>
    </row>
    <row r="28" spans="1:15" x14ac:dyDescent="0.25">
      <c r="A28" s="25"/>
      <c r="B28" s="61"/>
      <c r="C28" s="26" t="s">
        <v>122</v>
      </c>
      <c r="D28" s="20">
        <v>8889</v>
      </c>
      <c r="E28" s="82">
        <v>1200</v>
      </c>
      <c r="F28" s="21" t="s">
        <v>42</v>
      </c>
      <c r="G28" s="15"/>
      <c r="H28" s="89"/>
      <c r="I28" s="16" t="s">
        <v>25</v>
      </c>
      <c r="J28" s="62"/>
      <c r="K28" s="91"/>
      <c r="L28" s="63" t="s">
        <v>25</v>
      </c>
      <c r="M28" s="23"/>
      <c r="N28" s="85"/>
      <c r="O28" s="23"/>
    </row>
    <row r="29" spans="1:15" x14ac:dyDescent="0.25">
      <c r="A29" s="25">
        <v>8846</v>
      </c>
      <c r="B29" s="61">
        <v>800</v>
      </c>
      <c r="C29" s="26" t="s">
        <v>26</v>
      </c>
      <c r="D29" s="20"/>
      <c r="E29" s="82"/>
      <c r="F29" s="21" t="s">
        <v>25</v>
      </c>
      <c r="G29" s="15">
        <v>8932</v>
      </c>
      <c r="H29" s="89">
        <v>320</v>
      </c>
      <c r="I29" s="16" t="s">
        <v>144</v>
      </c>
      <c r="J29" s="62">
        <v>8983</v>
      </c>
      <c r="K29" s="91">
        <v>800</v>
      </c>
      <c r="L29" s="63" t="s">
        <v>158</v>
      </c>
      <c r="M29" s="23"/>
      <c r="N29" s="85"/>
      <c r="O29" s="23"/>
    </row>
    <row r="30" spans="1:15" x14ac:dyDescent="0.25">
      <c r="A30" s="25"/>
      <c r="B30" s="61"/>
      <c r="C30" s="26" t="s">
        <v>25</v>
      </c>
      <c r="D30" s="20">
        <v>8890</v>
      </c>
      <c r="E30" s="82">
        <v>400</v>
      </c>
      <c r="F30" s="21"/>
      <c r="G30" s="15">
        <v>8933</v>
      </c>
      <c r="H30" s="89">
        <v>800</v>
      </c>
      <c r="I30" s="16" t="s">
        <v>39</v>
      </c>
      <c r="J30" s="65"/>
      <c r="K30" s="91"/>
      <c r="L30" s="63" t="s">
        <v>25</v>
      </c>
      <c r="M30" s="23"/>
      <c r="N30" s="85"/>
      <c r="O30" s="23"/>
    </row>
    <row r="31" spans="1:15" x14ac:dyDescent="0.25">
      <c r="A31" s="25">
        <v>8847</v>
      </c>
      <c r="B31" s="61">
        <v>4400</v>
      </c>
      <c r="C31" s="26" t="s">
        <v>120</v>
      </c>
      <c r="D31" s="20">
        <v>8891</v>
      </c>
      <c r="E31" s="82">
        <v>1120</v>
      </c>
      <c r="F31" s="21" t="s">
        <v>127</v>
      </c>
      <c r="G31" s="15"/>
      <c r="H31" s="89"/>
      <c r="I31" s="16" t="s">
        <v>25</v>
      </c>
      <c r="J31" s="62">
        <v>8984</v>
      </c>
      <c r="K31" s="91">
        <v>400</v>
      </c>
      <c r="L31" s="63"/>
      <c r="M31" s="23"/>
      <c r="N31" s="85"/>
      <c r="O31" s="23"/>
    </row>
    <row r="32" spans="1:15" x14ac:dyDescent="0.25">
      <c r="A32" s="25"/>
      <c r="B32" s="61"/>
      <c r="C32" s="26" t="s">
        <v>121</v>
      </c>
      <c r="D32" s="20"/>
      <c r="E32" s="82"/>
      <c r="F32" s="21" t="s">
        <v>129</v>
      </c>
      <c r="G32" s="15">
        <v>8934</v>
      </c>
      <c r="H32" s="89">
        <v>800</v>
      </c>
      <c r="I32" s="16" t="s">
        <v>145</v>
      </c>
      <c r="J32" s="65">
        <v>8985</v>
      </c>
      <c r="K32" s="91">
        <v>400</v>
      </c>
      <c r="L32" s="63"/>
      <c r="M32" s="23"/>
      <c r="N32" s="85"/>
      <c r="O32" s="23"/>
    </row>
    <row r="33" spans="1:15" x14ac:dyDescent="0.25">
      <c r="A33" s="25"/>
      <c r="B33" s="61"/>
      <c r="C33" s="26" t="s">
        <v>25</v>
      </c>
      <c r="D33" s="20"/>
      <c r="E33" s="82"/>
      <c r="F33" s="21" t="s">
        <v>130</v>
      </c>
      <c r="G33" s="15"/>
      <c r="H33" s="89"/>
      <c r="I33" s="16" t="s">
        <v>25</v>
      </c>
      <c r="J33" s="62">
        <v>8986</v>
      </c>
      <c r="K33" s="91">
        <v>400</v>
      </c>
      <c r="L33" s="63"/>
      <c r="M33" s="23"/>
      <c r="N33" s="85"/>
      <c r="O33" s="23"/>
    </row>
    <row r="34" spans="1:15" x14ac:dyDescent="0.25">
      <c r="A34" s="25">
        <v>8848</v>
      </c>
      <c r="B34" s="61">
        <v>800</v>
      </c>
      <c r="C34" s="26" t="s">
        <v>26</v>
      </c>
      <c r="D34" s="20">
        <v>8892</v>
      </c>
      <c r="E34" s="82">
        <v>400</v>
      </c>
      <c r="F34" s="21"/>
      <c r="G34" s="15">
        <v>8935</v>
      </c>
      <c r="H34" s="89"/>
      <c r="I34" s="16" t="s">
        <v>44</v>
      </c>
      <c r="J34" s="62">
        <v>8987</v>
      </c>
      <c r="K34" s="91">
        <v>4400</v>
      </c>
      <c r="L34" s="63" t="s">
        <v>120</v>
      </c>
      <c r="M34" s="23"/>
      <c r="N34" s="85"/>
      <c r="O34" s="23"/>
    </row>
    <row r="35" spans="1:15" x14ac:dyDescent="0.25">
      <c r="A35" s="25"/>
      <c r="B35" s="61"/>
      <c r="C35" s="26" t="s">
        <v>25</v>
      </c>
      <c r="D35" s="20">
        <v>8893</v>
      </c>
      <c r="E35" s="82">
        <v>1200</v>
      </c>
      <c r="F35" s="31" t="s">
        <v>42</v>
      </c>
      <c r="G35" s="15">
        <v>8936</v>
      </c>
      <c r="H35" s="89">
        <v>560</v>
      </c>
      <c r="I35" s="16" t="s">
        <v>146</v>
      </c>
      <c r="J35" s="65"/>
      <c r="K35" s="91"/>
      <c r="L35" s="63" t="s">
        <v>121</v>
      </c>
      <c r="M35" s="23"/>
      <c r="N35" s="85"/>
      <c r="O35" s="23"/>
    </row>
    <row r="36" spans="1:15" x14ac:dyDescent="0.25">
      <c r="A36" s="25">
        <v>8849</v>
      </c>
      <c r="B36" s="61">
        <v>200</v>
      </c>
      <c r="C36" s="26"/>
      <c r="D36" s="20"/>
      <c r="E36" s="82"/>
      <c r="F36" s="21" t="s">
        <v>25</v>
      </c>
      <c r="G36" s="15"/>
      <c r="H36" s="89"/>
      <c r="I36" s="16" t="s">
        <v>147</v>
      </c>
      <c r="J36" s="65"/>
      <c r="K36" s="91"/>
      <c r="L36" s="67" t="s">
        <v>25</v>
      </c>
      <c r="M36" s="23"/>
      <c r="N36" s="85"/>
      <c r="O36" s="23"/>
    </row>
    <row r="37" spans="1:15" x14ac:dyDescent="0.25">
      <c r="A37" s="25">
        <v>8850</v>
      </c>
      <c r="B37" s="61">
        <v>400</v>
      </c>
      <c r="C37" s="26" t="s">
        <v>22</v>
      </c>
      <c r="D37" s="20">
        <v>8894</v>
      </c>
      <c r="E37" s="82">
        <v>400</v>
      </c>
      <c r="F37" s="21"/>
      <c r="G37" s="15">
        <v>8937</v>
      </c>
      <c r="H37" s="89">
        <v>560</v>
      </c>
      <c r="I37" s="16" t="s">
        <v>148</v>
      </c>
      <c r="J37" s="65">
        <v>8988</v>
      </c>
      <c r="K37" s="84">
        <v>300</v>
      </c>
      <c r="L37" s="63"/>
      <c r="M37" s="23"/>
      <c r="N37" s="85"/>
      <c r="O37" s="23"/>
    </row>
    <row r="38" spans="1:15" x14ac:dyDescent="0.25">
      <c r="A38" s="25">
        <v>8851</v>
      </c>
      <c r="B38" s="61">
        <v>125</v>
      </c>
      <c r="C38" s="26"/>
      <c r="D38" s="20">
        <v>8895</v>
      </c>
      <c r="E38" s="82">
        <v>400</v>
      </c>
      <c r="F38" s="21" t="s">
        <v>131</v>
      </c>
      <c r="G38" s="15">
        <v>8938</v>
      </c>
      <c r="H38" s="89">
        <v>400</v>
      </c>
      <c r="I38" s="16"/>
      <c r="J38" s="65">
        <v>8989</v>
      </c>
      <c r="K38" s="84">
        <v>600</v>
      </c>
      <c r="L38" s="66" t="s">
        <v>157</v>
      </c>
      <c r="M38" s="23"/>
      <c r="N38" s="85"/>
      <c r="O38" s="23"/>
    </row>
    <row r="39" spans="1:15" x14ac:dyDescent="0.25">
      <c r="A39" s="25">
        <v>8852</v>
      </c>
      <c r="B39" s="61">
        <v>400</v>
      </c>
      <c r="C39" s="26"/>
      <c r="D39" s="20"/>
      <c r="E39" s="82"/>
      <c r="F39" s="21" t="s">
        <v>128</v>
      </c>
      <c r="G39" s="15">
        <v>8939</v>
      </c>
      <c r="H39" s="89">
        <v>800</v>
      </c>
      <c r="I39" s="16" t="s">
        <v>149</v>
      </c>
      <c r="J39" s="65"/>
      <c r="K39" s="84"/>
      <c r="L39" s="63" t="s">
        <v>33</v>
      </c>
      <c r="M39" s="23"/>
      <c r="N39" s="85"/>
      <c r="O39" s="23"/>
    </row>
    <row r="40" spans="1:15" x14ac:dyDescent="0.25">
      <c r="A40" s="25">
        <v>8853</v>
      </c>
      <c r="B40" s="61">
        <v>400</v>
      </c>
      <c r="C40" s="26" t="s">
        <v>26</v>
      </c>
      <c r="D40" s="20">
        <v>8896</v>
      </c>
      <c r="E40" s="82">
        <v>400</v>
      </c>
      <c r="F40" s="21" t="s">
        <v>132</v>
      </c>
      <c r="G40" s="15"/>
      <c r="H40" s="89"/>
      <c r="I40" s="16" t="s">
        <v>25</v>
      </c>
      <c r="J40" s="65">
        <v>8990</v>
      </c>
      <c r="K40" s="84">
        <v>800</v>
      </c>
      <c r="L40" s="63" t="s">
        <v>157</v>
      </c>
      <c r="M40" s="23"/>
      <c r="N40" s="85"/>
      <c r="O40" s="23"/>
    </row>
    <row r="41" spans="1:15" x14ac:dyDescent="0.25">
      <c r="A41" s="25"/>
      <c r="B41" s="61"/>
      <c r="C41" s="26" t="s">
        <v>27</v>
      </c>
      <c r="D41" s="20">
        <v>8897</v>
      </c>
      <c r="E41" s="82">
        <v>400</v>
      </c>
      <c r="F41" s="21"/>
      <c r="G41" s="15">
        <v>8940</v>
      </c>
      <c r="H41" s="89">
        <v>160</v>
      </c>
      <c r="I41" s="16" t="s">
        <v>49</v>
      </c>
      <c r="J41" s="65"/>
      <c r="K41" s="84"/>
      <c r="L41" s="63" t="s">
        <v>25</v>
      </c>
      <c r="M41" s="23"/>
      <c r="N41" s="85"/>
      <c r="O41" s="23"/>
    </row>
    <row r="42" spans="1:15" x14ac:dyDescent="0.25">
      <c r="A42" s="25">
        <v>8854</v>
      </c>
      <c r="B42" s="61">
        <v>600</v>
      </c>
      <c r="C42" s="26" t="s">
        <v>39</v>
      </c>
      <c r="D42" s="20">
        <v>8898</v>
      </c>
      <c r="E42" s="82">
        <v>300</v>
      </c>
      <c r="F42" s="21"/>
      <c r="G42" s="15">
        <v>8941</v>
      </c>
      <c r="H42" s="89">
        <v>800</v>
      </c>
      <c r="I42" s="16" t="s">
        <v>39</v>
      </c>
      <c r="J42" s="65">
        <v>8991</v>
      </c>
      <c r="K42" s="84">
        <v>800</v>
      </c>
      <c r="L42" s="63" t="s">
        <v>159</v>
      </c>
      <c r="M42" s="23"/>
      <c r="N42" s="85"/>
      <c r="O42" s="23"/>
    </row>
    <row r="43" spans="1:15" x14ac:dyDescent="0.25">
      <c r="A43" s="25"/>
      <c r="B43" s="61"/>
      <c r="C43" s="26" t="s">
        <v>33</v>
      </c>
      <c r="D43" s="20">
        <v>8899</v>
      </c>
      <c r="E43" s="82">
        <v>800</v>
      </c>
      <c r="F43" s="21" t="s">
        <v>39</v>
      </c>
      <c r="G43" s="15"/>
      <c r="H43" s="89"/>
      <c r="I43" s="16" t="s">
        <v>25</v>
      </c>
      <c r="J43" s="65"/>
      <c r="K43" s="84"/>
      <c r="L43" s="63" t="s">
        <v>25</v>
      </c>
      <c r="M43" s="23"/>
      <c r="N43" s="85"/>
      <c r="O43" s="23"/>
    </row>
    <row r="44" spans="1:15" x14ac:dyDescent="0.25">
      <c r="A44" s="25">
        <v>8855</v>
      </c>
      <c r="B44" s="61">
        <v>400</v>
      </c>
      <c r="C44" s="26"/>
      <c r="D44" s="20"/>
      <c r="E44" s="82"/>
      <c r="F44" s="21" t="s">
        <v>25</v>
      </c>
      <c r="G44" s="15">
        <v>8942</v>
      </c>
      <c r="H44" s="89">
        <v>400</v>
      </c>
      <c r="I44" s="16"/>
      <c r="J44" s="65">
        <v>8992</v>
      </c>
      <c r="K44" s="84">
        <v>160</v>
      </c>
      <c r="L44" s="63" t="s">
        <v>49</v>
      </c>
      <c r="M44" s="23"/>
      <c r="N44" s="85"/>
      <c r="O44" s="23"/>
    </row>
    <row r="45" spans="1:15" x14ac:dyDescent="0.25">
      <c r="A45" s="25">
        <v>8856</v>
      </c>
      <c r="B45" s="61">
        <v>800</v>
      </c>
      <c r="C45" s="26" t="s">
        <v>28</v>
      </c>
      <c r="D45" s="20">
        <v>8900</v>
      </c>
      <c r="E45" s="82">
        <v>160</v>
      </c>
      <c r="F45" s="21" t="s">
        <v>133</v>
      </c>
      <c r="G45" s="15">
        <v>8943</v>
      </c>
      <c r="H45" s="89">
        <v>1200</v>
      </c>
      <c r="I45" s="16" t="s">
        <v>138</v>
      </c>
      <c r="J45" s="65">
        <v>8993</v>
      </c>
      <c r="K45" s="84">
        <v>200</v>
      </c>
      <c r="L45" s="63" t="s">
        <v>160</v>
      </c>
      <c r="M45" s="23"/>
      <c r="N45" s="85"/>
      <c r="O45" s="23"/>
    </row>
    <row r="46" spans="1:15" x14ac:dyDescent="0.25">
      <c r="A46" s="25"/>
      <c r="B46" s="61"/>
      <c r="C46" s="26" t="s">
        <v>25</v>
      </c>
      <c r="D46" s="20"/>
      <c r="E46" s="82"/>
      <c r="F46" s="81">
        <v>67704</v>
      </c>
      <c r="G46" s="15"/>
      <c r="H46" s="89"/>
      <c r="I46" s="16" t="s">
        <v>25</v>
      </c>
      <c r="J46" s="65">
        <v>8994</v>
      </c>
      <c r="K46" s="84">
        <v>320</v>
      </c>
      <c r="L46" s="63" t="s">
        <v>144</v>
      </c>
      <c r="M46" s="23"/>
      <c r="N46" s="85"/>
      <c r="O46" s="23"/>
    </row>
    <row r="47" spans="1:15" x14ac:dyDescent="0.25">
      <c r="A47" s="25">
        <v>8857</v>
      </c>
      <c r="B47" s="61">
        <v>400</v>
      </c>
      <c r="C47" s="26"/>
      <c r="D47" s="20">
        <v>8901</v>
      </c>
      <c r="E47" s="82">
        <v>150</v>
      </c>
      <c r="F47" s="21"/>
      <c r="G47" s="15">
        <v>8944</v>
      </c>
      <c r="H47" s="89">
        <v>400</v>
      </c>
      <c r="I47" s="16"/>
      <c r="J47" s="65">
        <v>8995</v>
      </c>
      <c r="K47" s="84">
        <v>300</v>
      </c>
      <c r="L47" s="63" t="s">
        <v>157</v>
      </c>
      <c r="M47" s="23"/>
      <c r="N47" s="85"/>
      <c r="O47" s="23"/>
    </row>
    <row r="48" spans="1:15" x14ac:dyDescent="0.25">
      <c r="A48" s="25">
        <v>8858</v>
      </c>
      <c r="B48" s="61">
        <v>4400</v>
      </c>
      <c r="C48" s="26" t="s">
        <v>120</v>
      </c>
      <c r="D48" s="20">
        <v>8902</v>
      </c>
      <c r="E48" s="82">
        <v>400</v>
      </c>
      <c r="F48" s="21"/>
      <c r="G48" s="15">
        <v>8945</v>
      </c>
      <c r="H48" s="89">
        <v>800</v>
      </c>
      <c r="I48" s="16" t="s">
        <v>150</v>
      </c>
      <c r="J48" s="65"/>
      <c r="K48" s="84"/>
      <c r="L48" s="63" t="s">
        <v>76</v>
      </c>
      <c r="M48" s="23"/>
      <c r="N48" s="85"/>
      <c r="O48" s="23"/>
    </row>
    <row r="49" spans="1:15" x14ac:dyDescent="0.25">
      <c r="A49" s="25"/>
      <c r="B49" s="61"/>
      <c r="C49" s="26" t="s">
        <v>121</v>
      </c>
      <c r="D49" s="20">
        <v>8903</v>
      </c>
      <c r="E49" s="82"/>
      <c r="F49" s="21" t="s">
        <v>73</v>
      </c>
      <c r="G49" s="15"/>
      <c r="H49" s="89"/>
      <c r="I49" s="16" t="s">
        <v>25</v>
      </c>
      <c r="J49" s="65">
        <v>8996</v>
      </c>
      <c r="K49" s="84">
        <v>1050</v>
      </c>
      <c r="L49" s="66" t="s">
        <v>152</v>
      </c>
      <c r="M49" s="23"/>
      <c r="N49" s="85"/>
      <c r="O49" s="23"/>
    </row>
    <row r="50" spans="1:15" x14ac:dyDescent="0.25">
      <c r="A50" s="25"/>
      <c r="B50" s="61"/>
      <c r="C50" s="26" t="s">
        <v>25</v>
      </c>
      <c r="D50" s="20">
        <v>8904</v>
      </c>
      <c r="E50" s="82">
        <v>400</v>
      </c>
      <c r="F50" s="21"/>
      <c r="G50" s="15">
        <v>8946</v>
      </c>
      <c r="H50" s="89">
        <v>400</v>
      </c>
      <c r="I50" s="16" t="s">
        <v>115</v>
      </c>
      <c r="J50" s="65"/>
      <c r="K50" s="84"/>
      <c r="L50" s="63" t="s">
        <v>161</v>
      </c>
      <c r="M50" s="23"/>
      <c r="N50" s="85"/>
      <c r="O50" s="23"/>
    </row>
    <row r="51" spans="1:15" x14ac:dyDescent="0.25">
      <c r="A51" s="25">
        <v>8859</v>
      </c>
      <c r="B51" s="61">
        <v>960</v>
      </c>
      <c r="C51" s="26" t="s">
        <v>39</v>
      </c>
      <c r="D51" s="20">
        <v>8905</v>
      </c>
      <c r="E51" s="82">
        <v>360</v>
      </c>
      <c r="F51" s="21" t="s">
        <v>134</v>
      </c>
      <c r="G51" s="15">
        <v>8947</v>
      </c>
      <c r="H51" s="89">
        <v>300</v>
      </c>
      <c r="I51" s="16" t="s">
        <v>115</v>
      </c>
      <c r="J51" s="65">
        <v>8997</v>
      </c>
      <c r="K51" s="84"/>
      <c r="L51" s="63" t="s">
        <v>73</v>
      </c>
      <c r="M51" s="23"/>
      <c r="N51" s="85"/>
      <c r="O51" s="23"/>
    </row>
    <row r="52" spans="1:15" x14ac:dyDescent="0.25">
      <c r="A52" s="25"/>
      <c r="B52" s="61"/>
      <c r="C52" s="26" t="s">
        <v>123</v>
      </c>
      <c r="D52" s="20"/>
      <c r="E52" s="82"/>
      <c r="F52" s="21" t="s">
        <v>135</v>
      </c>
      <c r="G52" s="15">
        <v>8948</v>
      </c>
      <c r="H52" s="89">
        <v>400</v>
      </c>
      <c r="I52" s="16"/>
      <c r="J52" s="62">
        <v>8998</v>
      </c>
      <c r="K52" s="91">
        <v>400</v>
      </c>
      <c r="L52" s="63"/>
      <c r="M52" s="23"/>
      <c r="N52" s="85"/>
      <c r="O52" s="23"/>
    </row>
    <row r="53" spans="1:15" x14ac:dyDescent="0.25">
      <c r="A53" s="25">
        <v>8860</v>
      </c>
      <c r="B53" s="61">
        <v>400</v>
      </c>
      <c r="C53" s="26"/>
      <c r="D53" s="20">
        <v>8906</v>
      </c>
      <c r="E53" s="82">
        <v>150</v>
      </c>
      <c r="F53" s="21"/>
      <c r="G53" s="15">
        <v>8949</v>
      </c>
      <c r="H53" s="89">
        <v>400</v>
      </c>
      <c r="I53" s="16"/>
      <c r="J53" s="62">
        <v>8999</v>
      </c>
      <c r="K53" s="91">
        <v>800</v>
      </c>
      <c r="L53" s="63" t="s">
        <v>159</v>
      </c>
      <c r="M53" s="23"/>
      <c r="N53" s="85"/>
      <c r="O53" s="23"/>
    </row>
    <row r="54" spans="1:15" x14ac:dyDescent="0.25">
      <c r="A54" s="25">
        <v>8861</v>
      </c>
      <c r="B54" s="61">
        <v>1200</v>
      </c>
      <c r="C54" s="26" t="s">
        <v>124</v>
      </c>
      <c r="D54" s="20">
        <v>8907</v>
      </c>
      <c r="E54" s="82">
        <v>100</v>
      </c>
      <c r="F54" s="21"/>
      <c r="G54" s="15">
        <v>8950</v>
      </c>
      <c r="H54" s="89">
        <v>1200</v>
      </c>
      <c r="I54" s="16" t="s">
        <v>42</v>
      </c>
      <c r="J54" s="62"/>
      <c r="K54" s="91"/>
      <c r="L54" s="63" t="s">
        <v>25</v>
      </c>
      <c r="M54" s="23"/>
      <c r="N54" s="85"/>
      <c r="O54" s="23"/>
    </row>
    <row r="55" spans="1:15" x14ac:dyDescent="0.25">
      <c r="A55" s="25"/>
      <c r="B55" s="61"/>
      <c r="C55" s="26" t="s">
        <v>25</v>
      </c>
      <c r="D55" s="20">
        <v>8908</v>
      </c>
      <c r="E55" s="82">
        <v>200</v>
      </c>
      <c r="F55" s="34"/>
      <c r="G55" s="15"/>
      <c r="H55" s="89"/>
      <c r="I55" s="16" t="s">
        <v>25</v>
      </c>
      <c r="J55" s="62">
        <v>9000</v>
      </c>
      <c r="K55" s="91">
        <v>600</v>
      </c>
      <c r="L55" s="63" t="s">
        <v>157</v>
      </c>
      <c r="M55" s="23"/>
      <c r="N55" s="85"/>
      <c r="O55" s="23"/>
    </row>
    <row r="56" spans="1:15" x14ac:dyDescent="0.25">
      <c r="A56" s="25">
        <v>8862</v>
      </c>
      <c r="B56" s="61">
        <v>300</v>
      </c>
      <c r="C56" s="26"/>
      <c r="D56" s="20">
        <v>8909</v>
      </c>
      <c r="E56" s="82">
        <v>160</v>
      </c>
      <c r="F56" s="34" t="s">
        <v>133</v>
      </c>
      <c r="G56" s="15">
        <v>8951</v>
      </c>
      <c r="H56" s="89">
        <v>300</v>
      </c>
      <c r="I56" s="16"/>
      <c r="J56" s="62"/>
      <c r="K56" s="91"/>
      <c r="L56" s="100" t="s">
        <v>33</v>
      </c>
      <c r="M56" s="23"/>
      <c r="N56" s="85"/>
      <c r="O56" s="23"/>
    </row>
    <row r="57" spans="1:15" x14ac:dyDescent="0.25">
      <c r="A57" s="25">
        <v>8863</v>
      </c>
      <c r="B57" s="61">
        <v>300</v>
      </c>
      <c r="C57" s="26"/>
      <c r="D57" s="20"/>
      <c r="E57" s="82"/>
      <c r="F57" s="81">
        <v>64708</v>
      </c>
      <c r="G57" s="15">
        <v>8952</v>
      </c>
      <c r="H57" s="89">
        <v>400</v>
      </c>
      <c r="I57" s="16"/>
      <c r="J57" s="62">
        <v>9001</v>
      </c>
      <c r="K57" s="91">
        <v>400</v>
      </c>
      <c r="L57" s="63"/>
      <c r="M57" s="23"/>
      <c r="N57" s="85"/>
      <c r="O57" s="23"/>
    </row>
    <row r="58" spans="1:15" x14ac:dyDescent="0.25">
      <c r="A58" s="25">
        <v>8864</v>
      </c>
      <c r="B58" s="61">
        <v>400</v>
      </c>
      <c r="C58" s="26" t="s">
        <v>22</v>
      </c>
      <c r="D58" s="20">
        <v>8910</v>
      </c>
      <c r="E58" s="82">
        <v>400</v>
      </c>
      <c r="F58" s="21"/>
      <c r="G58" s="15">
        <v>8953</v>
      </c>
      <c r="H58" s="89">
        <v>500</v>
      </c>
      <c r="I58" s="16" t="s">
        <v>151</v>
      </c>
      <c r="J58" s="107">
        <v>9153</v>
      </c>
      <c r="K58" s="84">
        <v>400</v>
      </c>
      <c r="L58" s="66" t="s">
        <v>160</v>
      </c>
      <c r="M58" s="23"/>
      <c r="N58" s="85"/>
      <c r="O58" s="23"/>
    </row>
    <row r="59" spans="1:15" x14ac:dyDescent="0.25">
      <c r="A59" s="25">
        <v>8865</v>
      </c>
      <c r="B59" s="61">
        <v>400</v>
      </c>
      <c r="C59" s="26" t="s">
        <v>115</v>
      </c>
      <c r="D59" s="20">
        <v>8911</v>
      </c>
      <c r="E59" s="82">
        <v>400</v>
      </c>
      <c r="F59" s="34"/>
      <c r="G59" s="15"/>
      <c r="H59" s="89"/>
      <c r="I59" s="16" t="s">
        <v>81</v>
      </c>
      <c r="J59" s="65"/>
      <c r="K59" s="84"/>
      <c r="L59" s="66" t="s">
        <v>307</v>
      </c>
      <c r="M59" s="23"/>
      <c r="N59" s="85"/>
      <c r="O59" s="23"/>
    </row>
    <row r="60" spans="1:15" x14ac:dyDescent="0.25">
      <c r="A60" s="25">
        <v>8866</v>
      </c>
      <c r="B60" s="61">
        <v>400</v>
      </c>
      <c r="C60" s="26"/>
      <c r="D60" s="20">
        <v>8912</v>
      </c>
      <c r="E60" s="82">
        <v>1600</v>
      </c>
      <c r="F60" s="21" t="s">
        <v>136</v>
      </c>
      <c r="G60" s="15">
        <v>8954</v>
      </c>
      <c r="H60" s="89">
        <v>400</v>
      </c>
      <c r="I60" s="16" t="s">
        <v>115</v>
      </c>
      <c r="J60" s="65"/>
      <c r="K60" s="91"/>
      <c r="L60" s="63"/>
      <c r="M60" s="23"/>
      <c r="N60" s="85"/>
      <c r="O60" s="23"/>
    </row>
    <row r="61" spans="1:15" x14ac:dyDescent="0.25">
      <c r="A61" s="25">
        <v>8867</v>
      </c>
      <c r="B61" s="61">
        <v>160</v>
      </c>
      <c r="C61" s="26" t="s">
        <v>49</v>
      </c>
      <c r="D61" s="20"/>
      <c r="E61" s="82"/>
      <c r="F61" s="21" t="s">
        <v>137</v>
      </c>
      <c r="G61" s="15">
        <v>8955</v>
      </c>
      <c r="H61" s="89">
        <v>200</v>
      </c>
      <c r="I61" s="16"/>
      <c r="J61" s="65"/>
      <c r="K61" s="84"/>
      <c r="L61" s="63"/>
      <c r="M61" s="23"/>
      <c r="N61" s="85"/>
      <c r="O61" s="23"/>
    </row>
    <row r="62" spans="1:15" x14ac:dyDescent="0.25">
      <c r="A62" s="25">
        <v>8868</v>
      </c>
      <c r="B62" s="61">
        <v>800</v>
      </c>
      <c r="C62" s="32" t="s">
        <v>39</v>
      </c>
      <c r="D62" s="20">
        <v>8913</v>
      </c>
      <c r="E62" s="82">
        <v>200</v>
      </c>
      <c r="F62" s="21"/>
      <c r="G62" s="15">
        <v>8956</v>
      </c>
      <c r="H62" s="89">
        <v>300</v>
      </c>
      <c r="I62" s="16"/>
      <c r="J62" s="65"/>
      <c r="K62" s="84"/>
      <c r="L62" s="66"/>
      <c r="M62" s="23"/>
      <c r="N62" s="85"/>
      <c r="O62" s="23"/>
    </row>
    <row r="63" spans="1:15" x14ac:dyDescent="0.25">
      <c r="A63" s="25"/>
      <c r="B63" s="61"/>
      <c r="C63" s="26" t="s">
        <v>25</v>
      </c>
      <c r="D63" s="20">
        <v>8914</v>
      </c>
      <c r="E63" s="82">
        <v>400</v>
      </c>
      <c r="F63" s="21"/>
      <c r="G63" s="15">
        <v>8957</v>
      </c>
      <c r="H63" s="89">
        <v>350</v>
      </c>
      <c r="I63" s="16"/>
      <c r="J63" s="65"/>
      <c r="K63" s="84"/>
      <c r="L63" s="66"/>
      <c r="M63" s="23"/>
      <c r="N63" s="85"/>
      <c r="O63" s="23"/>
    </row>
    <row r="64" spans="1:15" x14ac:dyDescent="0.25">
      <c r="A64" s="25">
        <v>8869</v>
      </c>
      <c r="B64" s="61">
        <v>400</v>
      </c>
      <c r="C64" s="26"/>
      <c r="D64" s="20">
        <v>8915</v>
      </c>
      <c r="E64" s="82">
        <v>400</v>
      </c>
      <c r="F64" s="21"/>
      <c r="G64" s="15">
        <v>8958</v>
      </c>
      <c r="H64" s="89">
        <v>1200</v>
      </c>
      <c r="I64" s="16" t="s">
        <v>152</v>
      </c>
      <c r="J64" s="65"/>
      <c r="K64" s="84"/>
      <c r="L64" s="66"/>
      <c r="M64" s="23"/>
      <c r="N64" s="85"/>
      <c r="O64" s="23"/>
    </row>
    <row r="65" spans="1:15" x14ac:dyDescent="0.25">
      <c r="A65" s="25">
        <v>8870</v>
      </c>
      <c r="B65" s="61">
        <v>300</v>
      </c>
      <c r="C65" s="26" t="s">
        <v>115</v>
      </c>
      <c r="D65" s="20">
        <v>8916</v>
      </c>
      <c r="E65" s="82">
        <v>400</v>
      </c>
      <c r="F65" s="21" t="s">
        <v>95</v>
      </c>
      <c r="G65" s="15"/>
      <c r="H65" s="89"/>
      <c r="I65" s="16" t="s">
        <v>25</v>
      </c>
      <c r="J65" s="65"/>
      <c r="K65" s="84"/>
      <c r="L65" s="66"/>
      <c r="M65" s="23"/>
      <c r="N65" s="85"/>
      <c r="O65" s="23"/>
    </row>
    <row r="66" spans="1:15" x14ac:dyDescent="0.25">
      <c r="A66" s="25">
        <v>8871</v>
      </c>
      <c r="B66" s="61">
        <v>350</v>
      </c>
      <c r="C66" s="26"/>
      <c r="D66" s="20"/>
      <c r="E66" s="82"/>
      <c r="F66" s="21" t="s">
        <v>27</v>
      </c>
      <c r="G66" s="15">
        <v>8959</v>
      </c>
      <c r="H66" s="89">
        <v>400</v>
      </c>
      <c r="I66" s="16" t="s">
        <v>115</v>
      </c>
      <c r="J66" s="65"/>
      <c r="K66" s="84"/>
      <c r="L66" s="66"/>
      <c r="M66" s="23"/>
      <c r="N66" s="85"/>
      <c r="O66" s="23"/>
    </row>
    <row r="67" spans="1:15" x14ac:dyDescent="0.25">
      <c r="A67" s="25">
        <v>8872</v>
      </c>
      <c r="B67" s="61">
        <v>160</v>
      </c>
      <c r="C67" s="26" t="s">
        <v>125</v>
      </c>
      <c r="D67" s="20">
        <v>8917</v>
      </c>
      <c r="E67" s="82">
        <v>800</v>
      </c>
      <c r="F67" s="21" t="s">
        <v>95</v>
      </c>
      <c r="G67" s="15">
        <v>8960</v>
      </c>
      <c r="H67" s="89">
        <v>400</v>
      </c>
      <c r="I67" s="16"/>
      <c r="J67" s="65"/>
      <c r="K67" s="84"/>
      <c r="L67" s="66"/>
      <c r="M67" s="23"/>
      <c r="N67" s="85"/>
      <c r="O67" s="23"/>
    </row>
    <row r="68" spans="1:15" x14ac:dyDescent="0.25">
      <c r="A68" s="25"/>
      <c r="B68" s="61"/>
      <c r="C68" s="99">
        <v>64706</v>
      </c>
      <c r="D68" s="20"/>
      <c r="E68" s="82"/>
      <c r="F68" s="21" t="s">
        <v>25</v>
      </c>
      <c r="G68" s="15">
        <v>8961</v>
      </c>
      <c r="H68" s="89">
        <v>400</v>
      </c>
      <c r="I68" s="16"/>
      <c r="J68" s="65"/>
      <c r="K68" s="84"/>
      <c r="L68" s="66"/>
      <c r="M68" s="23"/>
      <c r="N68" s="85"/>
      <c r="O68" s="23"/>
    </row>
    <row r="69" spans="1:15" x14ac:dyDescent="0.25">
      <c r="A69" s="25"/>
      <c r="B69" s="61"/>
      <c r="C69" s="26"/>
      <c r="D69" s="20">
        <v>8918</v>
      </c>
      <c r="E69" s="82">
        <v>200</v>
      </c>
      <c r="F69" s="21"/>
      <c r="G69" s="15">
        <v>8962</v>
      </c>
      <c r="H69" s="89">
        <v>200</v>
      </c>
      <c r="I69" s="16"/>
      <c r="J69" s="65"/>
      <c r="K69" s="84"/>
      <c r="L69" s="66"/>
      <c r="M69" s="23"/>
      <c r="N69" s="85"/>
      <c r="O69" s="23"/>
    </row>
    <row r="70" spans="1:15" x14ac:dyDescent="0.25">
      <c r="A70" s="25"/>
      <c r="B70" s="61"/>
      <c r="C70" s="33"/>
      <c r="D70" s="20">
        <v>8919</v>
      </c>
      <c r="E70" s="82">
        <v>200</v>
      </c>
      <c r="F70" s="21" t="s">
        <v>115</v>
      </c>
      <c r="G70" s="15">
        <v>8963</v>
      </c>
      <c r="H70" s="89">
        <v>1600</v>
      </c>
      <c r="I70" s="16" t="s">
        <v>153</v>
      </c>
      <c r="J70" s="65"/>
      <c r="K70" s="84"/>
      <c r="L70" s="66"/>
      <c r="M70" s="23"/>
      <c r="N70" s="85"/>
      <c r="O70" s="23"/>
    </row>
    <row r="71" spans="1:15" x14ac:dyDescent="0.25">
      <c r="A71" s="25"/>
      <c r="B71" s="61"/>
      <c r="C71" s="26"/>
      <c r="D71" s="20"/>
      <c r="E71" s="82"/>
      <c r="F71" s="21"/>
      <c r="G71" s="15"/>
      <c r="H71" s="89"/>
      <c r="I71" s="16" t="s">
        <v>154</v>
      </c>
      <c r="J71" s="65"/>
      <c r="K71" s="84"/>
      <c r="L71" s="66"/>
      <c r="M71" s="23"/>
      <c r="N71" s="85"/>
      <c r="O71" s="23"/>
    </row>
    <row r="72" spans="1:15" x14ac:dyDescent="0.25">
      <c r="A72" s="25"/>
      <c r="B72" s="61"/>
      <c r="C72" s="26"/>
      <c r="D72" s="20"/>
      <c r="E72" s="82"/>
      <c r="F72" s="21"/>
      <c r="G72" s="17">
        <v>8964</v>
      </c>
      <c r="H72" s="79">
        <v>400</v>
      </c>
      <c r="I72" s="18"/>
      <c r="J72" s="65"/>
      <c r="K72" s="84"/>
      <c r="L72" s="66"/>
      <c r="M72" s="23"/>
      <c r="N72" s="85"/>
      <c r="O72" s="23"/>
    </row>
    <row r="73" spans="1:15" x14ac:dyDescent="0.25">
      <c r="A73" s="25"/>
      <c r="B73" s="61"/>
      <c r="C73" s="26"/>
      <c r="D73" s="20"/>
      <c r="E73" s="82"/>
      <c r="F73" s="21"/>
      <c r="G73" s="17">
        <v>8965</v>
      </c>
      <c r="H73" s="79">
        <v>560</v>
      </c>
      <c r="I73" s="18" t="s">
        <v>146</v>
      </c>
      <c r="J73" s="65"/>
      <c r="K73" s="84"/>
      <c r="L73" s="66"/>
      <c r="M73" s="23"/>
      <c r="N73" s="85"/>
      <c r="O73" s="23"/>
    </row>
    <row r="74" spans="1:15" x14ac:dyDescent="0.25">
      <c r="A74" s="25"/>
      <c r="B74" s="61"/>
      <c r="C74" s="26"/>
      <c r="D74" s="20"/>
      <c r="E74" s="82"/>
      <c r="F74" s="21"/>
      <c r="G74" s="17"/>
      <c r="H74" s="79"/>
      <c r="I74" s="18" t="s">
        <v>155</v>
      </c>
      <c r="J74" s="65"/>
      <c r="K74" s="84"/>
      <c r="L74" s="66"/>
      <c r="M74" s="23"/>
      <c r="N74" s="85"/>
      <c r="O74" s="23"/>
    </row>
    <row r="75" spans="1:15" x14ac:dyDescent="0.25">
      <c r="A75" s="25"/>
      <c r="B75" s="61"/>
      <c r="C75" s="26"/>
      <c r="D75" s="20"/>
      <c r="E75" s="82"/>
      <c r="F75" s="21"/>
      <c r="G75" s="17">
        <v>8966</v>
      </c>
      <c r="H75" s="79">
        <v>400</v>
      </c>
      <c r="I75" s="18" t="s">
        <v>115</v>
      </c>
      <c r="J75" s="65"/>
      <c r="K75" s="84"/>
      <c r="L75" s="66"/>
      <c r="M75" s="23"/>
      <c r="N75" s="85"/>
      <c r="O75" s="23"/>
    </row>
    <row r="76" spans="1:15" x14ac:dyDescent="0.25">
      <c r="A76" s="25"/>
      <c r="B76" s="61"/>
      <c r="C76" s="26"/>
      <c r="D76" s="20"/>
      <c r="E76" s="82"/>
      <c r="F76" s="21"/>
      <c r="G76" s="17">
        <v>8967</v>
      </c>
      <c r="H76" s="79">
        <v>300</v>
      </c>
      <c r="I76" s="18"/>
      <c r="J76" s="65"/>
      <c r="K76" s="84"/>
      <c r="L76" s="66"/>
      <c r="M76" s="23"/>
      <c r="N76" s="85"/>
      <c r="O76" s="23"/>
    </row>
    <row r="77" spans="1:15" x14ac:dyDescent="0.25">
      <c r="A77" s="25"/>
      <c r="B77" s="61"/>
      <c r="C77" s="26"/>
      <c r="D77" s="20"/>
      <c r="E77" s="82"/>
      <c r="F77" s="21"/>
      <c r="G77" s="17">
        <v>8968</v>
      </c>
      <c r="H77" s="79">
        <v>400</v>
      </c>
      <c r="I77" s="18"/>
      <c r="J77" s="65"/>
      <c r="K77" s="84"/>
      <c r="L77" s="66"/>
      <c r="M77" s="23"/>
      <c r="N77" s="85"/>
      <c r="O77" s="23"/>
    </row>
    <row r="78" spans="1:15" x14ac:dyDescent="0.25">
      <c r="A78" s="25"/>
      <c r="B78" s="61"/>
      <c r="C78" s="26"/>
      <c r="D78" s="20"/>
      <c r="E78" s="82"/>
      <c r="F78" s="21"/>
      <c r="G78" s="17">
        <v>8969</v>
      </c>
      <c r="H78" s="79">
        <v>560</v>
      </c>
      <c r="I78" s="18" t="s">
        <v>87</v>
      </c>
      <c r="J78" s="65"/>
      <c r="K78" s="84"/>
      <c r="L78" s="66"/>
      <c r="M78" s="23"/>
      <c r="N78" s="85"/>
      <c r="O78" s="23"/>
    </row>
    <row r="79" spans="1:15" x14ac:dyDescent="0.25">
      <c r="A79" s="25"/>
      <c r="B79" s="61"/>
      <c r="C79" s="26"/>
      <c r="D79" s="20"/>
      <c r="E79" s="82"/>
      <c r="F79" s="21"/>
      <c r="G79" s="17"/>
      <c r="H79" s="79"/>
      <c r="I79" s="18" t="s">
        <v>156</v>
      </c>
      <c r="J79" s="65"/>
      <c r="K79" s="84"/>
      <c r="L79" s="66"/>
      <c r="M79" s="23"/>
      <c r="N79" s="85"/>
      <c r="O79" s="23"/>
    </row>
    <row r="80" spans="1:15" x14ac:dyDescent="0.25">
      <c r="A80" s="25"/>
      <c r="B80" s="61"/>
      <c r="C80" s="26"/>
      <c r="D80" s="20"/>
      <c r="E80" s="82"/>
      <c r="F80" s="21"/>
      <c r="G80" s="17"/>
      <c r="H80" s="79"/>
      <c r="I80" s="18"/>
      <c r="J80" s="65"/>
      <c r="K80" s="84"/>
      <c r="L80" s="66"/>
      <c r="M80" s="23"/>
      <c r="N80" s="85"/>
      <c r="O80" s="23"/>
    </row>
    <row r="81" spans="1:15" x14ac:dyDescent="0.25">
      <c r="A81" s="25"/>
      <c r="B81" s="61"/>
      <c r="C81" s="26"/>
      <c r="D81" s="20"/>
      <c r="E81" s="82"/>
      <c r="F81" s="21"/>
      <c r="G81" s="17"/>
      <c r="H81" s="79"/>
      <c r="I81" s="18"/>
      <c r="J81" s="65"/>
      <c r="K81" s="84"/>
      <c r="L81" s="66"/>
      <c r="M81" s="23"/>
      <c r="N81" s="85"/>
      <c r="O81" s="23"/>
    </row>
    <row r="82" spans="1:15" x14ac:dyDescent="0.25">
      <c r="A82" s="25"/>
      <c r="B82" s="61"/>
      <c r="C82" s="26"/>
      <c r="D82" s="20"/>
      <c r="E82" s="82"/>
      <c r="F82" s="21"/>
      <c r="G82" s="17"/>
      <c r="H82" s="79"/>
      <c r="I82" s="18"/>
      <c r="J82" s="65"/>
      <c r="K82" s="84"/>
      <c r="L82" s="66"/>
      <c r="M82" s="23"/>
      <c r="N82" s="85"/>
      <c r="O82" s="23"/>
    </row>
    <row r="83" spans="1:15" x14ac:dyDescent="0.25">
      <c r="A83" s="25"/>
      <c r="B83" s="61"/>
      <c r="C83" s="26"/>
      <c r="D83" s="20"/>
      <c r="E83" s="82"/>
      <c r="F83" s="21"/>
      <c r="G83" s="17"/>
      <c r="H83" s="79"/>
      <c r="I83" s="18"/>
      <c r="J83" s="65"/>
      <c r="K83" s="84"/>
      <c r="L83" s="66"/>
      <c r="M83" s="23"/>
      <c r="N83" s="85"/>
      <c r="O83" s="23"/>
    </row>
    <row r="84" spans="1:15" x14ac:dyDescent="0.25">
      <c r="A84" s="25"/>
      <c r="B84" s="61"/>
      <c r="C84" s="26"/>
      <c r="D84" s="20"/>
      <c r="E84" s="82"/>
      <c r="F84" s="21"/>
      <c r="G84" s="17"/>
      <c r="H84" s="79"/>
      <c r="I84" s="18"/>
      <c r="J84" s="65"/>
      <c r="K84" s="84"/>
      <c r="L84" s="66"/>
      <c r="M84" s="23"/>
      <c r="N84" s="85"/>
      <c r="O84" s="23"/>
    </row>
    <row r="85" spans="1:15" x14ac:dyDescent="0.25">
      <c r="A85" s="25"/>
      <c r="B85" s="61"/>
      <c r="C85" s="26"/>
      <c r="D85" s="20"/>
      <c r="E85" s="82"/>
      <c r="F85" s="21"/>
      <c r="G85" s="17"/>
      <c r="H85" s="79"/>
      <c r="I85" s="18"/>
      <c r="J85" s="65"/>
      <c r="K85" s="84"/>
      <c r="L85" s="66"/>
      <c r="M85" s="23"/>
      <c r="N85" s="85"/>
      <c r="O85" s="23"/>
    </row>
    <row r="86" spans="1:15" x14ac:dyDescent="0.25">
      <c r="A86" s="25"/>
      <c r="B86" s="61"/>
      <c r="C86" s="26"/>
      <c r="D86" s="20"/>
      <c r="E86" s="82"/>
      <c r="F86" s="21"/>
      <c r="G86" s="17"/>
      <c r="H86" s="79"/>
      <c r="I86" s="18"/>
      <c r="J86" s="65"/>
      <c r="K86" s="84"/>
      <c r="L86" s="66"/>
      <c r="M86" s="23"/>
      <c r="N86" s="85"/>
      <c r="O86" s="23"/>
    </row>
    <row r="87" spans="1:15" x14ac:dyDescent="0.25">
      <c r="A87" s="25"/>
      <c r="B87" s="61"/>
      <c r="C87" s="26"/>
      <c r="D87" s="20"/>
      <c r="E87" s="82"/>
      <c r="F87" s="21"/>
      <c r="G87" s="17"/>
      <c r="H87" s="79"/>
      <c r="I87" s="18"/>
      <c r="J87" s="65"/>
      <c r="K87" s="84"/>
      <c r="L87" s="66"/>
      <c r="M87" s="23"/>
      <c r="N87" s="85"/>
      <c r="O87" s="23"/>
    </row>
    <row r="88" spans="1:15" x14ac:dyDescent="0.25">
      <c r="A88" s="25"/>
      <c r="B88" s="61"/>
      <c r="C88" s="26"/>
      <c r="D88" s="20"/>
      <c r="E88" s="82"/>
      <c r="F88" s="21"/>
      <c r="G88" s="17"/>
      <c r="H88" s="79"/>
      <c r="I88" s="18"/>
      <c r="J88" s="65"/>
      <c r="K88" s="84"/>
      <c r="L88" s="66"/>
      <c r="M88" s="23"/>
      <c r="N88" s="85"/>
      <c r="O88" s="23"/>
    </row>
    <row r="89" spans="1:15" x14ac:dyDescent="0.25">
      <c r="A89" s="25"/>
      <c r="B89" s="61"/>
      <c r="C89" s="26"/>
      <c r="D89" s="20"/>
      <c r="E89" s="82"/>
      <c r="F89" s="21"/>
      <c r="G89" s="17"/>
      <c r="H89" s="79"/>
      <c r="I89" s="18"/>
      <c r="J89" s="65"/>
      <c r="K89" s="84"/>
      <c r="L89" s="66"/>
      <c r="M89" s="23"/>
      <c r="N89" s="85"/>
      <c r="O89" s="23"/>
    </row>
    <row r="90" spans="1:15" x14ac:dyDescent="0.25">
      <c r="A90" s="25"/>
      <c r="B90" s="61"/>
      <c r="C90" s="26"/>
      <c r="D90" s="20"/>
      <c r="E90" s="82"/>
      <c r="F90" s="21"/>
      <c r="G90" s="17"/>
      <c r="H90" s="79"/>
      <c r="I90" s="18"/>
      <c r="J90" s="65"/>
      <c r="K90" s="84"/>
      <c r="L90" s="66"/>
      <c r="M90" s="23"/>
      <c r="N90" s="85"/>
      <c r="O90" s="23"/>
    </row>
    <row r="91" spans="1:15" x14ac:dyDescent="0.25">
      <c r="A91" s="25"/>
      <c r="B91" s="61"/>
      <c r="C91" s="26"/>
      <c r="D91" s="20"/>
      <c r="E91" s="82"/>
      <c r="F91" s="21"/>
      <c r="G91" s="17"/>
      <c r="H91" s="79"/>
      <c r="I91" s="18"/>
      <c r="J91" s="65"/>
      <c r="K91" s="84"/>
      <c r="L91" s="66"/>
      <c r="M91" s="23"/>
      <c r="N91" s="85"/>
      <c r="O91" s="23"/>
    </row>
    <row r="92" spans="1:15" x14ac:dyDescent="0.25">
      <c r="A92" s="25"/>
      <c r="B92" s="61"/>
      <c r="C92" s="26"/>
      <c r="D92" s="20"/>
      <c r="E92" s="82"/>
      <c r="F92" s="21"/>
      <c r="G92" s="17"/>
      <c r="H92" s="79"/>
      <c r="I92" s="18"/>
      <c r="J92" s="65"/>
      <c r="K92" s="84"/>
      <c r="L92" s="66"/>
      <c r="M92" s="23"/>
      <c r="N92" s="85"/>
      <c r="O92" s="23"/>
    </row>
    <row r="93" spans="1:15" x14ac:dyDescent="0.25">
      <c r="A93" s="25"/>
      <c r="B93" s="61"/>
      <c r="C93" s="26"/>
      <c r="D93" s="20"/>
      <c r="E93" s="82"/>
      <c r="F93" s="21"/>
      <c r="G93" s="17"/>
      <c r="H93" s="79"/>
      <c r="I93" s="18"/>
      <c r="J93" s="65"/>
      <c r="K93" s="84"/>
      <c r="L93" s="66"/>
      <c r="M93" s="23"/>
      <c r="N93" s="85"/>
      <c r="O93" s="23"/>
    </row>
    <row r="94" spans="1:15" x14ac:dyDescent="0.25">
      <c r="A94" s="25"/>
      <c r="B94" s="61"/>
      <c r="C94" s="26"/>
      <c r="D94" s="20"/>
      <c r="E94" s="82"/>
      <c r="F94" s="21"/>
      <c r="G94" s="17"/>
      <c r="H94" s="79"/>
      <c r="I94" s="18"/>
      <c r="J94" s="65"/>
      <c r="K94" s="84"/>
      <c r="L94" s="66"/>
      <c r="M94" s="23"/>
      <c r="N94" s="85"/>
      <c r="O94" s="23"/>
    </row>
    <row r="95" spans="1:15" x14ac:dyDescent="0.25">
      <c r="A95" s="25"/>
      <c r="B95" s="61"/>
      <c r="C95" s="26"/>
      <c r="D95" s="20"/>
      <c r="E95" s="82"/>
      <c r="F95" s="21"/>
      <c r="G95" s="17"/>
      <c r="H95" s="79"/>
      <c r="I95" s="18"/>
      <c r="J95" s="65"/>
      <c r="K95" s="84"/>
      <c r="L95" s="66"/>
      <c r="M95" s="23"/>
      <c r="N95" s="85"/>
      <c r="O95" s="23"/>
    </row>
    <row r="96" spans="1:15" x14ac:dyDescent="0.25">
      <c r="A96" s="25"/>
      <c r="B96" s="61"/>
      <c r="C96" s="26"/>
      <c r="D96" s="20"/>
      <c r="E96" s="82"/>
      <c r="F96" s="21"/>
      <c r="G96" s="17"/>
      <c r="H96" s="79"/>
      <c r="I96" s="18"/>
      <c r="J96" s="65"/>
      <c r="K96" s="84"/>
      <c r="L96" s="66"/>
      <c r="M96" s="23"/>
      <c r="N96" s="85"/>
      <c r="O96" s="23"/>
    </row>
    <row r="97" spans="1:15" x14ac:dyDescent="0.25">
      <c r="A97" s="25"/>
      <c r="B97" s="61"/>
      <c r="C97" s="26"/>
      <c r="D97" s="20"/>
      <c r="E97" s="82"/>
      <c r="F97" s="21"/>
      <c r="G97" s="17"/>
      <c r="H97" s="79"/>
      <c r="I97" s="18"/>
      <c r="J97" s="65"/>
      <c r="K97" s="84"/>
      <c r="L97" s="66"/>
      <c r="M97" s="23"/>
      <c r="N97" s="85"/>
      <c r="O97" s="23"/>
    </row>
    <row r="98" spans="1:15" x14ac:dyDescent="0.25">
      <c r="A98" s="25"/>
      <c r="B98" s="61"/>
      <c r="C98" s="26"/>
      <c r="D98" s="20"/>
      <c r="E98" s="82"/>
      <c r="F98" s="21"/>
      <c r="G98" s="17"/>
      <c r="H98" s="79"/>
      <c r="I98" s="18"/>
      <c r="J98" s="65"/>
      <c r="K98" s="84"/>
      <c r="L98" s="66"/>
      <c r="M98" s="23"/>
      <c r="N98" s="85"/>
      <c r="O98" s="23"/>
    </row>
    <row r="99" spans="1:15" x14ac:dyDescent="0.25">
      <c r="A99" s="25"/>
      <c r="B99" s="61"/>
      <c r="C99" s="26"/>
      <c r="D99" s="20"/>
      <c r="E99" s="82"/>
      <c r="F99" s="21"/>
      <c r="G99" s="17"/>
      <c r="H99" s="79"/>
      <c r="I99" s="18"/>
      <c r="J99" s="65"/>
      <c r="K99" s="84"/>
      <c r="L99" s="66"/>
      <c r="M99" s="23"/>
      <c r="N99" s="85"/>
      <c r="O99" s="23"/>
    </row>
    <row r="100" spans="1:15" x14ac:dyDescent="0.25">
      <c r="A100" s="25"/>
      <c r="B100" s="61"/>
      <c r="C100" s="26"/>
      <c r="D100" s="20"/>
      <c r="E100" s="82"/>
      <c r="F100" s="21"/>
      <c r="G100" s="17"/>
      <c r="H100" s="79"/>
      <c r="I100" s="18"/>
      <c r="J100" s="65"/>
      <c r="K100" s="84"/>
      <c r="L100" s="69"/>
      <c r="M100" s="23"/>
      <c r="N100" s="85"/>
      <c r="O100" s="23"/>
    </row>
    <row r="101" spans="1:15" x14ac:dyDescent="0.25">
      <c r="A101" s="25"/>
      <c r="B101" s="61"/>
      <c r="C101" s="26"/>
      <c r="D101" s="20"/>
      <c r="E101" s="82"/>
      <c r="F101" s="21"/>
      <c r="G101" s="17"/>
      <c r="H101" s="79"/>
      <c r="I101" s="18"/>
      <c r="J101" s="65"/>
      <c r="K101" s="84"/>
      <c r="L101" s="66"/>
      <c r="M101" s="23"/>
      <c r="N101" s="85"/>
      <c r="O101" s="23"/>
    </row>
    <row r="102" spans="1:15" x14ac:dyDescent="0.25">
      <c r="A102" s="25"/>
      <c r="B102" s="61"/>
      <c r="C102" s="26"/>
      <c r="D102" s="20"/>
      <c r="E102" s="82"/>
      <c r="F102" s="21"/>
      <c r="G102" s="17"/>
      <c r="H102" s="79"/>
      <c r="I102" s="18"/>
      <c r="J102" s="65"/>
      <c r="K102" s="84"/>
      <c r="L102" s="66"/>
      <c r="M102" s="23"/>
      <c r="N102" s="85"/>
      <c r="O102" s="23"/>
    </row>
    <row r="103" spans="1:15" x14ac:dyDescent="0.25">
      <c r="A103" s="25"/>
      <c r="B103" s="61"/>
      <c r="C103" s="26"/>
      <c r="D103" s="20"/>
      <c r="E103" s="82"/>
      <c r="F103" s="21"/>
      <c r="G103" s="17"/>
      <c r="H103" s="79"/>
      <c r="I103" s="18"/>
      <c r="J103" s="65"/>
      <c r="K103" s="84"/>
      <c r="L103" s="66"/>
      <c r="M103" s="23"/>
      <c r="N103" s="85"/>
      <c r="O103" s="23"/>
    </row>
    <row r="104" spans="1:15" x14ac:dyDescent="0.25">
      <c r="A104" s="25"/>
      <c r="B104" s="61"/>
      <c r="C104" s="26"/>
      <c r="D104" s="20"/>
      <c r="E104" s="82"/>
      <c r="F104" s="21"/>
      <c r="G104" s="17"/>
      <c r="H104" s="79"/>
      <c r="I104" s="18"/>
      <c r="J104" s="65"/>
      <c r="K104" s="84"/>
      <c r="L104" s="66"/>
      <c r="M104" s="23"/>
      <c r="N104" s="85"/>
      <c r="O104" s="23"/>
    </row>
    <row r="105" spans="1:15" x14ac:dyDescent="0.25">
      <c r="A105" s="25"/>
      <c r="B105" s="61"/>
      <c r="C105" s="26"/>
      <c r="D105" s="20"/>
      <c r="E105" s="82"/>
      <c r="F105" s="21"/>
      <c r="G105" s="17"/>
      <c r="H105" s="79"/>
      <c r="I105" s="18"/>
      <c r="J105" s="65"/>
      <c r="K105" s="84"/>
      <c r="L105" s="66"/>
      <c r="M105" s="23"/>
      <c r="N105" s="85"/>
      <c r="O105" s="23"/>
    </row>
    <row r="106" spans="1:15" x14ac:dyDescent="0.25">
      <c r="A106" s="25"/>
      <c r="B106" s="61"/>
      <c r="C106" s="26"/>
      <c r="D106" s="20"/>
      <c r="E106" s="82"/>
      <c r="F106" s="21"/>
      <c r="G106" s="17"/>
      <c r="H106" s="79"/>
      <c r="I106" s="18"/>
      <c r="J106" s="65"/>
      <c r="K106" s="84"/>
      <c r="L106" s="66"/>
      <c r="M106" s="23"/>
      <c r="N106" s="85"/>
      <c r="O106" s="23"/>
    </row>
    <row r="107" spans="1:15" x14ac:dyDescent="0.25">
      <c r="A107" s="25"/>
      <c r="B107" s="61"/>
      <c r="C107" s="26"/>
      <c r="D107" s="20"/>
      <c r="E107" s="82"/>
      <c r="F107" s="21"/>
      <c r="G107" s="17"/>
      <c r="H107" s="79"/>
      <c r="I107" s="18"/>
      <c r="J107" s="65"/>
      <c r="K107" s="84"/>
      <c r="L107" s="66"/>
      <c r="M107" s="23"/>
      <c r="N107" s="85"/>
      <c r="O107" s="23"/>
    </row>
    <row r="108" spans="1:15" x14ac:dyDescent="0.25">
      <c r="A108" s="25"/>
      <c r="B108" s="61"/>
      <c r="C108" s="26"/>
      <c r="D108" s="20"/>
      <c r="E108" s="82"/>
      <c r="F108" s="21"/>
      <c r="G108" s="17"/>
      <c r="H108" s="79"/>
      <c r="I108" s="18"/>
      <c r="J108" s="65"/>
      <c r="K108" s="84"/>
      <c r="L108" s="66"/>
      <c r="M108" s="23"/>
      <c r="N108" s="85"/>
      <c r="O108" s="23"/>
    </row>
    <row r="109" spans="1:15" x14ac:dyDescent="0.25">
      <c r="A109" s="25"/>
      <c r="B109" s="61"/>
      <c r="C109" s="26"/>
      <c r="D109" s="20"/>
      <c r="E109" s="82"/>
      <c r="F109" s="21"/>
      <c r="G109" s="17"/>
      <c r="H109" s="79"/>
      <c r="I109" s="18"/>
      <c r="J109" s="65"/>
      <c r="K109" s="84"/>
      <c r="L109" s="66"/>
      <c r="M109" s="23"/>
      <c r="N109" s="85"/>
      <c r="O109" s="23"/>
    </row>
    <row r="110" spans="1:15" x14ac:dyDescent="0.25">
      <c r="A110" s="25"/>
      <c r="B110" s="61"/>
      <c r="C110" s="26"/>
      <c r="D110" s="20"/>
      <c r="E110" s="82"/>
      <c r="F110" s="21"/>
      <c r="G110" s="17"/>
      <c r="H110" s="79"/>
      <c r="I110" s="18"/>
      <c r="J110" s="65"/>
      <c r="K110" s="84"/>
      <c r="L110" s="66"/>
      <c r="M110" s="23"/>
      <c r="N110" s="85"/>
      <c r="O110" s="23"/>
    </row>
    <row r="111" spans="1:15" x14ac:dyDescent="0.25">
      <c r="A111" s="25"/>
      <c r="B111" s="61"/>
      <c r="C111" s="26"/>
      <c r="D111" s="20"/>
      <c r="E111" s="82"/>
      <c r="F111" s="21"/>
      <c r="G111" s="17"/>
      <c r="H111" s="79"/>
      <c r="I111" s="18"/>
      <c r="J111" s="65"/>
      <c r="K111" s="84"/>
      <c r="L111" s="66"/>
      <c r="M111" s="23"/>
      <c r="N111" s="85"/>
      <c r="O111" s="23"/>
    </row>
    <row r="112" spans="1:15" x14ac:dyDescent="0.25">
      <c r="A112" s="25"/>
      <c r="B112" s="61"/>
      <c r="C112" s="26"/>
      <c r="D112" s="20"/>
      <c r="E112" s="82"/>
      <c r="F112" s="21"/>
      <c r="G112" s="17"/>
      <c r="H112" s="79"/>
      <c r="I112" s="18"/>
      <c r="J112" s="65"/>
      <c r="K112" s="84"/>
      <c r="L112" s="66"/>
      <c r="M112" s="23"/>
      <c r="N112" s="85"/>
      <c r="O112" s="23"/>
    </row>
    <row r="113" spans="1:15" x14ac:dyDescent="0.25">
      <c r="A113" s="25"/>
      <c r="B113" s="61"/>
      <c r="C113" s="26"/>
      <c r="D113" s="20"/>
      <c r="E113" s="82"/>
      <c r="F113" s="21"/>
      <c r="G113" s="17"/>
      <c r="H113" s="79"/>
      <c r="I113" s="18"/>
      <c r="J113" s="65"/>
      <c r="K113" s="84"/>
      <c r="L113" s="66"/>
      <c r="M113" s="23"/>
      <c r="N113" s="85"/>
      <c r="O113" s="23"/>
    </row>
    <row r="114" spans="1:15" x14ac:dyDescent="0.25">
      <c r="A114" s="25"/>
      <c r="B114" s="61"/>
      <c r="C114" s="26"/>
      <c r="D114" s="20"/>
      <c r="E114" s="82"/>
      <c r="F114" s="21"/>
      <c r="G114" s="17"/>
      <c r="H114" s="79"/>
      <c r="I114" s="18"/>
      <c r="J114" s="65"/>
      <c r="K114" s="84"/>
      <c r="L114" s="66"/>
      <c r="M114" s="23"/>
      <c r="N114" s="85"/>
      <c r="O114" s="23"/>
    </row>
    <row r="115" spans="1:15" x14ac:dyDescent="0.25">
      <c r="A115" s="25"/>
      <c r="B115" s="61"/>
      <c r="C115" s="26"/>
      <c r="D115" s="20"/>
      <c r="E115" s="82"/>
      <c r="F115" s="21"/>
      <c r="G115" s="17"/>
      <c r="H115" s="79"/>
      <c r="I115" s="18"/>
      <c r="J115" s="65"/>
      <c r="K115" s="84"/>
      <c r="L115" s="66"/>
      <c r="M115" s="23"/>
      <c r="N115" s="85"/>
      <c r="O115" s="23"/>
    </row>
    <row r="116" spans="1:15" x14ac:dyDescent="0.25">
      <c r="A116" s="25"/>
      <c r="B116" s="61"/>
      <c r="C116" s="26"/>
      <c r="D116" s="20"/>
      <c r="E116" s="82"/>
      <c r="F116" s="21"/>
      <c r="G116" s="17"/>
      <c r="H116" s="79"/>
      <c r="I116" s="18"/>
      <c r="J116" s="65"/>
      <c r="K116" s="84"/>
      <c r="L116" s="66"/>
      <c r="M116" s="23"/>
      <c r="N116" s="85"/>
      <c r="O116" s="23"/>
    </row>
    <row r="117" spans="1:15" x14ac:dyDescent="0.25">
      <c r="A117" s="25"/>
      <c r="B117" s="61"/>
      <c r="C117" s="26"/>
      <c r="D117" s="20"/>
      <c r="E117" s="82"/>
      <c r="F117" s="21"/>
      <c r="G117" s="17"/>
      <c r="H117" s="79"/>
      <c r="I117" s="18"/>
      <c r="J117" s="65"/>
      <c r="K117" s="84"/>
      <c r="L117" s="66"/>
      <c r="M117" s="23"/>
      <c r="N117" s="85"/>
      <c r="O117" s="23"/>
    </row>
    <row r="118" spans="1:15" x14ac:dyDescent="0.25">
      <c r="A118" s="25"/>
      <c r="B118" s="61"/>
      <c r="C118" s="26"/>
      <c r="D118" s="20"/>
      <c r="E118" s="82"/>
      <c r="F118" s="21"/>
      <c r="G118" s="17"/>
      <c r="H118" s="79"/>
      <c r="I118" s="18"/>
      <c r="J118" s="65"/>
      <c r="K118" s="84"/>
      <c r="L118" s="66"/>
      <c r="M118" s="23"/>
      <c r="N118" s="85"/>
      <c r="O118" s="23"/>
    </row>
    <row r="119" spans="1:15" x14ac:dyDescent="0.25">
      <c r="A119" s="25"/>
      <c r="B119" s="61"/>
      <c r="C119" s="26"/>
      <c r="D119" s="20"/>
      <c r="E119" s="82"/>
      <c r="F119" s="21"/>
      <c r="G119" s="17"/>
      <c r="H119" s="79"/>
      <c r="I119" s="18"/>
      <c r="J119" s="65"/>
      <c r="K119" s="84"/>
      <c r="L119" s="66"/>
      <c r="M119" s="23"/>
      <c r="N119" s="85"/>
      <c r="O119" s="23"/>
    </row>
    <row r="120" spans="1:15" x14ac:dyDescent="0.25">
      <c r="A120" s="25"/>
      <c r="B120" s="61"/>
      <c r="C120" s="26"/>
      <c r="D120" s="20"/>
      <c r="E120" s="82"/>
      <c r="F120" s="21"/>
      <c r="G120" s="17"/>
      <c r="H120" s="79"/>
      <c r="I120" s="18"/>
      <c r="J120" s="65"/>
      <c r="K120" s="84"/>
      <c r="L120" s="66"/>
      <c r="M120" s="23"/>
      <c r="N120" s="85"/>
      <c r="O120" s="23"/>
    </row>
    <row r="121" spans="1:15" x14ac:dyDescent="0.25">
      <c r="A121" s="25"/>
      <c r="B121" s="61"/>
      <c r="C121" s="26"/>
      <c r="D121" s="20"/>
      <c r="E121" s="82"/>
      <c r="F121" s="21"/>
      <c r="G121" s="17"/>
      <c r="H121" s="79"/>
      <c r="I121" s="18"/>
      <c r="J121" s="65"/>
      <c r="K121" s="84"/>
      <c r="L121" s="66"/>
      <c r="M121" s="23"/>
      <c r="N121" s="85"/>
      <c r="O121" s="23"/>
    </row>
    <row r="122" spans="1:15" x14ac:dyDescent="0.25">
      <c r="A122" s="25"/>
      <c r="B122" s="61"/>
      <c r="C122" s="26"/>
      <c r="D122" s="20"/>
      <c r="E122" s="82"/>
      <c r="F122" s="21"/>
      <c r="G122" s="17"/>
      <c r="H122" s="79"/>
      <c r="I122" s="18"/>
      <c r="J122" s="65"/>
      <c r="K122" s="84"/>
      <c r="L122" s="66"/>
      <c r="M122" s="23"/>
      <c r="N122" s="85"/>
      <c r="O122" s="23"/>
    </row>
    <row r="123" spans="1:15" x14ac:dyDescent="0.25">
      <c r="A123" s="25"/>
      <c r="B123" s="61"/>
      <c r="C123" s="26"/>
      <c r="D123" s="20"/>
      <c r="E123" s="82"/>
      <c r="F123" s="21"/>
      <c r="G123" s="17"/>
      <c r="H123" s="79"/>
      <c r="I123" s="18"/>
      <c r="J123" s="65"/>
      <c r="K123" s="84"/>
      <c r="L123" s="66"/>
      <c r="M123" s="23"/>
      <c r="N123" s="85"/>
      <c r="O123" s="23"/>
    </row>
    <row r="124" spans="1:15" x14ac:dyDescent="0.25">
      <c r="A124" s="25"/>
      <c r="B124" s="61"/>
      <c r="C124" s="26"/>
      <c r="D124" s="20"/>
      <c r="E124" s="82"/>
      <c r="F124" s="21"/>
      <c r="G124" s="17"/>
      <c r="H124" s="79"/>
      <c r="I124" s="18"/>
      <c r="J124" s="65"/>
      <c r="K124" s="84"/>
      <c r="L124" s="66"/>
      <c r="M124" s="23"/>
      <c r="N124" s="85"/>
      <c r="O124" s="23"/>
    </row>
    <row r="125" spans="1:15" x14ac:dyDescent="0.25">
      <c r="A125" s="25"/>
      <c r="B125" s="61"/>
      <c r="C125" s="26"/>
      <c r="D125" s="20"/>
      <c r="E125" s="82"/>
      <c r="F125" s="21"/>
      <c r="G125" s="17"/>
      <c r="H125" s="79"/>
      <c r="I125" s="18"/>
      <c r="J125" s="65"/>
      <c r="K125" s="84"/>
      <c r="L125" s="66"/>
      <c r="M125" s="23"/>
      <c r="N125" s="85"/>
      <c r="O125" s="23"/>
    </row>
    <row r="126" spans="1:15" x14ac:dyDescent="0.25">
      <c r="A126" s="25"/>
      <c r="B126" s="61"/>
      <c r="C126" s="26"/>
      <c r="D126" s="20"/>
      <c r="E126" s="82"/>
      <c r="F126" s="21"/>
      <c r="G126" s="17"/>
      <c r="H126" s="79"/>
      <c r="I126" s="18"/>
      <c r="J126" s="65"/>
      <c r="K126" s="84"/>
      <c r="L126" s="66"/>
      <c r="M126" s="23"/>
      <c r="N126" s="85"/>
      <c r="O126" s="23"/>
    </row>
    <row r="127" spans="1:15" x14ac:dyDescent="0.25">
      <c r="A127" s="25"/>
      <c r="B127" s="61"/>
      <c r="C127" s="26"/>
      <c r="D127" s="20"/>
      <c r="E127" s="82"/>
      <c r="F127" s="21"/>
      <c r="G127" s="17"/>
      <c r="H127" s="79"/>
      <c r="I127" s="18"/>
      <c r="J127" s="65"/>
      <c r="K127" s="84"/>
      <c r="L127" s="66"/>
      <c r="M127" s="23"/>
      <c r="N127" s="85"/>
      <c r="O127" s="23"/>
    </row>
    <row r="128" spans="1:15" x14ac:dyDescent="0.25">
      <c r="A128" s="25"/>
      <c r="B128" s="61"/>
      <c r="C128" s="26"/>
      <c r="D128" s="20"/>
      <c r="E128" s="82"/>
      <c r="F128" s="21"/>
      <c r="G128" s="17"/>
      <c r="H128" s="79"/>
      <c r="I128" s="18"/>
      <c r="J128" s="65"/>
      <c r="K128" s="84"/>
      <c r="L128" s="66"/>
      <c r="M128" s="23"/>
      <c r="N128" s="85"/>
      <c r="O128" s="23"/>
    </row>
    <row r="129" spans="1:15" x14ac:dyDescent="0.25">
      <c r="A129" s="25"/>
      <c r="B129" s="61"/>
      <c r="C129" s="26"/>
      <c r="D129" s="20"/>
      <c r="E129" s="82"/>
      <c r="F129" s="21"/>
      <c r="G129" s="17"/>
      <c r="H129" s="79"/>
      <c r="I129" s="18"/>
      <c r="J129" s="65"/>
      <c r="K129" s="84"/>
      <c r="L129" s="66"/>
      <c r="M129" s="23"/>
      <c r="N129" s="85"/>
      <c r="O129" s="23"/>
    </row>
    <row r="130" spans="1:15" x14ac:dyDescent="0.25">
      <c r="A130" s="25"/>
      <c r="B130" s="61"/>
      <c r="C130" s="26"/>
      <c r="D130" s="20"/>
      <c r="E130" s="82"/>
      <c r="F130" s="21"/>
      <c r="G130" s="17"/>
      <c r="H130" s="79"/>
      <c r="I130" s="18"/>
      <c r="J130" s="65"/>
      <c r="K130" s="84"/>
      <c r="L130" s="66"/>
      <c r="M130" s="23"/>
      <c r="N130" s="85"/>
      <c r="O130" s="23"/>
    </row>
    <row r="131" spans="1:15" x14ac:dyDescent="0.25">
      <c r="A131" s="25"/>
      <c r="B131" s="61"/>
      <c r="C131" s="26"/>
      <c r="D131" s="20"/>
      <c r="E131" s="82"/>
      <c r="F131" s="21"/>
      <c r="G131" s="17"/>
      <c r="H131" s="79"/>
      <c r="I131" s="18"/>
      <c r="J131" s="65"/>
      <c r="K131" s="84"/>
      <c r="L131" s="66"/>
      <c r="M131" s="23"/>
      <c r="N131" s="85"/>
      <c r="O131" s="23"/>
    </row>
    <row r="132" spans="1:15" x14ac:dyDescent="0.25">
      <c r="A132" s="37"/>
      <c r="B132" s="37"/>
      <c r="C132" s="70"/>
      <c r="D132" s="37"/>
      <c r="E132" s="70"/>
      <c r="F132" s="70"/>
      <c r="G132" s="37"/>
      <c r="H132" s="70"/>
      <c r="I132" s="70"/>
      <c r="J132" s="37"/>
      <c r="K132" s="70"/>
      <c r="L132" s="70"/>
      <c r="M132" s="70"/>
      <c r="N132" s="70"/>
      <c r="O132" s="70"/>
    </row>
    <row r="133" spans="1:15" x14ac:dyDescent="0.25">
      <c r="A133" s="37"/>
      <c r="B133" s="37"/>
      <c r="C133" s="70"/>
      <c r="D133" s="37"/>
      <c r="E133" s="70"/>
      <c r="F133" s="70"/>
      <c r="G133" s="37"/>
      <c r="H133" s="70"/>
      <c r="I133" s="70"/>
      <c r="J133" s="37"/>
      <c r="K133" s="70"/>
      <c r="L133" s="70"/>
      <c r="M133" s="70"/>
      <c r="N133" s="70"/>
      <c r="O133" s="70"/>
    </row>
    <row r="134" spans="1:15" x14ac:dyDescent="0.25">
      <c r="A134" s="37"/>
      <c r="B134" s="37"/>
      <c r="C134" s="70"/>
      <c r="D134" s="37"/>
      <c r="E134" s="70"/>
      <c r="F134" s="70"/>
      <c r="G134" s="37"/>
      <c r="H134" s="70"/>
      <c r="I134" s="70"/>
      <c r="J134" s="37"/>
      <c r="K134" s="70"/>
      <c r="L134" s="70"/>
      <c r="M134" s="70"/>
      <c r="N134" s="70"/>
      <c r="O134" s="70"/>
    </row>
    <row r="135" spans="1:15" x14ac:dyDescent="0.25">
      <c r="A135" s="37"/>
      <c r="B135" s="37"/>
      <c r="C135" s="70"/>
      <c r="D135" s="37"/>
      <c r="E135" s="70"/>
      <c r="F135" s="70"/>
      <c r="G135" s="37"/>
      <c r="H135" s="70"/>
      <c r="I135" s="70"/>
      <c r="J135" s="37"/>
      <c r="K135" s="70"/>
      <c r="L135" s="70"/>
      <c r="M135" s="70"/>
      <c r="N135" s="70"/>
      <c r="O135" s="70"/>
    </row>
    <row r="136" spans="1:15" x14ac:dyDescent="0.25">
      <c r="A136" s="37"/>
      <c r="B136" s="37"/>
      <c r="C136" s="70"/>
      <c r="D136" s="37"/>
      <c r="E136" s="70"/>
      <c r="F136" s="70"/>
      <c r="G136" s="37"/>
      <c r="H136" s="70"/>
      <c r="I136" s="70"/>
      <c r="J136" s="37"/>
      <c r="K136" s="70"/>
      <c r="L136" s="70"/>
      <c r="M136" s="70"/>
      <c r="N136" s="70"/>
      <c r="O136" s="70"/>
    </row>
    <row r="137" spans="1:15" x14ac:dyDescent="0.25">
      <c r="A137" s="37"/>
      <c r="B137" s="37"/>
      <c r="C137" s="70"/>
      <c r="D137" s="37"/>
      <c r="E137" s="70"/>
      <c r="F137" s="70"/>
      <c r="G137" s="37"/>
      <c r="H137" s="70"/>
      <c r="I137" s="70"/>
      <c r="J137" s="37"/>
      <c r="K137" s="70"/>
      <c r="L137" s="70"/>
      <c r="M137" s="70"/>
      <c r="N137" s="70"/>
      <c r="O137" s="70"/>
    </row>
    <row r="138" spans="1:15" x14ac:dyDescent="0.25">
      <c r="A138" s="37"/>
      <c r="B138" s="37"/>
      <c r="C138" s="70"/>
      <c r="D138" s="37"/>
      <c r="E138" s="70"/>
      <c r="F138" s="70"/>
      <c r="G138" s="37"/>
      <c r="H138" s="70"/>
      <c r="I138" s="70"/>
      <c r="J138" s="37"/>
      <c r="K138" s="70"/>
      <c r="L138" s="70"/>
      <c r="M138" s="70"/>
      <c r="N138" s="70"/>
      <c r="O138" s="70"/>
    </row>
    <row r="139" spans="1:15" x14ac:dyDescent="0.25">
      <c r="A139" s="37"/>
      <c r="B139" s="37"/>
      <c r="C139" s="70"/>
      <c r="D139" s="37"/>
      <c r="E139" s="70"/>
      <c r="F139" s="70"/>
      <c r="G139" s="37"/>
      <c r="H139" s="70"/>
      <c r="I139" s="70"/>
      <c r="J139" s="37"/>
      <c r="K139" s="70"/>
      <c r="L139" s="70"/>
      <c r="M139" s="70"/>
      <c r="N139" s="70"/>
      <c r="O139" s="70"/>
    </row>
    <row r="140" spans="1:15" x14ac:dyDescent="0.25">
      <c r="A140" s="37"/>
      <c r="B140" s="37"/>
      <c r="C140" s="70"/>
      <c r="D140" s="37"/>
      <c r="E140" s="70"/>
      <c r="F140" s="70"/>
      <c r="G140" s="37"/>
      <c r="H140" s="70"/>
      <c r="I140" s="70"/>
      <c r="J140" s="37"/>
      <c r="K140" s="70"/>
      <c r="L140" s="70"/>
      <c r="M140" s="70"/>
      <c r="N140" s="70"/>
      <c r="O140" s="70"/>
    </row>
    <row r="141" spans="1:15" x14ac:dyDescent="0.25">
      <c r="A141" s="37"/>
      <c r="B141" s="37"/>
      <c r="C141" s="70"/>
      <c r="D141" s="37"/>
      <c r="E141" s="70"/>
      <c r="F141" s="70"/>
      <c r="G141" s="37"/>
      <c r="H141" s="70"/>
      <c r="I141" s="70"/>
      <c r="J141" s="37"/>
      <c r="K141" s="70"/>
      <c r="L141" s="70"/>
      <c r="M141" s="70"/>
      <c r="N141" s="70"/>
      <c r="O141" s="70"/>
    </row>
    <row r="142" spans="1:15" x14ac:dyDescent="0.25">
      <c r="A142" s="37"/>
      <c r="B142" s="37"/>
      <c r="C142" s="70"/>
      <c r="D142" s="37"/>
      <c r="E142" s="70"/>
      <c r="F142" s="70"/>
      <c r="G142" s="37"/>
      <c r="H142" s="70"/>
      <c r="I142" s="70"/>
      <c r="J142" s="37"/>
      <c r="K142" s="70"/>
      <c r="L142" s="70"/>
      <c r="M142" s="70"/>
      <c r="N142" s="70"/>
      <c r="O142" s="70"/>
    </row>
    <row r="143" spans="1:15" x14ac:dyDescent="0.25">
      <c r="A143" s="37"/>
      <c r="B143" s="37"/>
      <c r="C143" s="70"/>
      <c r="D143" s="37"/>
      <c r="E143" s="70"/>
      <c r="F143" s="70"/>
      <c r="G143" s="37"/>
      <c r="H143" s="70"/>
      <c r="I143" s="70"/>
      <c r="J143" s="37"/>
      <c r="K143" s="70"/>
      <c r="L143" s="70"/>
      <c r="M143" s="70"/>
      <c r="N143" s="70"/>
      <c r="O143" s="70"/>
    </row>
    <row r="144" spans="1:15" x14ac:dyDescent="0.25">
      <c r="A144" s="37"/>
      <c r="B144" s="37"/>
      <c r="C144" s="70"/>
      <c r="D144" s="37"/>
      <c r="E144" s="70"/>
      <c r="F144" s="70"/>
      <c r="G144" s="37"/>
      <c r="H144" s="70"/>
      <c r="I144" s="70"/>
      <c r="J144" s="37"/>
      <c r="K144" s="70"/>
      <c r="L144" s="70"/>
      <c r="M144" s="70"/>
      <c r="N144" s="70"/>
      <c r="O144" s="70"/>
    </row>
    <row r="145" spans="1:15" x14ac:dyDescent="0.25">
      <c r="A145" s="37"/>
      <c r="B145" s="37"/>
      <c r="C145" s="70"/>
      <c r="D145" s="37"/>
      <c r="E145" s="70"/>
      <c r="F145" s="70"/>
      <c r="G145" s="37"/>
      <c r="H145" s="70"/>
      <c r="I145" s="70"/>
      <c r="J145" s="37"/>
      <c r="K145" s="70"/>
      <c r="L145" s="70"/>
      <c r="M145" s="70"/>
      <c r="N145" s="70"/>
      <c r="O145" s="70"/>
    </row>
    <row r="146" spans="1:15" x14ac:dyDescent="0.25">
      <c r="A146" s="37"/>
      <c r="B146" s="37"/>
      <c r="C146" s="70"/>
      <c r="D146" s="37"/>
      <c r="E146" s="70"/>
      <c r="F146" s="70"/>
      <c r="G146" s="37"/>
      <c r="H146" s="70"/>
      <c r="I146" s="70"/>
      <c r="J146" s="37"/>
      <c r="K146" s="70"/>
      <c r="L146" s="70"/>
      <c r="M146" s="70"/>
      <c r="N146" s="70"/>
      <c r="O146" s="70"/>
    </row>
    <row r="147" spans="1:15" x14ac:dyDescent="0.25">
      <c r="A147" s="37"/>
      <c r="B147" s="37"/>
      <c r="C147" s="70"/>
      <c r="D147" s="37"/>
      <c r="E147" s="70"/>
      <c r="F147" s="70"/>
      <c r="G147" s="37"/>
      <c r="H147" s="70"/>
      <c r="I147" s="70"/>
      <c r="J147" s="37"/>
      <c r="K147" s="70"/>
      <c r="L147" s="70"/>
      <c r="M147" s="70"/>
      <c r="N147" s="70"/>
      <c r="O147" s="70"/>
    </row>
    <row r="148" spans="1:15" x14ac:dyDescent="0.25">
      <c r="A148" s="37"/>
      <c r="B148" s="37"/>
      <c r="C148" s="70"/>
      <c r="D148" s="37"/>
      <c r="E148" s="70"/>
      <c r="F148" s="70"/>
      <c r="G148" s="37"/>
      <c r="H148" s="70"/>
      <c r="I148" s="70"/>
      <c r="J148" s="37"/>
      <c r="K148" s="70"/>
      <c r="L148" s="70"/>
      <c r="M148" s="70"/>
      <c r="N148" s="70"/>
      <c r="O148" s="70"/>
    </row>
    <row r="149" spans="1:15" x14ac:dyDescent="0.25">
      <c r="A149" s="37"/>
      <c r="B149" s="37"/>
      <c r="C149" s="70"/>
      <c r="D149" s="37"/>
      <c r="E149" s="70"/>
      <c r="F149" s="70"/>
      <c r="G149" s="37"/>
      <c r="H149" s="70"/>
      <c r="I149" s="70"/>
      <c r="J149" s="37"/>
      <c r="K149" s="70"/>
      <c r="L149" s="70"/>
      <c r="M149" s="70"/>
      <c r="N149" s="70"/>
      <c r="O149" s="70"/>
    </row>
    <row r="150" spans="1:15" x14ac:dyDescent="0.25">
      <c r="A150" s="37"/>
      <c r="B150" s="37"/>
      <c r="C150" s="70"/>
      <c r="D150" s="37"/>
      <c r="E150" s="70"/>
      <c r="F150" s="70"/>
      <c r="G150" s="37"/>
      <c r="H150" s="70"/>
      <c r="I150" s="70"/>
      <c r="J150" s="37"/>
      <c r="K150" s="70"/>
      <c r="L150" s="70"/>
      <c r="M150" s="70"/>
      <c r="N150" s="70"/>
      <c r="O150" s="70"/>
    </row>
    <row r="151" spans="1:15" x14ac:dyDescent="0.25">
      <c r="A151" s="37"/>
      <c r="B151" s="37"/>
      <c r="C151" s="70"/>
      <c r="D151" s="37"/>
      <c r="E151" s="70"/>
      <c r="F151" s="70"/>
      <c r="G151" s="37"/>
      <c r="H151" s="70"/>
      <c r="I151" s="70"/>
      <c r="J151" s="37"/>
      <c r="K151" s="70"/>
      <c r="L151" s="70"/>
      <c r="M151" s="70"/>
      <c r="N151" s="70"/>
      <c r="O151" s="70"/>
    </row>
    <row r="152" spans="1:15" x14ac:dyDescent="0.25">
      <c r="A152" s="37"/>
      <c r="B152" s="37"/>
      <c r="C152" s="70"/>
      <c r="D152" s="37"/>
      <c r="E152" s="70"/>
      <c r="F152" s="70"/>
      <c r="G152" s="37"/>
      <c r="H152" s="70"/>
      <c r="I152" s="70"/>
      <c r="J152" s="37"/>
      <c r="K152" s="70"/>
      <c r="L152" s="70"/>
      <c r="M152" s="70"/>
      <c r="N152" s="70"/>
      <c r="O152" s="70"/>
    </row>
    <row r="153" spans="1:15" x14ac:dyDescent="0.25">
      <c r="A153" s="37"/>
      <c r="B153" s="37"/>
      <c r="C153" s="70"/>
      <c r="D153" s="37"/>
      <c r="E153" s="70"/>
      <c r="F153" s="70"/>
      <c r="G153" s="37"/>
      <c r="H153" s="70"/>
      <c r="I153" s="70"/>
      <c r="J153" s="37"/>
      <c r="K153" s="70"/>
      <c r="L153" s="70"/>
      <c r="M153" s="70"/>
      <c r="N153" s="70"/>
      <c r="O153" s="70"/>
    </row>
    <row r="154" spans="1:15" x14ac:dyDescent="0.25">
      <c r="A154" s="37"/>
      <c r="B154" s="37"/>
      <c r="C154" s="70"/>
      <c r="D154" s="37"/>
      <c r="E154" s="70"/>
      <c r="F154" s="70"/>
      <c r="G154" s="37"/>
      <c r="H154" s="70"/>
      <c r="I154" s="70"/>
      <c r="J154" s="37"/>
      <c r="K154" s="70"/>
      <c r="L154" s="70"/>
      <c r="M154" s="70"/>
      <c r="N154" s="70"/>
      <c r="O154" s="70"/>
    </row>
    <row r="155" spans="1:15" x14ac:dyDescent="0.25">
      <c r="A155" s="37"/>
      <c r="B155" s="37"/>
      <c r="C155" s="70"/>
      <c r="D155" s="37"/>
      <c r="E155" s="70"/>
      <c r="F155" s="70"/>
      <c r="G155" s="37"/>
      <c r="H155" s="70"/>
      <c r="I155" s="70"/>
      <c r="J155" s="37"/>
      <c r="K155" s="70"/>
      <c r="L155" s="70"/>
      <c r="M155" s="70"/>
      <c r="N155" s="70"/>
      <c r="O155" s="70"/>
    </row>
    <row r="156" spans="1:15" x14ac:dyDescent="0.25">
      <c r="A156" s="37"/>
      <c r="B156" s="37"/>
      <c r="C156" s="70"/>
      <c r="D156" s="37"/>
      <c r="E156" s="70"/>
      <c r="F156" s="70"/>
      <c r="G156" s="37"/>
      <c r="H156" s="70"/>
      <c r="I156" s="70"/>
      <c r="J156" s="37"/>
      <c r="K156" s="70"/>
      <c r="L156" s="70"/>
      <c r="M156" s="70"/>
      <c r="N156" s="70"/>
      <c r="O156" s="70"/>
    </row>
    <row r="157" spans="1:15" x14ac:dyDescent="0.25">
      <c r="A157" s="37"/>
      <c r="B157" s="37"/>
      <c r="C157" s="70"/>
      <c r="D157" s="37"/>
      <c r="E157" s="70"/>
      <c r="F157" s="70"/>
      <c r="G157" s="37"/>
      <c r="H157" s="70"/>
      <c r="I157" s="70"/>
      <c r="J157" s="37"/>
      <c r="K157" s="70"/>
      <c r="L157" s="70"/>
      <c r="M157" s="70"/>
      <c r="N157" s="70"/>
      <c r="O157" s="70"/>
    </row>
    <row r="158" spans="1:15" x14ac:dyDescent="0.25">
      <c r="A158" s="37"/>
      <c r="B158" s="37"/>
      <c r="C158" s="70"/>
      <c r="D158" s="37"/>
      <c r="E158" s="70"/>
      <c r="F158" s="70"/>
      <c r="G158" s="37"/>
      <c r="H158" s="70"/>
      <c r="I158" s="70"/>
      <c r="J158" s="37"/>
      <c r="K158" s="70"/>
      <c r="L158" s="70"/>
      <c r="M158" s="70"/>
      <c r="N158" s="70"/>
      <c r="O158" s="70"/>
    </row>
    <row r="159" spans="1:15" x14ac:dyDescent="0.25">
      <c r="A159" s="37"/>
      <c r="B159" s="37"/>
      <c r="C159" s="70"/>
      <c r="D159" s="37"/>
      <c r="E159" s="70"/>
      <c r="F159" s="70"/>
      <c r="G159" s="37"/>
      <c r="H159" s="70"/>
      <c r="I159" s="70"/>
      <c r="J159" s="37"/>
      <c r="K159" s="70"/>
      <c r="L159" s="70"/>
      <c r="M159" s="70"/>
      <c r="N159" s="70"/>
      <c r="O159" s="70"/>
    </row>
    <row r="160" spans="1:15" x14ac:dyDescent="0.25">
      <c r="A160" s="37"/>
      <c r="B160" s="37"/>
      <c r="C160" s="70"/>
      <c r="D160" s="37"/>
      <c r="E160" s="70"/>
      <c r="F160" s="70"/>
      <c r="G160" s="37"/>
      <c r="H160" s="70"/>
      <c r="I160" s="70"/>
      <c r="J160" s="37"/>
      <c r="K160" s="70"/>
      <c r="L160" s="70"/>
      <c r="M160" s="70"/>
      <c r="N160" s="70"/>
      <c r="O160" s="70"/>
    </row>
    <row r="161" spans="1:15" x14ac:dyDescent="0.25">
      <c r="A161" s="37"/>
      <c r="B161" s="37"/>
      <c r="C161" s="70"/>
      <c r="D161" s="37"/>
      <c r="E161" s="70"/>
      <c r="F161" s="70"/>
      <c r="G161" s="37"/>
      <c r="H161" s="70"/>
      <c r="I161" s="70"/>
      <c r="J161" s="37"/>
      <c r="K161" s="70"/>
      <c r="L161" s="70"/>
      <c r="M161" s="70"/>
      <c r="N161" s="70"/>
      <c r="O161" s="70"/>
    </row>
    <row r="162" spans="1:15" x14ac:dyDescent="0.25">
      <c r="A162" s="37"/>
      <c r="B162" s="37"/>
      <c r="C162" s="70"/>
      <c r="D162" s="37"/>
      <c r="E162" s="70"/>
      <c r="F162" s="70"/>
      <c r="G162" s="37"/>
      <c r="H162" s="70"/>
      <c r="I162" s="70"/>
      <c r="J162" s="37"/>
      <c r="K162" s="70"/>
      <c r="L162" s="70"/>
      <c r="M162" s="70"/>
      <c r="N162" s="70"/>
      <c r="O162" s="70"/>
    </row>
    <row r="163" spans="1:15" x14ac:dyDescent="0.25">
      <c r="A163" s="37"/>
      <c r="B163" s="37"/>
      <c r="C163" s="70"/>
      <c r="D163" s="37"/>
      <c r="E163" s="70"/>
      <c r="F163" s="70"/>
      <c r="G163" s="37"/>
      <c r="H163" s="70"/>
      <c r="I163" s="70"/>
      <c r="J163" s="37"/>
      <c r="K163" s="70"/>
      <c r="L163" s="70"/>
      <c r="M163" s="70"/>
      <c r="N163" s="70"/>
      <c r="O163" s="70"/>
    </row>
    <row r="164" spans="1:15" x14ac:dyDescent="0.25">
      <c r="A164" s="37"/>
      <c r="B164" s="37"/>
      <c r="C164" s="70"/>
      <c r="D164" s="37"/>
      <c r="E164" s="70"/>
      <c r="F164" s="70"/>
      <c r="G164" s="37"/>
      <c r="H164" s="70"/>
      <c r="I164" s="70"/>
      <c r="J164" s="37"/>
      <c r="K164" s="70"/>
      <c r="L164" s="70"/>
      <c r="M164" s="70"/>
      <c r="N164" s="70"/>
      <c r="O164" s="70"/>
    </row>
    <row r="165" spans="1:15" x14ac:dyDescent="0.25">
      <c r="A165" s="37"/>
      <c r="B165" s="37"/>
      <c r="C165" s="70"/>
      <c r="D165" s="37"/>
      <c r="E165" s="70"/>
      <c r="F165" s="70"/>
      <c r="G165" s="37"/>
      <c r="H165" s="70"/>
      <c r="I165" s="70"/>
      <c r="J165" s="37"/>
      <c r="K165" s="70"/>
      <c r="L165" s="70"/>
      <c r="M165" s="70"/>
      <c r="N165" s="70"/>
      <c r="O165" s="70"/>
    </row>
    <row r="166" spans="1:15" x14ac:dyDescent="0.25">
      <c r="A166" s="37"/>
      <c r="B166" s="37"/>
      <c r="C166" s="70"/>
      <c r="D166" s="37"/>
      <c r="E166" s="70"/>
      <c r="F166" s="70"/>
      <c r="G166" s="37"/>
      <c r="H166" s="70"/>
      <c r="I166" s="70"/>
      <c r="J166" s="37"/>
      <c r="K166" s="70"/>
      <c r="L166" s="70"/>
      <c r="M166" s="70"/>
      <c r="N166" s="70"/>
      <c r="O166" s="70"/>
    </row>
    <row r="167" spans="1:15" x14ac:dyDescent="0.25">
      <c r="A167" s="37"/>
      <c r="B167" s="37"/>
      <c r="C167" s="70"/>
      <c r="D167" s="37"/>
      <c r="E167" s="70"/>
      <c r="F167" s="70"/>
      <c r="G167" s="37"/>
      <c r="H167" s="70"/>
      <c r="I167" s="70"/>
      <c r="J167" s="37"/>
      <c r="K167" s="70"/>
      <c r="L167" s="70"/>
      <c r="M167" s="70"/>
      <c r="N167" s="70"/>
      <c r="O167" s="70"/>
    </row>
    <row r="168" spans="1:15" x14ac:dyDescent="0.25">
      <c r="A168" s="37"/>
      <c r="B168" s="37"/>
      <c r="C168" s="70"/>
      <c r="D168" s="37"/>
      <c r="E168" s="70"/>
      <c r="F168" s="70"/>
      <c r="G168" s="37"/>
      <c r="H168" s="70"/>
      <c r="I168" s="70"/>
      <c r="J168" s="37"/>
      <c r="K168" s="70"/>
      <c r="L168" s="70"/>
      <c r="M168" s="70"/>
      <c r="N168" s="70"/>
      <c r="O168" s="70"/>
    </row>
    <row r="169" spans="1:15" x14ac:dyDescent="0.25">
      <c r="A169" s="37"/>
      <c r="B169" s="37"/>
      <c r="C169" s="70"/>
      <c r="D169" s="37"/>
      <c r="E169" s="70"/>
      <c r="F169" s="70"/>
      <c r="G169" s="37"/>
      <c r="H169" s="70"/>
      <c r="I169" s="70"/>
      <c r="J169" s="37"/>
      <c r="K169" s="70"/>
      <c r="L169" s="70"/>
      <c r="M169" s="70"/>
      <c r="N169" s="70"/>
      <c r="O169" s="70"/>
    </row>
    <row r="170" spans="1:15" x14ac:dyDescent="0.25">
      <c r="A170" s="37"/>
      <c r="B170" s="37"/>
      <c r="C170" s="70"/>
      <c r="D170" s="37"/>
      <c r="E170" s="70"/>
      <c r="F170" s="70"/>
      <c r="G170" s="37"/>
      <c r="H170" s="70"/>
      <c r="I170" s="70"/>
      <c r="J170" s="37"/>
      <c r="K170" s="70"/>
      <c r="L170" s="70"/>
      <c r="M170" s="70"/>
      <c r="N170" s="70"/>
      <c r="O170" s="70"/>
    </row>
    <row r="171" spans="1:15" x14ac:dyDescent="0.25">
      <c r="A171" s="37"/>
      <c r="B171" s="37"/>
      <c r="C171" s="70"/>
      <c r="D171" s="37"/>
      <c r="E171" s="70"/>
      <c r="F171" s="70"/>
      <c r="G171" s="37"/>
      <c r="H171" s="70"/>
      <c r="I171" s="70"/>
      <c r="J171" s="37"/>
      <c r="K171" s="70"/>
      <c r="L171" s="70"/>
      <c r="M171" s="70"/>
      <c r="N171" s="70"/>
      <c r="O171" s="70"/>
    </row>
    <row r="172" spans="1:15" x14ac:dyDescent="0.25">
      <c r="A172" s="37"/>
      <c r="B172" s="37"/>
      <c r="C172" s="70"/>
      <c r="D172" s="37"/>
      <c r="E172" s="70"/>
      <c r="F172" s="70"/>
      <c r="G172" s="37"/>
      <c r="H172" s="70"/>
      <c r="I172" s="70"/>
      <c r="J172" s="37"/>
      <c r="K172" s="70"/>
      <c r="L172" s="70"/>
      <c r="M172" s="70"/>
      <c r="N172" s="70"/>
      <c r="O172" s="70"/>
    </row>
    <row r="173" spans="1:15" x14ac:dyDescent="0.25">
      <c r="A173" s="37"/>
      <c r="B173" s="37"/>
      <c r="C173" s="70"/>
      <c r="D173" s="37"/>
      <c r="E173" s="70"/>
      <c r="F173" s="70"/>
      <c r="G173" s="37"/>
      <c r="H173" s="70"/>
      <c r="I173" s="70"/>
      <c r="J173" s="37"/>
      <c r="K173" s="70"/>
      <c r="L173" s="70"/>
      <c r="M173" s="70"/>
      <c r="N173" s="70"/>
      <c r="O173" s="70"/>
    </row>
    <row r="174" spans="1:15" x14ac:dyDescent="0.25">
      <c r="A174" s="37"/>
      <c r="B174" s="37"/>
      <c r="C174" s="70"/>
      <c r="D174" s="37"/>
      <c r="E174" s="70"/>
      <c r="F174" s="70"/>
      <c r="G174" s="37"/>
      <c r="H174" s="70"/>
      <c r="I174" s="70"/>
      <c r="J174" s="37"/>
      <c r="K174" s="70"/>
      <c r="L174" s="70"/>
      <c r="M174" s="70"/>
      <c r="N174" s="70"/>
      <c r="O174" s="70"/>
    </row>
    <row r="175" spans="1:15" x14ac:dyDescent="0.25">
      <c r="A175" s="37"/>
      <c r="B175" s="37"/>
      <c r="C175" s="70"/>
      <c r="D175" s="37"/>
      <c r="E175" s="70"/>
      <c r="F175" s="70"/>
      <c r="G175" s="37"/>
      <c r="H175" s="70"/>
      <c r="I175" s="70"/>
      <c r="J175" s="37"/>
      <c r="K175" s="70"/>
      <c r="L175" s="70"/>
      <c r="M175" s="70"/>
      <c r="N175" s="70"/>
      <c r="O175" s="70"/>
    </row>
    <row r="176" spans="1:15" x14ac:dyDescent="0.25">
      <c r="A176" s="37"/>
      <c r="B176" s="37"/>
      <c r="C176" s="70"/>
      <c r="D176" s="37"/>
      <c r="E176" s="70"/>
      <c r="F176" s="70"/>
      <c r="G176" s="37"/>
      <c r="H176" s="70"/>
      <c r="I176" s="70"/>
      <c r="J176" s="37"/>
      <c r="K176" s="70"/>
      <c r="L176" s="70"/>
      <c r="M176" s="70"/>
      <c r="N176" s="70"/>
      <c r="O176" s="70"/>
    </row>
    <row r="177" spans="1:15" x14ac:dyDescent="0.25">
      <c r="A177" s="37"/>
      <c r="B177" s="37"/>
      <c r="C177" s="70"/>
      <c r="D177" s="37"/>
      <c r="E177" s="70"/>
      <c r="F177" s="70"/>
      <c r="G177" s="37"/>
      <c r="H177" s="70"/>
      <c r="I177" s="70"/>
      <c r="J177" s="37"/>
      <c r="K177" s="70"/>
      <c r="L177" s="70"/>
      <c r="M177" s="70"/>
      <c r="N177" s="70"/>
      <c r="O177" s="70"/>
    </row>
    <row r="178" spans="1:15" x14ac:dyDescent="0.25">
      <c r="A178" s="37"/>
      <c r="B178" s="37"/>
      <c r="C178" s="70"/>
      <c r="D178" s="37"/>
      <c r="E178" s="70"/>
      <c r="F178" s="70"/>
      <c r="G178" s="37"/>
      <c r="H178" s="70"/>
      <c r="I178" s="70"/>
      <c r="J178" s="37"/>
      <c r="K178" s="70"/>
      <c r="L178" s="70"/>
      <c r="M178" s="70"/>
      <c r="N178" s="70"/>
      <c r="O178" s="70"/>
    </row>
    <row r="179" spans="1:15" x14ac:dyDescent="0.25">
      <c r="A179" s="37"/>
      <c r="B179" s="37"/>
      <c r="C179" s="70"/>
      <c r="D179" s="37"/>
      <c r="E179" s="70"/>
      <c r="F179" s="70"/>
      <c r="G179" s="37"/>
      <c r="H179" s="70"/>
      <c r="I179" s="70"/>
      <c r="J179" s="37"/>
      <c r="K179" s="70"/>
      <c r="L179" s="70"/>
      <c r="M179" s="70"/>
      <c r="N179" s="70"/>
      <c r="O179" s="70"/>
    </row>
    <row r="180" spans="1:15" x14ac:dyDescent="0.25">
      <c r="A180" s="37"/>
      <c r="B180" s="37"/>
      <c r="C180" s="70"/>
      <c r="D180" s="37"/>
      <c r="E180" s="70"/>
      <c r="F180" s="70"/>
      <c r="G180" s="37"/>
      <c r="H180" s="70"/>
      <c r="I180" s="70"/>
      <c r="J180" s="37"/>
      <c r="K180" s="70"/>
      <c r="L180" s="70"/>
      <c r="M180" s="70"/>
      <c r="N180" s="70"/>
      <c r="O180" s="70"/>
    </row>
    <row r="181" spans="1:15" x14ac:dyDescent="0.25">
      <c r="A181" s="37"/>
      <c r="B181" s="37"/>
      <c r="C181" s="70"/>
      <c r="D181" s="37"/>
      <c r="E181" s="70"/>
      <c r="F181" s="70"/>
      <c r="G181" s="37"/>
      <c r="H181" s="70"/>
      <c r="I181" s="70"/>
      <c r="J181" s="37"/>
      <c r="K181" s="70"/>
      <c r="L181" s="70"/>
      <c r="M181" s="70"/>
      <c r="N181" s="70"/>
      <c r="O181" s="70"/>
    </row>
    <row r="182" spans="1:15" x14ac:dyDescent="0.25">
      <c r="A182" s="37"/>
      <c r="B182" s="37"/>
      <c r="C182" s="70"/>
      <c r="D182" s="37"/>
      <c r="E182" s="70"/>
      <c r="F182" s="70"/>
      <c r="G182" s="37"/>
      <c r="H182" s="70"/>
      <c r="I182" s="70"/>
      <c r="J182" s="37"/>
      <c r="K182" s="70"/>
      <c r="L182" s="70"/>
      <c r="M182" s="70"/>
      <c r="N182" s="70"/>
      <c r="O182" s="70"/>
    </row>
    <row r="183" spans="1:15" x14ac:dyDescent="0.25">
      <c r="A183" s="37"/>
      <c r="B183" s="37"/>
      <c r="C183" s="70"/>
      <c r="D183" s="37"/>
      <c r="E183" s="70"/>
      <c r="F183" s="70"/>
      <c r="G183" s="37"/>
      <c r="H183" s="70"/>
      <c r="I183" s="70"/>
      <c r="J183" s="37"/>
      <c r="K183" s="70"/>
      <c r="L183" s="70"/>
      <c r="M183" s="70"/>
      <c r="N183" s="70"/>
      <c r="O183" s="70"/>
    </row>
    <row r="184" spans="1:15" x14ac:dyDescent="0.25">
      <c r="A184" s="37"/>
      <c r="B184" s="37"/>
      <c r="C184" s="70"/>
      <c r="D184" s="37"/>
      <c r="E184" s="70"/>
      <c r="F184" s="70"/>
      <c r="G184" s="37"/>
      <c r="H184" s="70"/>
      <c r="I184" s="70"/>
      <c r="J184" s="37"/>
      <c r="K184" s="70"/>
      <c r="L184" s="70"/>
      <c r="M184" s="70"/>
      <c r="N184" s="70"/>
      <c r="O184" s="70"/>
    </row>
    <row r="185" spans="1:15" x14ac:dyDescent="0.25">
      <c r="A185" s="37"/>
      <c r="B185" s="37"/>
      <c r="C185" s="70"/>
      <c r="D185" s="37"/>
      <c r="E185" s="70"/>
      <c r="F185" s="70"/>
      <c r="G185" s="37"/>
      <c r="H185" s="70"/>
      <c r="I185" s="70"/>
      <c r="J185" s="37"/>
      <c r="K185" s="70"/>
      <c r="L185" s="70"/>
      <c r="M185" s="70"/>
      <c r="N185" s="70"/>
      <c r="O185" s="70"/>
    </row>
    <row r="186" spans="1:15" x14ac:dyDescent="0.25">
      <c r="A186" s="37"/>
      <c r="B186" s="37"/>
      <c r="C186" s="70"/>
      <c r="D186" s="37"/>
      <c r="E186" s="70"/>
      <c r="F186" s="70"/>
      <c r="G186" s="37"/>
      <c r="H186" s="70"/>
      <c r="I186" s="70"/>
      <c r="J186" s="37"/>
      <c r="K186" s="70"/>
      <c r="L186" s="70"/>
      <c r="M186" s="70"/>
      <c r="N186" s="70"/>
      <c r="O186" s="70"/>
    </row>
    <row r="187" spans="1:15" x14ac:dyDescent="0.25">
      <c r="A187" s="37"/>
      <c r="B187" s="37"/>
      <c r="C187" s="70"/>
      <c r="D187" s="37"/>
      <c r="E187" s="70"/>
      <c r="F187" s="70"/>
      <c r="G187" s="37"/>
      <c r="H187" s="70"/>
      <c r="I187" s="70"/>
      <c r="J187" s="37"/>
      <c r="K187" s="70"/>
      <c r="L187" s="70"/>
      <c r="M187" s="70"/>
      <c r="N187" s="70"/>
      <c r="O187" s="70"/>
    </row>
    <row r="188" spans="1:15" x14ac:dyDescent="0.25">
      <c r="A188" s="37"/>
      <c r="B188" s="37"/>
      <c r="C188" s="70"/>
      <c r="D188" s="37"/>
      <c r="E188" s="70"/>
      <c r="F188" s="70"/>
      <c r="G188" s="37"/>
      <c r="H188" s="70"/>
      <c r="I188" s="70"/>
      <c r="J188" s="37"/>
      <c r="K188" s="70"/>
      <c r="L188" s="70"/>
      <c r="M188" s="70"/>
      <c r="N188" s="70"/>
      <c r="O188" s="70"/>
    </row>
    <row r="189" spans="1:15" x14ac:dyDescent="0.25">
      <c r="A189" s="37"/>
      <c r="B189" s="37"/>
      <c r="C189" s="70"/>
      <c r="D189" s="37"/>
      <c r="E189" s="70"/>
      <c r="F189" s="70"/>
      <c r="G189" s="37"/>
      <c r="H189" s="70"/>
      <c r="I189" s="70"/>
      <c r="J189" s="37"/>
      <c r="K189" s="70"/>
      <c r="L189" s="70"/>
      <c r="M189" s="70"/>
      <c r="N189" s="70"/>
      <c r="O189" s="70"/>
    </row>
    <row r="190" spans="1:15" x14ac:dyDescent="0.25">
      <c r="A190" s="37"/>
      <c r="B190" s="37"/>
      <c r="C190" s="70"/>
      <c r="D190" s="37"/>
      <c r="E190" s="70"/>
      <c r="F190" s="70"/>
      <c r="G190" s="37"/>
      <c r="H190" s="70"/>
      <c r="I190" s="70"/>
      <c r="J190" s="37"/>
      <c r="K190" s="70"/>
      <c r="L190" s="70"/>
      <c r="M190" s="70"/>
      <c r="N190" s="70"/>
      <c r="O190" s="70"/>
    </row>
    <row r="191" spans="1:15" x14ac:dyDescent="0.25">
      <c r="A191" s="37"/>
      <c r="B191" s="37"/>
      <c r="C191" s="70"/>
      <c r="D191" s="37"/>
      <c r="E191" s="70"/>
      <c r="F191" s="70"/>
      <c r="G191" s="37"/>
      <c r="H191" s="70"/>
      <c r="I191" s="70"/>
      <c r="J191" s="37"/>
      <c r="K191" s="70"/>
      <c r="L191" s="70"/>
      <c r="M191" s="70"/>
      <c r="N191" s="70"/>
      <c r="O191" s="70"/>
    </row>
    <row r="192" spans="1:15" x14ac:dyDescent="0.25">
      <c r="A192" s="37"/>
      <c r="B192" s="37"/>
      <c r="C192" s="70"/>
      <c r="D192" s="37"/>
      <c r="E192" s="70"/>
      <c r="F192" s="70"/>
      <c r="G192" s="37"/>
      <c r="H192" s="70"/>
      <c r="I192" s="70"/>
      <c r="J192" s="37"/>
      <c r="K192" s="70"/>
      <c r="L192" s="70"/>
      <c r="M192" s="70"/>
      <c r="N192" s="70"/>
      <c r="O192" s="70"/>
    </row>
    <row r="193" spans="1:15" x14ac:dyDescent="0.25">
      <c r="A193" s="37"/>
      <c r="B193" s="37"/>
      <c r="C193" s="70"/>
      <c r="D193" s="37"/>
      <c r="E193" s="70"/>
      <c r="F193" s="70"/>
      <c r="G193" s="37"/>
      <c r="H193" s="70"/>
      <c r="I193" s="70"/>
      <c r="J193" s="37"/>
      <c r="K193" s="70"/>
      <c r="L193" s="70"/>
      <c r="M193" s="70"/>
      <c r="N193" s="70"/>
      <c r="O193" s="70"/>
    </row>
    <row r="194" spans="1:15" x14ac:dyDescent="0.25">
      <c r="A194" s="37"/>
      <c r="B194" s="37"/>
      <c r="C194" s="70"/>
      <c r="D194" s="37"/>
      <c r="E194" s="70"/>
      <c r="F194" s="70"/>
      <c r="G194" s="37"/>
      <c r="H194" s="70"/>
      <c r="I194" s="70"/>
      <c r="J194" s="37"/>
      <c r="K194" s="70"/>
      <c r="L194" s="70"/>
      <c r="M194" s="70"/>
      <c r="N194" s="70"/>
      <c r="O194" s="70"/>
    </row>
    <row r="195" spans="1:15" x14ac:dyDescent="0.25">
      <c r="A195" s="37"/>
      <c r="B195" s="37"/>
      <c r="C195" s="70"/>
      <c r="D195" s="37"/>
      <c r="E195" s="70"/>
      <c r="F195" s="70"/>
      <c r="G195" s="37"/>
      <c r="H195" s="70"/>
      <c r="I195" s="70"/>
      <c r="J195" s="37"/>
      <c r="K195" s="70"/>
      <c r="L195" s="70"/>
      <c r="M195" s="70"/>
      <c r="N195" s="70"/>
      <c r="O195" s="70"/>
    </row>
    <row r="196" spans="1:15" x14ac:dyDescent="0.25">
      <c r="A196" s="37"/>
      <c r="B196" s="37"/>
      <c r="C196" s="70"/>
      <c r="D196" s="37"/>
      <c r="E196" s="70"/>
      <c r="F196" s="70"/>
      <c r="G196" s="37"/>
      <c r="H196" s="70"/>
      <c r="I196" s="70"/>
      <c r="J196" s="37"/>
      <c r="K196" s="70"/>
      <c r="L196" s="70"/>
      <c r="M196" s="70"/>
      <c r="N196" s="70"/>
      <c r="O196" s="70"/>
    </row>
    <row r="197" spans="1:15" x14ac:dyDescent="0.25">
      <c r="A197" s="37"/>
      <c r="B197" s="37"/>
      <c r="C197" s="70"/>
      <c r="D197" s="37"/>
      <c r="E197" s="70"/>
      <c r="F197" s="70"/>
      <c r="G197" s="37"/>
      <c r="H197" s="70"/>
      <c r="I197" s="70"/>
      <c r="J197" s="37"/>
      <c r="K197" s="70"/>
      <c r="L197" s="70"/>
      <c r="M197" s="70"/>
      <c r="N197" s="70"/>
      <c r="O197" s="70"/>
    </row>
    <row r="198" spans="1:15" x14ac:dyDescent="0.25">
      <c r="A198" s="37"/>
      <c r="B198" s="37"/>
      <c r="C198" s="70"/>
      <c r="D198" s="37"/>
      <c r="E198" s="70"/>
      <c r="F198" s="70"/>
      <c r="G198" s="37"/>
      <c r="H198" s="70"/>
      <c r="I198" s="70"/>
      <c r="J198" s="37"/>
      <c r="K198" s="70"/>
      <c r="L198" s="70"/>
      <c r="M198" s="70"/>
      <c r="N198" s="70"/>
      <c r="O198" s="70"/>
    </row>
    <row r="199" spans="1:15" x14ac:dyDescent="0.25">
      <c r="A199" s="37"/>
      <c r="B199" s="37"/>
      <c r="C199" s="70"/>
      <c r="D199" s="37"/>
      <c r="E199" s="70"/>
      <c r="F199" s="70"/>
      <c r="G199" s="37"/>
      <c r="H199" s="70"/>
      <c r="I199" s="70"/>
      <c r="J199" s="37"/>
      <c r="K199" s="70"/>
      <c r="L199" s="70"/>
      <c r="M199" s="70"/>
      <c r="N199" s="70"/>
      <c r="O199" s="70"/>
    </row>
    <row r="200" spans="1:15" x14ac:dyDescent="0.25">
      <c r="A200" s="37"/>
      <c r="B200" s="37"/>
      <c r="C200" s="70"/>
      <c r="D200" s="37"/>
      <c r="E200" s="70"/>
      <c r="F200" s="70"/>
      <c r="G200" s="37"/>
      <c r="H200" s="70"/>
      <c r="I200" s="70"/>
      <c r="J200" s="37"/>
      <c r="K200" s="70"/>
      <c r="L200" s="70"/>
      <c r="M200" s="70"/>
      <c r="N200" s="70"/>
      <c r="O200" s="70"/>
    </row>
    <row r="201" spans="1:15" x14ac:dyDescent="0.25">
      <c r="A201" s="37"/>
      <c r="B201" s="37"/>
      <c r="C201" s="70"/>
      <c r="D201" s="37"/>
      <c r="E201" s="70"/>
      <c r="F201" s="70"/>
      <c r="G201" s="37"/>
      <c r="H201" s="70"/>
      <c r="I201" s="70"/>
      <c r="J201" s="37"/>
      <c r="K201" s="70"/>
      <c r="L201" s="70"/>
      <c r="M201" s="70"/>
      <c r="N201" s="70"/>
      <c r="O201" s="70"/>
    </row>
    <row r="202" spans="1:15" x14ac:dyDescent="0.25">
      <c r="A202" s="37"/>
      <c r="B202" s="37"/>
      <c r="C202" s="70"/>
      <c r="D202" s="37"/>
      <c r="E202" s="70"/>
      <c r="F202" s="70"/>
      <c r="G202" s="37"/>
      <c r="H202" s="70"/>
      <c r="I202" s="70"/>
      <c r="J202" s="37"/>
      <c r="K202" s="70"/>
      <c r="L202" s="70"/>
      <c r="M202" s="70"/>
      <c r="N202" s="70"/>
      <c r="O202" s="70"/>
    </row>
    <row r="203" spans="1:15" x14ac:dyDescent="0.25">
      <c r="A203" s="37"/>
      <c r="B203" s="37"/>
      <c r="C203" s="70"/>
      <c r="D203" s="37"/>
      <c r="E203" s="70"/>
      <c r="F203" s="70"/>
      <c r="G203" s="37"/>
      <c r="H203" s="70"/>
      <c r="I203" s="70"/>
      <c r="J203" s="37"/>
      <c r="K203" s="70"/>
      <c r="L203" s="70"/>
      <c r="M203" s="70"/>
      <c r="N203" s="70"/>
      <c r="O203" s="70"/>
    </row>
    <row r="204" spans="1:15" x14ac:dyDescent="0.25">
      <c r="A204" s="37"/>
      <c r="B204" s="37"/>
      <c r="C204" s="70"/>
      <c r="D204" s="37"/>
      <c r="E204" s="70"/>
      <c r="F204" s="70"/>
      <c r="G204" s="37"/>
      <c r="H204" s="70"/>
      <c r="I204" s="70"/>
      <c r="J204" s="37"/>
      <c r="K204" s="70"/>
      <c r="L204" s="70"/>
      <c r="M204" s="70"/>
      <c r="N204" s="70"/>
      <c r="O204" s="70"/>
    </row>
    <row r="205" spans="1:15" x14ac:dyDescent="0.25">
      <c r="A205" s="37"/>
      <c r="B205" s="37"/>
      <c r="C205" s="70"/>
      <c r="D205" s="37"/>
      <c r="E205" s="70"/>
      <c r="F205" s="70"/>
      <c r="G205" s="37"/>
      <c r="H205" s="70"/>
      <c r="I205" s="70"/>
      <c r="J205" s="37"/>
      <c r="K205" s="70"/>
      <c r="L205" s="70"/>
      <c r="M205" s="70"/>
      <c r="N205" s="70"/>
      <c r="O205" s="70"/>
    </row>
    <row r="206" spans="1:15" x14ac:dyDescent="0.25">
      <c r="A206" s="37"/>
      <c r="B206" s="37"/>
      <c r="C206" s="70"/>
      <c r="D206" s="37"/>
      <c r="E206" s="70"/>
      <c r="F206" s="70"/>
      <c r="G206" s="37"/>
      <c r="H206" s="70"/>
      <c r="I206" s="70"/>
      <c r="J206" s="37"/>
      <c r="K206" s="70"/>
      <c r="L206" s="70"/>
      <c r="M206" s="70"/>
      <c r="N206" s="70"/>
      <c r="O206" s="70"/>
    </row>
    <row r="207" spans="1:15" x14ac:dyDescent="0.25">
      <c r="A207" s="37"/>
      <c r="B207" s="37"/>
      <c r="C207" s="70"/>
      <c r="D207" s="37"/>
      <c r="E207" s="70"/>
      <c r="F207" s="70"/>
      <c r="G207" s="37"/>
      <c r="H207" s="70"/>
      <c r="I207" s="70"/>
      <c r="J207" s="37"/>
      <c r="K207" s="70"/>
      <c r="L207" s="70"/>
      <c r="M207" s="70"/>
      <c r="N207" s="70"/>
      <c r="O207" s="70"/>
    </row>
    <row r="208" spans="1:15" x14ac:dyDescent="0.25">
      <c r="A208" s="37"/>
      <c r="B208" s="37"/>
      <c r="C208" s="70"/>
      <c r="D208" s="37"/>
      <c r="E208" s="70"/>
      <c r="F208" s="70"/>
      <c r="G208" s="37"/>
      <c r="H208" s="70"/>
      <c r="I208" s="70"/>
      <c r="J208" s="37"/>
      <c r="K208" s="70"/>
      <c r="L208" s="70"/>
      <c r="M208" s="70"/>
      <c r="N208" s="70"/>
      <c r="O208" s="70"/>
    </row>
    <row r="209" spans="1:15" x14ac:dyDescent="0.25">
      <c r="A209" s="37"/>
      <c r="B209" s="37"/>
      <c r="C209" s="70"/>
      <c r="D209" s="37"/>
      <c r="E209" s="70"/>
      <c r="F209" s="70"/>
      <c r="G209" s="37"/>
      <c r="H209" s="70"/>
      <c r="I209" s="70"/>
      <c r="J209" s="37"/>
      <c r="K209" s="70"/>
      <c r="L209" s="70"/>
      <c r="M209" s="70"/>
      <c r="N209" s="70"/>
      <c r="O209" s="70"/>
    </row>
    <row r="210" spans="1:15" x14ac:dyDescent="0.25">
      <c r="A210" s="37"/>
      <c r="B210" s="37"/>
      <c r="C210" s="70"/>
      <c r="D210" s="37"/>
      <c r="E210" s="70"/>
      <c r="F210" s="70"/>
      <c r="G210" s="37"/>
      <c r="H210" s="70"/>
      <c r="I210" s="70"/>
      <c r="J210" s="37"/>
      <c r="K210" s="70"/>
      <c r="L210" s="70"/>
      <c r="M210" s="70"/>
      <c r="N210" s="70"/>
      <c r="O210" s="70"/>
    </row>
    <row r="211" spans="1:15" x14ac:dyDescent="0.25">
      <c r="A211" s="37"/>
      <c r="B211" s="37"/>
      <c r="C211" s="70"/>
      <c r="D211" s="37"/>
      <c r="E211" s="70"/>
      <c r="F211" s="70"/>
      <c r="G211" s="37"/>
      <c r="H211" s="70"/>
      <c r="I211" s="70"/>
      <c r="J211" s="37"/>
      <c r="K211" s="70"/>
      <c r="L211" s="70"/>
      <c r="M211" s="70"/>
      <c r="N211" s="70"/>
      <c r="O211" s="70"/>
    </row>
    <row r="212" spans="1:15" x14ac:dyDescent="0.25">
      <c r="A212" s="37"/>
      <c r="B212" s="37"/>
      <c r="C212" s="70"/>
      <c r="D212" s="37"/>
      <c r="E212" s="70"/>
      <c r="F212" s="70"/>
      <c r="G212" s="37"/>
      <c r="H212" s="70"/>
      <c r="I212" s="70"/>
      <c r="J212" s="37"/>
      <c r="K212" s="70"/>
      <c r="L212" s="70"/>
      <c r="M212" s="70"/>
      <c r="N212" s="70"/>
      <c r="O212" s="70"/>
    </row>
    <row r="213" spans="1:15" x14ac:dyDescent="0.25">
      <c r="A213" s="37"/>
      <c r="B213" s="37"/>
      <c r="C213" s="70"/>
      <c r="D213" s="37"/>
      <c r="E213" s="70"/>
      <c r="F213" s="70"/>
      <c r="G213" s="37"/>
      <c r="H213" s="70"/>
      <c r="I213" s="70"/>
      <c r="J213" s="37"/>
      <c r="K213" s="70"/>
      <c r="L213" s="70"/>
      <c r="M213" s="70"/>
      <c r="N213" s="70"/>
      <c r="O213" s="70"/>
    </row>
    <row r="214" spans="1:15" x14ac:dyDescent="0.25">
      <c r="A214" s="37"/>
      <c r="B214" s="37"/>
      <c r="C214" s="70"/>
      <c r="D214" s="37"/>
      <c r="E214" s="70"/>
      <c r="F214" s="70"/>
      <c r="G214" s="37"/>
      <c r="H214" s="70"/>
      <c r="I214" s="70"/>
      <c r="J214" s="37"/>
      <c r="K214" s="70"/>
      <c r="L214" s="70"/>
      <c r="M214" s="70"/>
      <c r="N214" s="70"/>
      <c r="O214" s="70"/>
    </row>
    <row r="215" spans="1:15" x14ac:dyDescent="0.25">
      <c r="A215" s="37"/>
      <c r="B215" s="37"/>
      <c r="C215" s="70"/>
      <c r="D215" s="37"/>
      <c r="E215" s="70"/>
      <c r="F215" s="70"/>
      <c r="G215" s="37"/>
      <c r="H215" s="70"/>
      <c r="I215" s="70"/>
      <c r="J215" s="37"/>
      <c r="K215" s="70"/>
      <c r="L215" s="70"/>
      <c r="M215" s="70"/>
      <c r="N215" s="70"/>
      <c r="O215" s="70"/>
    </row>
    <row r="216" spans="1:15" x14ac:dyDescent="0.25">
      <c r="A216" s="37"/>
      <c r="B216" s="37"/>
      <c r="C216" s="70"/>
      <c r="D216" s="37"/>
      <c r="E216" s="70"/>
      <c r="F216" s="70"/>
      <c r="G216" s="37"/>
      <c r="H216" s="70"/>
      <c r="I216" s="70"/>
      <c r="J216" s="37"/>
      <c r="K216" s="70"/>
      <c r="L216" s="70"/>
      <c r="M216" s="70"/>
      <c r="N216" s="70"/>
      <c r="O216" s="70"/>
    </row>
    <row r="217" spans="1:15" x14ac:dyDescent="0.25">
      <c r="A217" s="37"/>
      <c r="B217" s="37"/>
      <c r="C217" s="70"/>
      <c r="D217" s="37"/>
      <c r="E217" s="70"/>
      <c r="F217" s="70"/>
      <c r="G217" s="37"/>
      <c r="H217" s="70"/>
      <c r="I217" s="70"/>
      <c r="J217" s="37"/>
      <c r="K217" s="70"/>
      <c r="L217" s="70"/>
      <c r="M217" s="70"/>
      <c r="N217" s="70"/>
      <c r="O217" s="70"/>
    </row>
    <row r="218" spans="1:15" x14ac:dyDescent="0.25">
      <c r="A218" s="37"/>
      <c r="B218" s="37"/>
      <c r="C218" s="70"/>
      <c r="D218" s="37"/>
      <c r="E218" s="70"/>
      <c r="F218" s="70"/>
      <c r="G218" s="37"/>
      <c r="H218" s="70"/>
      <c r="I218" s="70"/>
      <c r="J218" s="37"/>
      <c r="K218" s="70"/>
      <c r="L218" s="70"/>
      <c r="M218" s="70"/>
      <c r="N218" s="70"/>
      <c r="O218" s="70"/>
    </row>
    <row r="219" spans="1:15" x14ac:dyDescent="0.25">
      <c r="A219" s="37"/>
      <c r="B219" s="37"/>
      <c r="C219" s="70"/>
      <c r="D219" s="37"/>
      <c r="E219" s="70"/>
      <c r="F219" s="70"/>
      <c r="G219" s="37"/>
      <c r="H219" s="70"/>
      <c r="I219" s="70"/>
      <c r="J219" s="37"/>
      <c r="K219" s="70"/>
      <c r="L219" s="70"/>
      <c r="M219" s="70"/>
      <c r="N219" s="70"/>
      <c r="O219" s="70"/>
    </row>
    <row r="220" spans="1:15" x14ac:dyDescent="0.25">
      <c r="A220" s="37"/>
      <c r="B220" s="37"/>
      <c r="C220" s="70"/>
      <c r="D220" s="37"/>
      <c r="E220" s="70"/>
      <c r="F220" s="70"/>
      <c r="G220" s="37"/>
      <c r="H220" s="70"/>
      <c r="I220" s="70"/>
      <c r="J220" s="37"/>
      <c r="K220" s="70"/>
      <c r="L220" s="70"/>
      <c r="M220" s="70"/>
      <c r="N220" s="70"/>
      <c r="O220" s="70"/>
    </row>
    <row r="221" spans="1:15" x14ac:dyDescent="0.25">
      <c r="A221" s="37"/>
      <c r="B221" s="37"/>
      <c r="C221" s="70"/>
      <c r="D221" s="37"/>
      <c r="E221" s="70"/>
      <c r="F221" s="70"/>
      <c r="G221" s="37"/>
      <c r="H221" s="70"/>
      <c r="I221" s="70"/>
      <c r="J221" s="37"/>
      <c r="K221" s="70"/>
      <c r="L221" s="70"/>
      <c r="M221" s="70"/>
      <c r="N221" s="70"/>
      <c r="O221" s="70"/>
    </row>
    <row r="222" spans="1:15" x14ac:dyDescent="0.25">
      <c r="A222" s="37"/>
      <c r="B222" s="37"/>
      <c r="C222" s="70"/>
      <c r="D222" s="37"/>
      <c r="E222" s="70"/>
      <c r="F222" s="70"/>
      <c r="G222" s="37"/>
      <c r="H222" s="70"/>
      <c r="I222" s="70"/>
      <c r="J222" s="37"/>
      <c r="K222" s="70"/>
      <c r="L222" s="70"/>
      <c r="M222" s="70"/>
      <c r="N222" s="70"/>
      <c r="O222" s="70"/>
    </row>
    <row r="223" spans="1:15" x14ac:dyDescent="0.25">
      <c r="A223" s="37"/>
      <c r="B223" s="37"/>
      <c r="C223" s="70"/>
      <c r="D223" s="37"/>
      <c r="E223" s="70"/>
      <c r="F223" s="70"/>
      <c r="G223" s="37"/>
      <c r="H223" s="70"/>
      <c r="I223" s="70"/>
      <c r="J223" s="37"/>
      <c r="K223" s="70"/>
      <c r="L223" s="70"/>
      <c r="M223" s="70"/>
      <c r="N223" s="70"/>
      <c r="O223" s="70"/>
    </row>
    <row r="224" spans="1:15" x14ac:dyDescent="0.25">
      <c r="A224" s="37"/>
      <c r="B224" s="37"/>
      <c r="C224" s="70"/>
      <c r="D224" s="37"/>
      <c r="E224" s="70"/>
      <c r="F224" s="70"/>
      <c r="G224" s="37"/>
      <c r="H224" s="70"/>
      <c r="I224" s="70"/>
      <c r="J224" s="37"/>
      <c r="K224" s="70"/>
      <c r="L224" s="70"/>
      <c r="M224" s="70"/>
      <c r="N224" s="70"/>
      <c r="O224" s="70"/>
    </row>
    <row r="225" spans="1:15" x14ac:dyDescent="0.25">
      <c r="A225" s="37"/>
      <c r="B225" s="37"/>
      <c r="C225" s="70"/>
      <c r="D225" s="37"/>
      <c r="E225" s="70"/>
      <c r="F225" s="70"/>
      <c r="G225" s="37"/>
      <c r="H225" s="70"/>
      <c r="I225" s="70"/>
      <c r="J225" s="37"/>
      <c r="K225" s="70"/>
      <c r="L225" s="70"/>
      <c r="M225" s="70"/>
      <c r="N225" s="70"/>
      <c r="O225" s="70"/>
    </row>
    <row r="226" spans="1:15" x14ac:dyDescent="0.25">
      <c r="A226" s="37"/>
      <c r="B226" s="37"/>
      <c r="C226" s="70"/>
      <c r="D226" s="37"/>
      <c r="E226" s="70"/>
      <c r="F226" s="70"/>
      <c r="G226" s="37"/>
      <c r="H226" s="70"/>
      <c r="I226" s="70"/>
      <c r="J226" s="37"/>
      <c r="K226" s="70"/>
      <c r="L226" s="70"/>
      <c r="M226" s="70"/>
      <c r="N226" s="70"/>
      <c r="O226" s="70"/>
    </row>
    <row r="227" spans="1:15" x14ac:dyDescent="0.25">
      <c r="A227" s="37"/>
      <c r="B227" s="37"/>
      <c r="C227" s="70"/>
      <c r="D227" s="37"/>
      <c r="E227" s="70"/>
      <c r="F227" s="70"/>
      <c r="G227" s="37"/>
      <c r="H227" s="70"/>
      <c r="I227" s="70"/>
      <c r="J227" s="37"/>
      <c r="K227" s="70"/>
      <c r="L227" s="70"/>
      <c r="M227" s="70"/>
      <c r="N227" s="70"/>
      <c r="O227" s="70"/>
    </row>
    <row r="228" spans="1:15" x14ac:dyDescent="0.25">
      <c r="A228" s="37"/>
      <c r="B228" s="37"/>
      <c r="C228" s="70"/>
      <c r="D228" s="37"/>
      <c r="E228" s="70"/>
      <c r="F228" s="70"/>
      <c r="G228" s="37"/>
      <c r="H228" s="70"/>
      <c r="I228" s="70"/>
      <c r="J228" s="37"/>
      <c r="K228" s="70"/>
      <c r="L228" s="70"/>
      <c r="M228" s="70"/>
      <c r="N228" s="70"/>
      <c r="O228" s="70"/>
    </row>
    <row r="229" spans="1:15" x14ac:dyDescent="0.25">
      <c r="A229" s="37"/>
      <c r="B229" s="37"/>
      <c r="C229" s="70"/>
      <c r="D229" s="37"/>
      <c r="E229" s="70"/>
      <c r="F229" s="70"/>
      <c r="G229" s="37"/>
      <c r="H229" s="70"/>
      <c r="I229" s="70"/>
      <c r="J229" s="37"/>
      <c r="K229" s="70"/>
      <c r="L229" s="70"/>
      <c r="M229" s="70"/>
      <c r="N229" s="70"/>
      <c r="O229" s="70"/>
    </row>
    <row r="230" spans="1:15" x14ac:dyDescent="0.25">
      <c r="A230" s="37"/>
      <c r="B230" s="37"/>
      <c r="C230" s="70"/>
      <c r="D230" s="37"/>
      <c r="E230" s="70"/>
      <c r="F230" s="70"/>
      <c r="G230" s="37"/>
      <c r="H230" s="70"/>
      <c r="I230" s="70"/>
      <c r="J230" s="37"/>
      <c r="K230" s="70"/>
      <c r="L230" s="70"/>
      <c r="M230" s="70"/>
      <c r="N230" s="70"/>
      <c r="O230" s="70"/>
    </row>
    <row r="231" spans="1:15" x14ac:dyDescent="0.25">
      <c r="A231" s="37"/>
      <c r="B231" s="37"/>
      <c r="C231" s="70"/>
      <c r="D231" s="37"/>
      <c r="E231" s="70"/>
      <c r="F231" s="70"/>
      <c r="G231" s="37"/>
      <c r="H231" s="70"/>
      <c r="I231" s="70"/>
      <c r="J231" s="37"/>
      <c r="K231" s="70"/>
      <c r="L231" s="70"/>
      <c r="M231" s="70"/>
      <c r="N231" s="70"/>
      <c r="O231" s="70"/>
    </row>
    <row r="232" spans="1:15" x14ac:dyDescent="0.25">
      <c r="A232" s="37"/>
      <c r="B232" s="37"/>
      <c r="C232" s="70"/>
      <c r="D232" s="37"/>
      <c r="E232" s="70"/>
      <c r="F232" s="70"/>
      <c r="G232" s="37"/>
      <c r="H232" s="70"/>
      <c r="I232" s="70"/>
      <c r="J232" s="37"/>
      <c r="K232" s="70"/>
      <c r="L232" s="70"/>
      <c r="M232" s="70"/>
      <c r="N232" s="70"/>
      <c r="O232" s="70"/>
    </row>
    <row r="233" spans="1:15" x14ac:dyDescent="0.25">
      <c r="A233" s="37"/>
      <c r="B233" s="37"/>
      <c r="C233" s="70"/>
      <c r="D233" s="37"/>
      <c r="E233" s="70"/>
      <c r="F233" s="70"/>
      <c r="G233" s="37"/>
      <c r="H233" s="70"/>
      <c r="I233" s="70"/>
      <c r="J233" s="37"/>
      <c r="K233" s="70"/>
      <c r="L233" s="70"/>
      <c r="M233" s="70"/>
      <c r="N233" s="70"/>
      <c r="O233" s="70"/>
    </row>
    <row r="234" spans="1:15" x14ac:dyDescent="0.25">
      <c r="A234" s="37"/>
      <c r="B234" s="37"/>
      <c r="C234" s="70"/>
      <c r="D234" s="37"/>
      <c r="E234" s="70"/>
      <c r="F234" s="70"/>
      <c r="G234" s="37"/>
      <c r="H234" s="70"/>
      <c r="I234" s="70"/>
      <c r="J234" s="37"/>
      <c r="K234" s="70"/>
      <c r="L234" s="70"/>
      <c r="M234" s="70"/>
      <c r="N234" s="70"/>
      <c r="O234" s="70"/>
    </row>
    <row r="235" spans="1:15" x14ac:dyDescent="0.25">
      <c r="A235" s="37"/>
      <c r="B235" s="37"/>
      <c r="C235" s="70"/>
      <c r="D235" s="37"/>
      <c r="E235" s="70"/>
      <c r="F235" s="70"/>
      <c r="G235" s="37"/>
      <c r="H235" s="70"/>
      <c r="I235" s="70"/>
      <c r="J235" s="37"/>
      <c r="K235" s="70"/>
      <c r="L235" s="70"/>
      <c r="M235" s="70"/>
      <c r="N235" s="70"/>
      <c r="O235" s="70"/>
    </row>
    <row r="236" spans="1:15" x14ac:dyDescent="0.25">
      <c r="A236" s="37"/>
      <c r="B236" s="37"/>
      <c r="C236" s="70"/>
      <c r="D236" s="37"/>
      <c r="E236" s="70"/>
      <c r="F236" s="70"/>
      <c r="G236" s="37"/>
      <c r="H236" s="70"/>
      <c r="I236" s="70"/>
      <c r="J236" s="37"/>
      <c r="K236" s="70"/>
      <c r="L236" s="70"/>
      <c r="M236" s="70"/>
      <c r="N236" s="70"/>
      <c r="O236" s="70"/>
    </row>
    <row r="237" spans="1:15" x14ac:dyDescent="0.25">
      <c r="A237" s="37"/>
      <c r="B237" s="37"/>
      <c r="C237" s="70"/>
      <c r="D237" s="37"/>
      <c r="E237" s="70"/>
      <c r="F237" s="70"/>
      <c r="G237" s="37"/>
      <c r="H237" s="70"/>
      <c r="I237" s="70"/>
      <c r="J237" s="37"/>
      <c r="K237" s="70"/>
      <c r="L237" s="70"/>
      <c r="M237" s="70"/>
      <c r="N237" s="70"/>
      <c r="O237" s="70"/>
    </row>
    <row r="238" spans="1:15" x14ac:dyDescent="0.25">
      <c r="A238" s="37"/>
      <c r="B238" s="37"/>
      <c r="C238" s="70"/>
      <c r="D238" s="37"/>
      <c r="E238" s="70"/>
      <c r="F238" s="70"/>
      <c r="G238" s="37"/>
      <c r="H238" s="70"/>
      <c r="I238" s="70"/>
      <c r="J238" s="37"/>
      <c r="K238" s="70"/>
      <c r="L238" s="70"/>
      <c r="M238" s="70"/>
      <c r="N238" s="70"/>
      <c r="O238" s="70"/>
    </row>
    <row r="239" spans="1:15" x14ac:dyDescent="0.25">
      <c r="A239" s="37"/>
      <c r="B239" s="37"/>
      <c r="C239" s="70"/>
      <c r="D239" s="37"/>
      <c r="E239" s="70"/>
      <c r="F239" s="70"/>
      <c r="G239" s="37"/>
      <c r="H239" s="70"/>
      <c r="I239" s="70"/>
      <c r="J239" s="37"/>
      <c r="K239" s="70"/>
      <c r="L239" s="70"/>
      <c r="M239" s="70"/>
      <c r="N239" s="70"/>
      <c r="O239" s="70"/>
    </row>
    <row r="240" spans="1:15" x14ac:dyDescent="0.25">
      <c r="A240" s="37"/>
      <c r="B240" s="37"/>
      <c r="C240" s="70"/>
      <c r="D240" s="37"/>
      <c r="E240" s="70"/>
      <c r="F240" s="70"/>
      <c r="G240" s="37"/>
      <c r="H240" s="70"/>
      <c r="I240" s="70"/>
      <c r="J240" s="37"/>
      <c r="K240" s="70"/>
      <c r="L240" s="70"/>
      <c r="M240" s="70"/>
      <c r="N240" s="70"/>
      <c r="O240" s="70"/>
    </row>
    <row r="241" spans="1:15" x14ac:dyDescent="0.25">
      <c r="A241" s="37"/>
      <c r="B241" s="37"/>
      <c r="C241" s="70"/>
      <c r="D241" s="37"/>
      <c r="E241" s="70"/>
      <c r="F241" s="70"/>
      <c r="G241" s="37"/>
      <c r="H241" s="70"/>
      <c r="I241" s="70"/>
      <c r="J241" s="37"/>
      <c r="K241" s="70"/>
      <c r="L241" s="70"/>
      <c r="M241" s="70"/>
      <c r="N241" s="70"/>
      <c r="O241" s="70"/>
    </row>
    <row r="242" spans="1:15" x14ac:dyDescent="0.25">
      <c r="A242" s="37"/>
      <c r="B242" s="37"/>
      <c r="C242" s="70"/>
      <c r="D242" s="37"/>
      <c r="E242" s="70"/>
      <c r="F242" s="70"/>
      <c r="G242" s="37"/>
      <c r="H242" s="70"/>
      <c r="I242" s="70"/>
      <c r="J242" s="37"/>
      <c r="K242" s="70"/>
      <c r="L242" s="70"/>
      <c r="M242" s="70"/>
      <c r="N242" s="70"/>
      <c r="O242" s="70"/>
    </row>
    <row r="243" spans="1:15" x14ac:dyDescent="0.25">
      <c r="A243" s="37"/>
      <c r="B243" s="37"/>
      <c r="C243" s="70"/>
      <c r="D243" s="37"/>
      <c r="E243" s="70"/>
      <c r="F243" s="70"/>
      <c r="G243" s="37"/>
      <c r="H243" s="70"/>
      <c r="I243" s="70"/>
      <c r="J243" s="37"/>
      <c r="K243" s="70"/>
      <c r="L243" s="70"/>
      <c r="M243" s="70"/>
      <c r="N243" s="70"/>
      <c r="O243" s="70"/>
    </row>
    <row r="244" spans="1:15" x14ac:dyDescent="0.25">
      <c r="A244" s="37"/>
      <c r="B244" s="37"/>
      <c r="C244" s="70"/>
      <c r="D244" s="37"/>
      <c r="E244" s="70"/>
      <c r="F244" s="70"/>
      <c r="G244" s="37"/>
      <c r="H244" s="70"/>
      <c r="I244" s="70"/>
      <c r="J244" s="37"/>
      <c r="K244" s="70"/>
      <c r="L244" s="70"/>
      <c r="M244" s="70"/>
      <c r="N244" s="70"/>
      <c r="O244" s="70"/>
    </row>
    <row r="245" spans="1:15" x14ac:dyDescent="0.25">
      <c r="A245" s="37"/>
      <c r="B245" s="37"/>
      <c r="C245" s="70"/>
      <c r="D245" s="37"/>
      <c r="E245" s="70"/>
      <c r="F245" s="70"/>
      <c r="G245" s="37"/>
      <c r="H245" s="70"/>
      <c r="I245" s="70"/>
      <c r="J245" s="37"/>
      <c r="K245" s="70"/>
      <c r="L245" s="70"/>
      <c r="M245" s="70"/>
      <c r="N245" s="70"/>
      <c r="O245" s="70"/>
    </row>
    <row r="246" spans="1:15" x14ac:dyDescent="0.25">
      <c r="A246" s="37"/>
      <c r="B246" s="37"/>
      <c r="C246" s="70"/>
      <c r="D246" s="37"/>
      <c r="E246" s="70"/>
      <c r="F246" s="70"/>
      <c r="G246" s="37"/>
      <c r="H246" s="70"/>
      <c r="I246" s="70"/>
      <c r="J246" s="37"/>
      <c r="K246" s="70"/>
      <c r="L246" s="70"/>
      <c r="M246" s="70"/>
      <c r="N246" s="70"/>
      <c r="O246" s="70"/>
    </row>
    <row r="247" spans="1:15" x14ac:dyDescent="0.25">
      <c r="A247" s="37"/>
      <c r="B247" s="37"/>
      <c r="C247" s="70"/>
      <c r="D247" s="37"/>
      <c r="E247" s="70"/>
      <c r="F247" s="70"/>
      <c r="G247" s="37"/>
      <c r="H247" s="70"/>
      <c r="I247" s="70"/>
      <c r="J247" s="37"/>
      <c r="K247" s="70"/>
      <c r="L247" s="70"/>
      <c r="M247" s="70"/>
      <c r="N247" s="70"/>
      <c r="O247" s="70"/>
    </row>
    <row r="248" spans="1:15" x14ac:dyDescent="0.25">
      <c r="A248" s="37"/>
      <c r="B248" s="37"/>
      <c r="C248" s="70"/>
      <c r="D248" s="37"/>
      <c r="E248" s="70"/>
      <c r="F248" s="70"/>
      <c r="G248" s="37"/>
      <c r="H248" s="70"/>
      <c r="I248" s="70"/>
      <c r="J248" s="37"/>
      <c r="K248" s="70"/>
      <c r="L248" s="70"/>
      <c r="M248" s="70"/>
      <c r="N248" s="70"/>
      <c r="O248" s="70"/>
    </row>
    <row r="249" spans="1:15" x14ac:dyDescent="0.25">
      <c r="A249" s="37"/>
      <c r="B249" s="37"/>
      <c r="C249" s="70"/>
      <c r="D249" s="37"/>
      <c r="E249" s="70"/>
      <c r="F249" s="70"/>
      <c r="G249" s="37"/>
      <c r="H249" s="70"/>
      <c r="I249" s="70"/>
      <c r="J249" s="37"/>
      <c r="K249" s="70"/>
      <c r="L249" s="70"/>
      <c r="M249" s="70"/>
      <c r="N249" s="70"/>
      <c r="O249" s="70"/>
    </row>
    <row r="250" spans="1:15" x14ac:dyDescent="0.25">
      <c r="A250" s="37"/>
      <c r="B250" s="37"/>
      <c r="C250" s="70"/>
      <c r="D250" s="37"/>
      <c r="E250" s="70"/>
      <c r="F250" s="70"/>
      <c r="G250" s="37"/>
      <c r="H250" s="70"/>
      <c r="I250" s="70"/>
      <c r="J250" s="37"/>
      <c r="K250" s="70"/>
      <c r="L250" s="70"/>
      <c r="M250" s="70"/>
      <c r="N250" s="70"/>
      <c r="O250" s="70"/>
    </row>
    <row r="251" spans="1:15" x14ac:dyDescent="0.25">
      <c r="A251" s="37"/>
      <c r="B251" s="37"/>
      <c r="C251" s="70"/>
      <c r="D251" s="37"/>
      <c r="E251" s="70"/>
      <c r="F251" s="70"/>
      <c r="G251" s="37"/>
      <c r="H251" s="70"/>
      <c r="I251" s="70"/>
      <c r="J251" s="37"/>
      <c r="K251" s="70"/>
      <c r="L251" s="70"/>
      <c r="M251" s="70"/>
      <c r="N251" s="70"/>
      <c r="O251" s="70"/>
    </row>
    <row r="252" spans="1:15" x14ac:dyDescent="0.25">
      <c r="A252" s="37"/>
      <c r="B252" s="37"/>
      <c r="C252" s="70"/>
      <c r="D252" s="37"/>
      <c r="E252" s="70"/>
      <c r="F252" s="70"/>
      <c r="G252" s="37"/>
      <c r="H252" s="70"/>
      <c r="I252" s="70"/>
      <c r="J252" s="37"/>
      <c r="K252" s="70"/>
      <c r="L252" s="70"/>
      <c r="M252" s="70"/>
      <c r="N252" s="70"/>
      <c r="O252" s="70"/>
    </row>
    <row r="253" spans="1:15" x14ac:dyDescent="0.25">
      <c r="A253" s="37"/>
      <c r="B253" s="37"/>
      <c r="C253" s="70"/>
      <c r="D253" s="37"/>
      <c r="E253" s="70"/>
      <c r="F253" s="70"/>
      <c r="G253" s="37"/>
      <c r="H253" s="70"/>
      <c r="I253" s="70"/>
      <c r="J253" s="37"/>
      <c r="K253" s="70"/>
      <c r="L253" s="70"/>
      <c r="M253" s="70"/>
      <c r="N253" s="70"/>
      <c r="O253" s="70"/>
    </row>
    <row r="254" spans="1:15" x14ac:dyDescent="0.25">
      <c r="A254" s="37"/>
      <c r="B254" s="37"/>
      <c r="C254" s="70"/>
      <c r="D254" s="37"/>
      <c r="E254" s="70"/>
      <c r="F254" s="70"/>
      <c r="G254" s="37"/>
      <c r="H254" s="70"/>
      <c r="I254" s="70"/>
      <c r="J254" s="37"/>
      <c r="K254" s="70"/>
      <c r="L254" s="70"/>
      <c r="M254" s="70"/>
      <c r="N254" s="70"/>
      <c r="O254" s="70"/>
    </row>
    <row r="255" spans="1:15" x14ac:dyDescent="0.25">
      <c r="A255" s="37"/>
      <c r="B255" s="37"/>
      <c r="C255" s="70"/>
      <c r="D255" s="37"/>
      <c r="E255" s="70"/>
      <c r="F255" s="70"/>
      <c r="G255" s="37"/>
      <c r="H255" s="70"/>
      <c r="I255" s="70"/>
      <c r="J255" s="37"/>
      <c r="K255" s="70"/>
      <c r="L255" s="70"/>
      <c r="M255" s="70"/>
      <c r="N255" s="70"/>
      <c r="O255" s="70"/>
    </row>
    <row r="256" spans="1:15" x14ac:dyDescent="0.25">
      <c r="A256" s="37"/>
      <c r="B256" s="37"/>
      <c r="C256" s="70"/>
      <c r="D256" s="37"/>
      <c r="E256" s="70"/>
      <c r="F256" s="70"/>
      <c r="G256" s="37"/>
      <c r="H256" s="70"/>
      <c r="I256" s="70"/>
      <c r="J256" s="37"/>
      <c r="K256" s="70"/>
      <c r="L256" s="70"/>
      <c r="M256" s="70"/>
      <c r="N256" s="70"/>
      <c r="O256" s="70"/>
    </row>
    <row r="257" spans="1:15" x14ac:dyDescent="0.25">
      <c r="A257" s="37"/>
      <c r="B257" s="37"/>
      <c r="C257" s="70"/>
      <c r="D257" s="37"/>
      <c r="E257" s="70"/>
      <c r="F257" s="70"/>
      <c r="G257" s="37"/>
      <c r="H257" s="70"/>
      <c r="I257" s="70"/>
      <c r="J257" s="37"/>
      <c r="K257" s="70"/>
      <c r="L257" s="70"/>
      <c r="M257" s="70"/>
      <c r="N257" s="70"/>
      <c r="O257" s="70"/>
    </row>
    <row r="258" spans="1:15" x14ac:dyDescent="0.25">
      <c r="A258" s="37"/>
      <c r="B258" s="37"/>
      <c r="C258" s="70"/>
      <c r="D258" s="37"/>
      <c r="E258" s="70"/>
      <c r="F258" s="70"/>
      <c r="G258" s="37"/>
      <c r="H258" s="70"/>
      <c r="I258" s="70"/>
      <c r="J258" s="37"/>
      <c r="K258" s="70"/>
      <c r="L258" s="70"/>
      <c r="M258" s="70"/>
      <c r="N258" s="70"/>
      <c r="O258" s="70"/>
    </row>
    <row r="259" spans="1:15" x14ac:dyDescent="0.25">
      <c r="A259" s="37"/>
      <c r="B259" s="37"/>
      <c r="C259" s="70"/>
      <c r="D259" s="37"/>
      <c r="E259" s="70"/>
      <c r="F259" s="70"/>
      <c r="G259" s="37"/>
      <c r="H259" s="70"/>
      <c r="I259" s="70"/>
      <c r="J259" s="37"/>
      <c r="K259" s="70"/>
      <c r="L259" s="70"/>
      <c r="M259" s="70"/>
      <c r="N259" s="70"/>
      <c r="O259" s="70"/>
    </row>
    <row r="260" spans="1:15" x14ac:dyDescent="0.25">
      <c r="A260" s="37"/>
      <c r="B260" s="37"/>
      <c r="C260" s="70"/>
      <c r="D260" s="37"/>
      <c r="E260" s="70"/>
      <c r="F260" s="70"/>
      <c r="G260" s="37"/>
      <c r="H260" s="70"/>
      <c r="I260" s="70"/>
      <c r="J260" s="37"/>
      <c r="K260" s="70"/>
      <c r="L260" s="70"/>
      <c r="M260" s="70"/>
      <c r="N260" s="70"/>
      <c r="O260" s="70"/>
    </row>
    <row r="261" spans="1:15" x14ac:dyDescent="0.25">
      <c r="A261" s="37"/>
      <c r="B261" s="37"/>
      <c r="C261" s="70"/>
      <c r="D261" s="37"/>
      <c r="E261" s="70"/>
      <c r="F261" s="70"/>
      <c r="G261" s="37"/>
      <c r="H261" s="70"/>
      <c r="I261" s="70"/>
      <c r="J261" s="37"/>
      <c r="K261" s="70"/>
      <c r="L261" s="70"/>
      <c r="M261" s="70"/>
      <c r="N261" s="70"/>
      <c r="O261" s="70"/>
    </row>
    <row r="262" spans="1:15" x14ac:dyDescent="0.25">
      <c r="A262" s="37"/>
      <c r="B262" s="37"/>
      <c r="C262" s="70"/>
      <c r="D262" s="37"/>
      <c r="E262" s="70"/>
      <c r="F262" s="70"/>
      <c r="G262" s="37"/>
      <c r="H262" s="70"/>
      <c r="I262" s="70"/>
      <c r="J262" s="37"/>
      <c r="K262" s="70"/>
      <c r="L262" s="70"/>
      <c r="M262" s="70"/>
      <c r="N262" s="70"/>
      <c r="O262" s="70"/>
    </row>
    <row r="263" spans="1:15" x14ac:dyDescent="0.25">
      <c r="A263" s="37"/>
      <c r="B263" s="37"/>
      <c r="C263" s="70"/>
      <c r="D263" s="37"/>
      <c r="E263" s="70"/>
      <c r="F263" s="70"/>
      <c r="G263" s="37"/>
      <c r="H263" s="70"/>
      <c r="I263" s="70"/>
      <c r="J263" s="37"/>
      <c r="K263" s="70"/>
      <c r="L263" s="70"/>
      <c r="M263" s="70"/>
      <c r="N263" s="70"/>
      <c r="O263" s="70"/>
    </row>
    <row r="264" spans="1:15" x14ac:dyDescent="0.25">
      <c r="A264" s="37"/>
      <c r="B264" s="37"/>
      <c r="C264" s="70"/>
      <c r="D264" s="37"/>
      <c r="E264" s="70"/>
      <c r="F264" s="70"/>
      <c r="G264" s="37"/>
      <c r="H264" s="70"/>
      <c r="I264" s="70"/>
      <c r="J264" s="37"/>
      <c r="K264" s="70"/>
      <c r="L264" s="70"/>
      <c r="M264" s="70"/>
      <c r="N264" s="70"/>
      <c r="O264" s="70"/>
    </row>
    <row r="265" spans="1:15" x14ac:dyDescent="0.25">
      <c r="A265" s="37"/>
      <c r="B265" s="37"/>
      <c r="C265" s="70"/>
      <c r="D265" s="37"/>
      <c r="E265" s="70"/>
      <c r="F265" s="70"/>
      <c r="G265" s="37"/>
      <c r="H265" s="70"/>
      <c r="I265" s="70"/>
      <c r="J265" s="37"/>
      <c r="K265" s="70"/>
      <c r="L265" s="70"/>
      <c r="M265" s="70"/>
      <c r="N265" s="70"/>
      <c r="O265" s="70"/>
    </row>
    <row r="266" spans="1:15" x14ac:dyDescent="0.25">
      <c r="A266" s="37"/>
      <c r="B266" s="37"/>
      <c r="C266" s="70"/>
      <c r="D266" s="37"/>
      <c r="E266" s="70"/>
      <c r="F266" s="70"/>
      <c r="G266" s="37"/>
      <c r="H266" s="70"/>
      <c r="I266" s="70"/>
      <c r="J266" s="37"/>
      <c r="K266" s="70"/>
      <c r="L266" s="70"/>
      <c r="M266" s="70"/>
      <c r="N266" s="70"/>
      <c r="O266" s="70"/>
    </row>
    <row r="267" spans="1:15" x14ac:dyDescent="0.25">
      <c r="A267" s="37"/>
      <c r="B267" s="37"/>
      <c r="C267" s="70"/>
      <c r="D267" s="37"/>
      <c r="E267" s="70"/>
      <c r="F267" s="70"/>
      <c r="G267" s="37"/>
      <c r="H267" s="70"/>
      <c r="I267" s="70"/>
      <c r="J267" s="37"/>
      <c r="K267" s="70"/>
      <c r="L267" s="70"/>
      <c r="M267" s="70"/>
      <c r="N267" s="70"/>
      <c r="O267" s="70"/>
    </row>
    <row r="268" spans="1:15" x14ac:dyDescent="0.25">
      <c r="A268" s="37"/>
      <c r="B268" s="37"/>
      <c r="C268" s="70"/>
      <c r="D268" s="37"/>
      <c r="E268" s="70"/>
      <c r="F268" s="70"/>
      <c r="G268" s="37"/>
      <c r="H268" s="70"/>
      <c r="I268" s="70"/>
      <c r="J268" s="37"/>
      <c r="K268" s="70"/>
      <c r="L268" s="70"/>
      <c r="M268" s="70"/>
      <c r="N268" s="70"/>
      <c r="O268" s="70"/>
    </row>
    <row r="269" spans="1:15" x14ac:dyDescent="0.25">
      <c r="A269" s="37"/>
      <c r="B269" s="37"/>
      <c r="C269" s="70"/>
      <c r="D269" s="37"/>
      <c r="E269" s="70"/>
      <c r="F269" s="70"/>
      <c r="G269" s="37"/>
      <c r="H269" s="70"/>
      <c r="I269" s="70"/>
      <c r="J269" s="37"/>
      <c r="K269" s="70"/>
      <c r="L269" s="70"/>
      <c r="M269" s="70"/>
      <c r="N269" s="70"/>
      <c r="O269" s="70"/>
    </row>
    <row r="270" spans="1:15" x14ac:dyDescent="0.25">
      <c r="A270" s="37"/>
      <c r="B270" s="37"/>
      <c r="C270" s="70"/>
      <c r="D270" s="37"/>
      <c r="E270" s="70"/>
      <c r="F270" s="70"/>
      <c r="G270" s="37"/>
      <c r="H270" s="70"/>
      <c r="I270" s="70"/>
      <c r="J270" s="37"/>
      <c r="K270" s="70"/>
      <c r="L270" s="70"/>
      <c r="M270" s="70"/>
      <c r="N270" s="70"/>
      <c r="O270" s="70"/>
    </row>
    <row r="271" spans="1:15" x14ac:dyDescent="0.25">
      <c r="A271" s="37"/>
      <c r="B271" s="37"/>
      <c r="C271" s="70"/>
      <c r="D271" s="37"/>
      <c r="E271" s="70"/>
      <c r="F271" s="70"/>
      <c r="G271" s="37"/>
      <c r="H271" s="70"/>
      <c r="I271" s="70"/>
      <c r="J271" s="37"/>
      <c r="K271" s="70"/>
      <c r="L271" s="70"/>
      <c r="M271" s="70"/>
      <c r="N271" s="70"/>
      <c r="O271" s="70"/>
    </row>
    <row r="272" spans="1:15" x14ac:dyDescent="0.25">
      <c r="A272" s="37"/>
      <c r="B272" s="37"/>
      <c r="C272" s="70"/>
      <c r="D272" s="37"/>
      <c r="E272" s="70"/>
      <c r="F272" s="70"/>
      <c r="G272" s="37"/>
      <c r="H272" s="70"/>
      <c r="I272" s="70"/>
      <c r="J272" s="37"/>
      <c r="K272" s="70"/>
      <c r="L272" s="70"/>
      <c r="M272" s="70"/>
      <c r="N272" s="70"/>
      <c r="O272" s="70"/>
    </row>
    <row r="273" spans="1:15" x14ac:dyDescent="0.25">
      <c r="A273" s="37"/>
      <c r="B273" s="37"/>
      <c r="C273" s="70"/>
      <c r="D273" s="37"/>
      <c r="E273" s="70"/>
      <c r="F273" s="70"/>
      <c r="G273" s="37"/>
      <c r="H273" s="70"/>
      <c r="I273" s="70"/>
      <c r="J273" s="37"/>
      <c r="K273" s="70"/>
      <c r="L273" s="70"/>
      <c r="M273" s="70"/>
      <c r="N273" s="70"/>
      <c r="O273" s="70"/>
    </row>
    <row r="274" spans="1:15" x14ac:dyDescent="0.25">
      <c r="A274" s="37"/>
      <c r="B274" s="37"/>
      <c r="C274" s="70"/>
      <c r="D274" s="37"/>
      <c r="E274" s="70"/>
      <c r="F274" s="70"/>
      <c r="G274" s="37"/>
      <c r="H274" s="70"/>
      <c r="I274" s="70"/>
      <c r="J274" s="37"/>
      <c r="K274" s="70"/>
      <c r="L274" s="70"/>
      <c r="M274" s="70"/>
      <c r="N274" s="70"/>
      <c r="O274" s="70"/>
    </row>
    <row r="275" spans="1:15" x14ac:dyDescent="0.25">
      <c r="A275" s="37"/>
      <c r="B275" s="37"/>
      <c r="C275" s="70"/>
      <c r="D275" s="37"/>
      <c r="E275" s="70"/>
      <c r="F275" s="70"/>
      <c r="G275" s="37"/>
      <c r="H275" s="70"/>
      <c r="I275" s="70"/>
      <c r="J275" s="37"/>
      <c r="K275" s="70"/>
      <c r="L275" s="70"/>
      <c r="M275" s="70"/>
      <c r="N275" s="70"/>
      <c r="O275" s="70"/>
    </row>
    <row r="276" spans="1:15" x14ac:dyDescent="0.25">
      <c r="A276" s="37"/>
      <c r="B276" s="37"/>
      <c r="C276" s="70"/>
      <c r="D276" s="37"/>
      <c r="E276" s="70"/>
      <c r="F276" s="70"/>
      <c r="G276" s="37"/>
      <c r="H276" s="70"/>
      <c r="I276" s="70"/>
      <c r="J276" s="37"/>
      <c r="K276" s="70"/>
      <c r="L276" s="70"/>
      <c r="M276" s="70"/>
      <c r="N276" s="70"/>
      <c r="O276" s="70"/>
    </row>
    <row r="277" spans="1:15" x14ac:dyDescent="0.25">
      <c r="A277" s="37"/>
      <c r="B277" s="37"/>
      <c r="C277" s="70"/>
      <c r="D277" s="37"/>
      <c r="E277" s="70"/>
      <c r="F277" s="70"/>
      <c r="G277" s="37"/>
      <c r="H277" s="70"/>
      <c r="I277" s="70"/>
      <c r="J277" s="37"/>
      <c r="K277" s="70"/>
      <c r="L277" s="70"/>
      <c r="M277" s="70"/>
      <c r="N277" s="70"/>
      <c r="O277" s="70"/>
    </row>
    <row r="278" spans="1:15" x14ac:dyDescent="0.25">
      <c r="A278" s="37"/>
      <c r="B278" s="37"/>
      <c r="C278" s="70"/>
      <c r="D278" s="37"/>
      <c r="E278" s="70"/>
      <c r="F278" s="70"/>
      <c r="G278" s="37"/>
      <c r="H278" s="70"/>
      <c r="I278" s="70"/>
      <c r="J278" s="37"/>
      <c r="K278" s="70"/>
      <c r="L278" s="70"/>
      <c r="M278" s="70"/>
      <c r="N278" s="70"/>
      <c r="O278" s="70"/>
    </row>
    <row r="279" spans="1:15" x14ac:dyDescent="0.25">
      <c r="A279" s="37"/>
      <c r="B279" s="37"/>
      <c r="C279" s="70"/>
      <c r="D279" s="37"/>
      <c r="E279" s="70"/>
      <c r="F279" s="70"/>
      <c r="G279" s="37"/>
      <c r="H279" s="70"/>
      <c r="I279" s="70"/>
      <c r="J279" s="37"/>
      <c r="K279" s="70"/>
      <c r="L279" s="70"/>
      <c r="M279" s="70"/>
      <c r="N279" s="70"/>
      <c r="O279" s="70"/>
    </row>
    <row r="280" spans="1:15" x14ac:dyDescent="0.25">
      <c r="A280" s="37"/>
      <c r="B280" s="37"/>
      <c r="C280" s="70"/>
      <c r="D280" s="37"/>
      <c r="E280" s="70"/>
      <c r="F280" s="70"/>
      <c r="G280" s="37"/>
      <c r="H280" s="70"/>
      <c r="I280" s="70"/>
      <c r="J280" s="37"/>
      <c r="K280" s="70"/>
      <c r="L280" s="70"/>
      <c r="M280" s="70"/>
      <c r="N280" s="70"/>
      <c r="O280" s="70"/>
    </row>
    <row r="281" spans="1:15" x14ac:dyDescent="0.25">
      <c r="A281" s="37"/>
      <c r="B281" s="37"/>
      <c r="C281" s="70"/>
      <c r="D281" s="37"/>
      <c r="E281" s="70"/>
      <c r="F281" s="70"/>
      <c r="G281" s="37"/>
      <c r="H281" s="70"/>
      <c r="I281" s="70"/>
      <c r="J281" s="37"/>
      <c r="K281" s="70"/>
      <c r="L281" s="70"/>
      <c r="M281" s="70"/>
      <c r="N281" s="70"/>
      <c r="O281" s="70"/>
    </row>
    <row r="282" spans="1:15" x14ac:dyDescent="0.25">
      <c r="A282" s="37"/>
      <c r="B282" s="37"/>
      <c r="C282" s="70"/>
      <c r="D282" s="37"/>
      <c r="E282" s="70"/>
      <c r="F282" s="70"/>
      <c r="G282" s="37"/>
      <c r="H282" s="70"/>
      <c r="I282" s="70"/>
      <c r="J282" s="37"/>
      <c r="K282" s="70"/>
      <c r="L282" s="70"/>
      <c r="M282" s="70"/>
      <c r="N282" s="70"/>
      <c r="O282" s="70"/>
    </row>
    <row r="283" spans="1:15" x14ac:dyDescent="0.25">
      <c r="A283" s="37"/>
      <c r="B283" s="37"/>
      <c r="C283" s="70"/>
      <c r="D283" s="37"/>
      <c r="E283" s="70"/>
      <c r="F283" s="70"/>
      <c r="G283" s="37"/>
      <c r="H283" s="70"/>
      <c r="I283" s="70"/>
      <c r="J283" s="37"/>
      <c r="K283" s="70"/>
      <c r="L283" s="70"/>
      <c r="M283" s="70"/>
      <c r="N283" s="70"/>
      <c r="O283" s="70"/>
    </row>
    <row r="284" spans="1:15" x14ac:dyDescent="0.25">
      <c r="A284" s="37"/>
      <c r="B284" s="37"/>
      <c r="C284" s="70"/>
      <c r="D284" s="37"/>
      <c r="E284" s="70"/>
      <c r="F284" s="70"/>
      <c r="G284" s="37"/>
      <c r="H284" s="70"/>
      <c r="I284" s="70"/>
      <c r="J284" s="37"/>
      <c r="K284" s="70"/>
      <c r="L284" s="70"/>
      <c r="M284" s="70"/>
      <c r="N284" s="70"/>
      <c r="O284" s="70"/>
    </row>
    <row r="285" spans="1:15" x14ac:dyDescent="0.25">
      <c r="A285" s="37"/>
      <c r="B285" s="37"/>
      <c r="C285" s="70"/>
      <c r="D285" s="37"/>
      <c r="E285" s="70"/>
      <c r="F285" s="70"/>
      <c r="G285" s="37"/>
      <c r="H285" s="70"/>
      <c r="I285" s="70"/>
      <c r="J285" s="37"/>
      <c r="K285" s="70"/>
      <c r="L285" s="70"/>
      <c r="M285" s="70"/>
      <c r="N285" s="70"/>
      <c r="O285" s="70"/>
    </row>
    <row r="286" spans="1:15" x14ac:dyDescent="0.25">
      <c r="A286" s="37"/>
      <c r="B286" s="37"/>
      <c r="C286" s="70"/>
      <c r="D286" s="37"/>
      <c r="E286" s="70"/>
      <c r="F286" s="70"/>
      <c r="G286" s="37"/>
      <c r="H286" s="70"/>
      <c r="I286" s="70"/>
      <c r="J286" s="37"/>
      <c r="K286" s="70"/>
      <c r="L286" s="70"/>
      <c r="M286" s="70"/>
      <c r="N286" s="70"/>
      <c r="O286" s="70"/>
    </row>
    <row r="287" spans="1:15" x14ac:dyDescent="0.25">
      <c r="A287" s="37"/>
      <c r="B287" s="37"/>
      <c r="C287" s="70"/>
      <c r="D287" s="37"/>
      <c r="E287" s="70"/>
      <c r="F287" s="70"/>
      <c r="G287" s="37"/>
      <c r="H287" s="70"/>
      <c r="I287" s="70"/>
      <c r="J287" s="37"/>
      <c r="K287" s="70"/>
      <c r="L287" s="70"/>
      <c r="M287" s="70"/>
      <c r="N287" s="70"/>
      <c r="O287" s="70"/>
    </row>
    <row r="288" spans="1:15" x14ac:dyDescent="0.25">
      <c r="A288" s="37"/>
      <c r="B288" s="37"/>
      <c r="C288" s="70"/>
      <c r="D288" s="37"/>
      <c r="E288" s="70"/>
      <c r="F288" s="70"/>
      <c r="G288" s="37"/>
      <c r="H288" s="70"/>
      <c r="I288" s="70"/>
      <c r="J288" s="37"/>
      <c r="K288" s="70"/>
      <c r="L288" s="70"/>
      <c r="M288" s="70"/>
      <c r="N288" s="70"/>
      <c r="O288" s="70"/>
    </row>
    <row r="289" spans="1:15" x14ac:dyDescent="0.25">
      <c r="A289" s="37"/>
      <c r="B289" s="37"/>
      <c r="C289" s="70"/>
      <c r="D289" s="37"/>
      <c r="E289" s="70"/>
      <c r="F289" s="70"/>
      <c r="G289" s="37"/>
      <c r="H289" s="70"/>
      <c r="I289" s="70"/>
      <c r="J289" s="37"/>
      <c r="K289" s="70"/>
      <c r="L289" s="70"/>
      <c r="M289" s="70"/>
      <c r="N289" s="70"/>
      <c r="O289" s="70"/>
    </row>
    <row r="290" spans="1:15" x14ac:dyDescent="0.25">
      <c r="A290" s="37"/>
      <c r="B290" s="37"/>
      <c r="C290" s="70"/>
      <c r="D290" s="37"/>
      <c r="E290" s="70"/>
      <c r="F290" s="70"/>
      <c r="G290" s="37"/>
      <c r="H290" s="70"/>
      <c r="I290" s="70"/>
      <c r="J290" s="37"/>
      <c r="K290" s="70"/>
      <c r="L290" s="70"/>
      <c r="M290" s="70"/>
      <c r="N290" s="70"/>
      <c r="O290" s="70"/>
    </row>
    <row r="291" spans="1:15" x14ac:dyDescent="0.25">
      <c r="A291" s="37"/>
      <c r="B291" s="37"/>
      <c r="C291" s="70"/>
      <c r="D291" s="37"/>
      <c r="E291" s="70"/>
      <c r="F291" s="70"/>
      <c r="G291" s="37"/>
      <c r="H291" s="70"/>
      <c r="I291" s="70"/>
      <c r="J291" s="37"/>
      <c r="K291" s="70"/>
      <c r="L291" s="70"/>
      <c r="M291" s="70"/>
      <c r="N291" s="70"/>
      <c r="O291" s="70"/>
    </row>
    <row r="292" spans="1:15" x14ac:dyDescent="0.25">
      <c r="A292" s="37"/>
      <c r="B292" s="37"/>
      <c r="C292" s="70"/>
      <c r="D292" s="37"/>
      <c r="E292" s="70"/>
      <c r="F292" s="70"/>
      <c r="G292" s="37"/>
      <c r="H292" s="70"/>
      <c r="I292" s="70"/>
      <c r="J292" s="37"/>
      <c r="K292" s="70"/>
      <c r="L292" s="70"/>
      <c r="M292" s="70"/>
      <c r="N292" s="70"/>
      <c r="O292" s="70"/>
    </row>
    <row r="293" spans="1:15" x14ac:dyDescent="0.25">
      <c r="A293" s="37"/>
      <c r="B293" s="37"/>
      <c r="C293" s="70"/>
      <c r="D293" s="37"/>
      <c r="E293" s="70"/>
      <c r="F293" s="70"/>
      <c r="G293" s="37"/>
      <c r="H293" s="70"/>
      <c r="I293" s="70"/>
      <c r="J293" s="37"/>
      <c r="K293" s="70"/>
      <c r="L293" s="70"/>
      <c r="M293" s="70"/>
      <c r="N293" s="70"/>
      <c r="O293" s="70"/>
    </row>
    <row r="294" spans="1:15" x14ac:dyDescent="0.25">
      <c r="A294" s="37"/>
      <c r="B294" s="37"/>
      <c r="C294" s="70"/>
      <c r="D294" s="37"/>
      <c r="E294" s="70"/>
      <c r="F294" s="70"/>
      <c r="G294" s="37"/>
      <c r="H294" s="70"/>
      <c r="I294" s="70"/>
      <c r="J294" s="37"/>
      <c r="K294" s="70"/>
      <c r="L294" s="70"/>
      <c r="M294" s="70"/>
      <c r="N294" s="70"/>
      <c r="O294" s="70"/>
    </row>
    <row r="295" spans="1:15" x14ac:dyDescent="0.25">
      <c r="A295" s="37"/>
      <c r="B295" s="37"/>
      <c r="C295" s="70"/>
      <c r="D295" s="37"/>
      <c r="E295" s="70"/>
      <c r="F295" s="70"/>
      <c r="G295" s="37"/>
      <c r="H295" s="70"/>
      <c r="I295" s="70"/>
      <c r="J295" s="37"/>
      <c r="K295" s="70"/>
      <c r="L295" s="70"/>
      <c r="M295" s="70"/>
      <c r="N295" s="70"/>
      <c r="O295" s="70"/>
    </row>
    <row r="296" spans="1:15" x14ac:dyDescent="0.25">
      <c r="A296" s="37"/>
      <c r="B296" s="37"/>
      <c r="C296" s="70"/>
      <c r="D296" s="37"/>
      <c r="E296" s="70"/>
      <c r="F296" s="70"/>
      <c r="G296" s="37"/>
      <c r="H296" s="70"/>
      <c r="I296" s="70"/>
      <c r="J296" s="37"/>
      <c r="K296" s="70"/>
      <c r="L296" s="70"/>
      <c r="M296" s="70"/>
      <c r="N296" s="70"/>
      <c r="O296" s="70"/>
    </row>
    <row r="297" spans="1:15" x14ac:dyDescent="0.25">
      <c r="A297" s="37"/>
      <c r="B297" s="37"/>
      <c r="C297" s="70"/>
      <c r="D297" s="37"/>
      <c r="E297" s="70"/>
      <c r="F297" s="70"/>
      <c r="G297" s="37"/>
      <c r="H297" s="70"/>
      <c r="I297" s="70"/>
      <c r="J297" s="37"/>
      <c r="K297" s="70"/>
      <c r="L297" s="70"/>
      <c r="M297" s="70"/>
      <c r="N297" s="70"/>
      <c r="O297" s="70"/>
    </row>
    <row r="298" spans="1:15" x14ac:dyDescent="0.25">
      <c r="A298" s="37"/>
      <c r="B298" s="37"/>
      <c r="C298" s="70"/>
      <c r="D298" s="37"/>
      <c r="E298" s="70"/>
      <c r="F298" s="70"/>
      <c r="G298" s="37"/>
      <c r="H298" s="70"/>
      <c r="I298" s="70"/>
      <c r="J298" s="37"/>
      <c r="K298" s="70"/>
      <c r="L298" s="70"/>
      <c r="M298" s="70"/>
      <c r="N298" s="70"/>
      <c r="O298" s="70"/>
    </row>
    <row r="299" spans="1:15" x14ac:dyDescent="0.25">
      <c r="A299" s="37"/>
      <c r="B299" s="37"/>
      <c r="C299" s="70"/>
      <c r="D299" s="37"/>
      <c r="E299" s="70"/>
      <c r="F299" s="70"/>
      <c r="G299" s="37"/>
      <c r="H299" s="70"/>
      <c r="I299" s="70"/>
      <c r="J299" s="37"/>
      <c r="K299" s="70"/>
      <c r="L299" s="70"/>
      <c r="M299" s="70"/>
      <c r="N299" s="70"/>
      <c r="O299" s="70"/>
    </row>
    <row r="300" spans="1:15" x14ac:dyDescent="0.25">
      <c r="A300" s="37"/>
      <c r="B300" s="37"/>
      <c r="C300" s="70"/>
      <c r="D300" s="37"/>
      <c r="E300" s="70"/>
      <c r="F300" s="70"/>
      <c r="G300" s="37"/>
      <c r="H300" s="70"/>
      <c r="I300" s="70"/>
      <c r="J300" s="37"/>
      <c r="K300" s="70"/>
      <c r="L300" s="70"/>
      <c r="M300" s="70"/>
      <c r="N300" s="70"/>
      <c r="O300" s="70"/>
    </row>
    <row r="301" spans="1:15" x14ac:dyDescent="0.25">
      <c r="A301" s="37"/>
      <c r="B301" s="37"/>
      <c r="C301" s="70"/>
      <c r="D301" s="37"/>
      <c r="E301" s="70"/>
      <c r="F301" s="70"/>
      <c r="G301" s="37"/>
      <c r="H301" s="70"/>
      <c r="I301" s="70"/>
      <c r="J301" s="37"/>
      <c r="K301" s="70"/>
      <c r="L301" s="70"/>
      <c r="M301" s="70"/>
      <c r="N301" s="70"/>
      <c r="O301" s="70"/>
    </row>
    <row r="302" spans="1:15" x14ac:dyDescent="0.25">
      <c r="A302" s="37"/>
      <c r="B302" s="37"/>
      <c r="C302" s="70"/>
      <c r="D302" s="37"/>
      <c r="E302" s="70"/>
      <c r="F302" s="70"/>
      <c r="G302" s="37"/>
      <c r="H302" s="70"/>
      <c r="I302" s="70"/>
      <c r="J302" s="37"/>
      <c r="K302" s="70"/>
      <c r="L302" s="70"/>
      <c r="M302" s="70"/>
      <c r="N302" s="70"/>
      <c r="O302" s="70"/>
    </row>
    <row r="303" spans="1:15" x14ac:dyDescent="0.25">
      <c r="A303" s="37"/>
      <c r="B303" s="37"/>
      <c r="C303" s="70"/>
      <c r="D303" s="37"/>
      <c r="E303" s="70"/>
      <c r="F303" s="70"/>
      <c r="G303" s="37"/>
      <c r="H303" s="70"/>
      <c r="I303" s="70"/>
      <c r="J303" s="37"/>
      <c r="K303" s="70"/>
      <c r="L303" s="70"/>
      <c r="M303" s="70"/>
      <c r="N303" s="70"/>
      <c r="O303" s="70"/>
    </row>
    <row r="304" spans="1:15" x14ac:dyDescent="0.25">
      <c r="A304" s="37"/>
      <c r="B304" s="37"/>
      <c r="C304" s="70"/>
      <c r="D304" s="37"/>
      <c r="E304" s="70"/>
      <c r="F304" s="70"/>
      <c r="G304" s="37"/>
      <c r="H304" s="70"/>
      <c r="I304" s="70"/>
      <c r="J304" s="37"/>
      <c r="K304" s="70"/>
      <c r="L304" s="70"/>
      <c r="M304" s="70"/>
      <c r="N304" s="70"/>
      <c r="O304" s="70"/>
    </row>
    <row r="305" spans="1:15" x14ac:dyDescent="0.25">
      <c r="A305" s="37"/>
      <c r="B305" s="37"/>
      <c r="C305" s="70"/>
      <c r="D305" s="37"/>
      <c r="E305" s="70"/>
      <c r="F305" s="70"/>
      <c r="G305" s="37"/>
      <c r="H305" s="70"/>
      <c r="I305" s="70"/>
      <c r="J305" s="37"/>
      <c r="K305" s="70"/>
      <c r="L305" s="70"/>
      <c r="M305" s="70"/>
      <c r="N305" s="70"/>
      <c r="O305" s="70"/>
    </row>
    <row r="306" spans="1:15" x14ac:dyDescent="0.25">
      <c r="A306" s="37"/>
      <c r="B306" s="37"/>
      <c r="C306" s="70"/>
      <c r="D306" s="37"/>
      <c r="E306" s="70"/>
      <c r="F306" s="70"/>
      <c r="G306" s="37"/>
      <c r="H306" s="70"/>
      <c r="I306" s="70"/>
      <c r="J306" s="37"/>
      <c r="K306" s="70"/>
      <c r="L306" s="70"/>
      <c r="M306" s="70"/>
      <c r="N306" s="70"/>
      <c r="O306" s="70"/>
    </row>
    <row r="307" spans="1:15" x14ac:dyDescent="0.25">
      <c r="A307" s="37"/>
      <c r="B307" s="37"/>
      <c r="C307" s="70"/>
      <c r="D307" s="37"/>
      <c r="E307" s="70"/>
      <c r="F307" s="70"/>
      <c r="G307" s="37"/>
      <c r="H307" s="70"/>
      <c r="I307" s="70"/>
      <c r="J307" s="37"/>
      <c r="K307" s="70"/>
      <c r="L307" s="70"/>
      <c r="M307" s="70"/>
      <c r="N307" s="70"/>
      <c r="O307" s="70"/>
    </row>
    <row r="308" spans="1:15" x14ac:dyDescent="0.25">
      <c r="A308" s="37"/>
      <c r="B308" s="37"/>
      <c r="C308" s="70"/>
      <c r="D308" s="37"/>
      <c r="E308" s="70"/>
      <c r="F308" s="70"/>
      <c r="G308" s="37"/>
      <c r="H308" s="70"/>
      <c r="I308" s="70"/>
      <c r="J308" s="37"/>
      <c r="K308" s="70"/>
      <c r="L308" s="70"/>
      <c r="M308" s="70"/>
      <c r="N308" s="70"/>
      <c r="O308" s="70"/>
    </row>
    <row r="309" spans="1:15" x14ac:dyDescent="0.25">
      <c r="A309" s="37"/>
      <c r="B309" s="37"/>
      <c r="C309" s="70"/>
      <c r="D309" s="37"/>
      <c r="E309" s="70"/>
      <c r="F309" s="70"/>
      <c r="G309" s="37"/>
      <c r="H309" s="70"/>
      <c r="I309" s="70"/>
      <c r="J309" s="37"/>
      <c r="K309" s="70"/>
      <c r="L309" s="70"/>
      <c r="M309" s="70"/>
      <c r="N309" s="70"/>
      <c r="O309" s="70"/>
    </row>
    <row r="310" spans="1:15" x14ac:dyDescent="0.25">
      <c r="A310" s="37"/>
      <c r="B310" s="37"/>
      <c r="C310" s="70"/>
      <c r="D310" s="37"/>
      <c r="E310" s="70"/>
      <c r="F310" s="70"/>
      <c r="G310" s="37"/>
      <c r="H310" s="70"/>
      <c r="I310" s="70"/>
      <c r="J310" s="37"/>
      <c r="K310" s="70"/>
      <c r="L310" s="70"/>
      <c r="M310" s="70"/>
      <c r="N310" s="70"/>
      <c r="O310" s="70"/>
    </row>
    <row r="311" spans="1:15" x14ac:dyDescent="0.25">
      <c r="A311" s="37"/>
      <c r="B311" s="37"/>
      <c r="C311" s="70"/>
      <c r="D311" s="37"/>
      <c r="E311" s="70"/>
      <c r="F311" s="70"/>
      <c r="G311" s="37"/>
      <c r="H311" s="70"/>
      <c r="I311" s="70"/>
      <c r="J311" s="37"/>
      <c r="K311" s="70"/>
      <c r="L311" s="70"/>
      <c r="M311" s="70"/>
      <c r="N311" s="70"/>
      <c r="O311" s="70"/>
    </row>
    <row r="312" spans="1:15" x14ac:dyDescent="0.25">
      <c r="A312" s="37"/>
      <c r="B312" s="37"/>
      <c r="C312" s="70"/>
      <c r="D312" s="37"/>
      <c r="E312" s="70"/>
      <c r="F312" s="70"/>
      <c r="G312" s="37"/>
      <c r="H312" s="70"/>
      <c r="I312" s="70"/>
      <c r="J312" s="37"/>
      <c r="K312" s="70"/>
      <c r="L312" s="70"/>
      <c r="M312" s="70"/>
      <c r="N312" s="70"/>
      <c r="O312" s="70"/>
    </row>
    <row r="313" spans="1:15" x14ac:dyDescent="0.25">
      <c r="A313" s="37"/>
      <c r="B313" s="37"/>
      <c r="C313" s="70"/>
      <c r="D313" s="37"/>
      <c r="E313" s="70"/>
      <c r="F313" s="70"/>
      <c r="G313" s="37"/>
      <c r="H313" s="70"/>
      <c r="I313" s="70"/>
      <c r="J313" s="37"/>
      <c r="K313" s="70"/>
      <c r="L313" s="70"/>
      <c r="M313" s="70"/>
      <c r="N313" s="70"/>
      <c r="O313" s="70"/>
    </row>
    <row r="314" spans="1:15" x14ac:dyDescent="0.25">
      <c r="A314" s="37"/>
      <c r="B314" s="37"/>
      <c r="C314" s="70"/>
      <c r="D314" s="37"/>
      <c r="E314" s="70"/>
      <c r="F314" s="70"/>
      <c r="G314" s="37"/>
      <c r="H314" s="70"/>
      <c r="I314" s="70"/>
      <c r="J314" s="37"/>
      <c r="K314" s="70"/>
      <c r="L314" s="70"/>
      <c r="M314" s="70"/>
      <c r="N314" s="70"/>
      <c r="O314" s="70"/>
    </row>
    <row r="315" spans="1:15" x14ac:dyDescent="0.25">
      <c r="A315" s="37"/>
      <c r="B315" s="37"/>
      <c r="C315" s="70"/>
      <c r="D315" s="37"/>
      <c r="E315" s="70"/>
      <c r="F315" s="70"/>
      <c r="G315" s="37"/>
      <c r="H315" s="70"/>
      <c r="I315" s="70"/>
      <c r="J315" s="37"/>
      <c r="K315" s="70"/>
      <c r="L315" s="70"/>
      <c r="M315" s="70"/>
      <c r="N315" s="70"/>
      <c r="O315" s="70"/>
    </row>
    <row r="316" spans="1:15" x14ac:dyDescent="0.25">
      <c r="A316" s="37"/>
      <c r="B316" s="37"/>
      <c r="C316" s="70"/>
      <c r="D316" s="37"/>
      <c r="E316" s="70"/>
      <c r="F316" s="70"/>
      <c r="G316" s="37"/>
      <c r="H316" s="70"/>
      <c r="I316" s="70"/>
      <c r="J316" s="37"/>
      <c r="K316" s="70"/>
      <c r="L316" s="70"/>
      <c r="M316" s="70"/>
      <c r="N316" s="70"/>
      <c r="O316" s="70"/>
    </row>
    <row r="317" spans="1:15" x14ac:dyDescent="0.25">
      <c r="A317" s="37"/>
      <c r="B317" s="37"/>
      <c r="C317" s="70"/>
      <c r="D317" s="37"/>
      <c r="E317" s="70"/>
      <c r="F317" s="70"/>
      <c r="G317" s="37"/>
      <c r="H317" s="70"/>
      <c r="I317" s="70"/>
      <c r="J317" s="37"/>
      <c r="K317" s="70"/>
      <c r="L317" s="70"/>
      <c r="M317" s="70"/>
      <c r="N317" s="70"/>
      <c r="O317" s="70"/>
    </row>
    <row r="318" spans="1:15" x14ac:dyDescent="0.25">
      <c r="A318" s="37"/>
      <c r="B318" s="37"/>
      <c r="C318" s="70"/>
      <c r="D318" s="37"/>
      <c r="E318" s="70"/>
      <c r="F318" s="70"/>
      <c r="G318" s="37"/>
      <c r="H318" s="70"/>
      <c r="I318" s="70"/>
      <c r="J318" s="37"/>
      <c r="K318" s="70"/>
      <c r="L318" s="70"/>
      <c r="M318" s="70"/>
      <c r="N318" s="70"/>
      <c r="O318" s="70"/>
    </row>
    <row r="319" spans="1:15" x14ac:dyDescent="0.25">
      <c r="A319" s="37"/>
      <c r="B319" s="37"/>
      <c r="C319" s="70"/>
      <c r="D319" s="37"/>
      <c r="E319" s="70"/>
      <c r="F319" s="70"/>
      <c r="G319" s="37"/>
      <c r="H319" s="70"/>
      <c r="I319" s="70"/>
      <c r="J319" s="37"/>
      <c r="K319" s="70"/>
      <c r="L319" s="70"/>
      <c r="M319" s="70"/>
      <c r="N319" s="70"/>
      <c r="O319" s="70"/>
    </row>
    <row r="320" spans="1:15" x14ac:dyDescent="0.25">
      <c r="A320" s="37"/>
      <c r="B320" s="37"/>
      <c r="C320" s="70"/>
      <c r="D320" s="37"/>
      <c r="E320" s="70"/>
      <c r="F320" s="70"/>
      <c r="G320" s="37"/>
      <c r="H320" s="70"/>
      <c r="I320" s="70"/>
      <c r="J320" s="37"/>
      <c r="K320" s="70"/>
      <c r="L320" s="70"/>
      <c r="M320" s="70"/>
      <c r="N320" s="70"/>
      <c r="O320" s="70"/>
    </row>
    <row r="321" spans="1:15" x14ac:dyDescent="0.25">
      <c r="A321" s="37"/>
      <c r="B321" s="37"/>
      <c r="C321" s="70"/>
      <c r="D321" s="37"/>
      <c r="E321" s="70"/>
      <c r="F321" s="70"/>
      <c r="G321" s="37"/>
      <c r="H321" s="70"/>
      <c r="I321" s="70"/>
      <c r="J321" s="37"/>
      <c r="K321" s="70"/>
      <c r="L321" s="70"/>
      <c r="M321" s="70"/>
      <c r="N321" s="70"/>
      <c r="O321" s="70"/>
    </row>
    <row r="322" spans="1:15" x14ac:dyDescent="0.25">
      <c r="A322" s="37"/>
      <c r="B322" s="37"/>
      <c r="C322" s="70"/>
      <c r="D322" s="37"/>
      <c r="E322" s="70"/>
      <c r="F322" s="70"/>
      <c r="G322" s="37"/>
      <c r="H322" s="70"/>
      <c r="I322" s="70"/>
      <c r="J322" s="37"/>
      <c r="K322" s="70"/>
      <c r="L322" s="70"/>
      <c r="M322" s="70"/>
      <c r="N322" s="70"/>
      <c r="O322" s="70"/>
    </row>
    <row r="323" spans="1:15" x14ac:dyDescent="0.25">
      <c r="A323" s="37"/>
      <c r="B323" s="37"/>
      <c r="C323" s="70"/>
      <c r="D323" s="37"/>
      <c r="E323" s="70"/>
      <c r="F323" s="70"/>
      <c r="G323" s="37"/>
      <c r="H323" s="70"/>
      <c r="I323" s="70"/>
      <c r="J323" s="37"/>
      <c r="K323" s="70"/>
      <c r="L323" s="70"/>
      <c r="M323" s="70"/>
      <c r="N323" s="70"/>
      <c r="O323" s="70"/>
    </row>
    <row r="324" spans="1:15" x14ac:dyDescent="0.25">
      <c r="A324" s="37"/>
      <c r="B324" s="37"/>
      <c r="C324" s="70"/>
      <c r="D324" s="37"/>
      <c r="E324" s="70"/>
      <c r="F324" s="70"/>
      <c r="G324" s="37"/>
      <c r="H324" s="70"/>
      <c r="I324" s="70"/>
      <c r="J324" s="37"/>
      <c r="K324" s="70"/>
      <c r="L324" s="70"/>
      <c r="M324" s="70"/>
      <c r="N324" s="70"/>
      <c r="O324" s="70"/>
    </row>
    <row r="325" spans="1:15" x14ac:dyDescent="0.25">
      <c r="A325" s="37"/>
      <c r="B325" s="37"/>
      <c r="C325" s="70"/>
      <c r="D325" s="37"/>
      <c r="E325" s="70"/>
      <c r="F325" s="70"/>
      <c r="G325" s="37"/>
      <c r="H325" s="70"/>
      <c r="I325" s="70"/>
      <c r="J325" s="37"/>
      <c r="K325" s="70"/>
      <c r="L325" s="70"/>
      <c r="M325" s="70"/>
      <c r="N325" s="70"/>
      <c r="O325" s="70"/>
    </row>
    <row r="326" spans="1:15" x14ac:dyDescent="0.25">
      <c r="A326" s="37"/>
      <c r="B326" s="37"/>
      <c r="C326" s="70"/>
      <c r="D326" s="37"/>
      <c r="E326" s="70"/>
      <c r="F326" s="70"/>
      <c r="G326" s="37"/>
      <c r="H326" s="70"/>
      <c r="I326" s="70"/>
      <c r="J326" s="37"/>
      <c r="K326" s="70"/>
      <c r="L326" s="70"/>
      <c r="M326" s="70"/>
      <c r="N326" s="70"/>
      <c r="O326" s="70"/>
    </row>
    <row r="327" spans="1:15" x14ac:dyDescent="0.25">
      <c r="A327" s="37"/>
      <c r="B327" s="37"/>
      <c r="C327" s="70"/>
      <c r="D327" s="37"/>
      <c r="E327" s="70"/>
      <c r="F327" s="70"/>
      <c r="G327" s="37"/>
      <c r="H327" s="70"/>
      <c r="I327" s="70"/>
      <c r="J327" s="37"/>
      <c r="K327" s="70"/>
      <c r="L327" s="70"/>
      <c r="M327" s="70"/>
      <c r="N327" s="70"/>
      <c r="O327" s="70"/>
    </row>
    <row r="328" spans="1:15" x14ac:dyDescent="0.25">
      <c r="A328" s="37"/>
      <c r="B328" s="37"/>
      <c r="C328" s="70"/>
      <c r="D328" s="37"/>
      <c r="E328" s="70"/>
      <c r="F328" s="70"/>
      <c r="G328" s="37"/>
      <c r="H328" s="70"/>
      <c r="I328" s="70"/>
      <c r="J328" s="37"/>
      <c r="K328" s="70"/>
      <c r="L328" s="70"/>
      <c r="M328" s="70"/>
      <c r="N328" s="70"/>
      <c r="O328" s="70"/>
    </row>
    <row r="329" spans="1:15" x14ac:dyDescent="0.25">
      <c r="A329" s="37"/>
      <c r="B329" s="37"/>
      <c r="C329" s="70"/>
      <c r="D329" s="37"/>
      <c r="E329" s="70"/>
      <c r="F329" s="70"/>
      <c r="G329" s="37"/>
      <c r="H329" s="70"/>
      <c r="I329" s="70"/>
      <c r="J329" s="37"/>
      <c r="K329" s="70"/>
      <c r="L329" s="70"/>
      <c r="M329" s="70"/>
      <c r="N329" s="70"/>
      <c r="O329" s="70"/>
    </row>
    <row r="330" spans="1:15" x14ac:dyDescent="0.25">
      <c r="A330" s="37"/>
      <c r="B330" s="37"/>
      <c r="C330" s="70"/>
      <c r="D330" s="37"/>
      <c r="E330" s="70"/>
      <c r="F330" s="70"/>
      <c r="G330" s="37"/>
      <c r="H330" s="70"/>
      <c r="I330" s="70"/>
      <c r="J330" s="37"/>
      <c r="K330" s="70"/>
      <c r="L330" s="70"/>
      <c r="M330" s="70"/>
      <c r="N330" s="70"/>
      <c r="O330" s="70"/>
    </row>
    <row r="331" spans="1:15" x14ac:dyDescent="0.25">
      <c r="A331" s="37"/>
      <c r="B331" s="37"/>
      <c r="C331" s="70"/>
      <c r="D331" s="37"/>
      <c r="E331" s="70"/>
      <c r="F331" s="70"/>
      <c r="G331" s="37"/>
      <c r="H331" s="70"/>
      <c r="I331" s="70"/>
      <c r="J331" s="37"/>
      <c r="K331" s="70"/>
      <c r="L331" s="70"/>
      <c r="M331" s="70"/>
      <c r="N331" s="70"/>
      <c r="O331" s="70"/>
    </row>
    <row r="332" spans="1:15" x14ac:dyDescent="0.25">
      <c r="A332" s="37"/>
      <c r="B332" s="37"/>
      <c r="C332" s="70"/>
      <c r="D332" s="37"/>
      <c r="E332" s="70"/>
      <c r="F332" s="70"/>
      <c r="G332" s="37"/>
      <c r="H332" s="70"/>
      <c r="I332" s="70"/>
      <c r="J332" s="37"/>
      <c r="K332" s="70"/>
      <c r="L332" s="70"/>
      <c r="M332" s="70"/>
      <c r="N332" s="70"/>
      <c r="O332" s="70"/>
    </row>
    <row r="333" spans="1:15" x14ac:dyDescent="0.25">
      <c r="A333" s="37"/>
      <c r="B333" s="37"/>
      <c r="C333" s="70"/>
      <c r="D333" s="37"/>
      <c r="E333" s="70"/>
      <c r="F333" s="70"/>
      <c r="G333" s="37"/>
      <c r="H333" s="70"/>
      <c r="I333" s="70"/>
      <c r="J333" s="37"/>
      <c r="K333" s="70"/>
      <c r="L333" s="70"/>
      <c r="M333" s="70"/>
      <c r="N333" s="70"/>
      <c r="O333" s="70"/>
    </row>
    <row r="334" spans="1:15" x14ac:dyDescent="0.25">
      <c r="A334" s="37"/>
      <c r="B334" s="37"/>
      <c r="C334" s="70"/>
      <c r="D334" s="37"/>
      <c r="E334" s="70"/>
      <c r="F334" s="70"/>
      <c r="G334" s="37"/>
      <c r="H334" s="70"/>
      <c r="I334" s="70"/>
      <c r="J334" s="37"/>
      <c r="K334" s="70"/>
      <c r="L334" s="70"/>
      <c r="M334" s="70"/>
      <c r="N334" s="70"/>
      <c r="O334" s="70"/>
    </row>
    <row r="335" spans="1:15" x14ac:dyDescent="0.25">
      <c r="A335" s="37"/>
      <c r="B335" s="37"/>
      <c r="C335" s="70"/>
      <c r="D335" s="37"/>
      <c r="E335" s="70"/>
      <c r="F335" s="70"/>
      <c r="G335" s="37"/>
      <c r="H335" s="70"/>
      <c r="I335" s="70"/>
      <c r="J335" s="37"/>
      <c r="K335" s="70"/>
      <c r="L335" s="70"/>
      <c r="M335" s="70"/>
      <c r="N335" s="70"/>
      <c r="O335" s="70"/>
    </row>
    <row r="336" spans="1:15" x14ac:dyDescent="0.25">
      <c r="A336" s="37"/>
      <c r="B336" s="37"/>
      <c r="C336" s="70"/>
      <c r="D336" s="37"/>
      <c r="E336" s="70"/>
      <c r="F336" s="70"/>
      <c r="G336" s="37"/>
      <c r="H336" s="70"/>
      <c r="I336" s="70"/>
      <c r="J336" s="37"/>
      <c r="K336" s="70"/>
      <c r="L336" s="70"/>
      <c r="M336" s="70"/>
      <c r="N336" s="70"/>
      <c r="O336" s="70"/>
    </row>
    <row r="337" spans="1:15" x14ac:dyDescent="0.25">
      <c r="A337" s="37"/>
      <c r="B337" s="37"/>
      <c r="C337" s="70"/>
      <c r="D337" s="37"/>
      <c r="E337" s="70"/>
      <c r="F337" s="70"/>
      <c r="G337" s="37"/>
      <c r="H337" s="70"/>
      <c r="I337" s="70"/>
      <c r="J337" s="37"/>
      <c r="K337" s="70"/>
      <c r="L337" s="70"/>
      <c r="M337" s="70"/>
      <c r="N337" s="70"/>
      <c r="O337" s="70"/>
    </row>
    <row r="338" spans="1:15" x14ac:dyDescent="0.25">
      <c r="A338" s="37"/>
      <c r="B338" s="37"/>
      <c r="C338" s="70"/>
      <c r="D338" s="37"/>
      <c r="E338" s="70"/>
      <c r="F338" s="70"/>
      <c r="G338" s="37"/>
      <c r="H338" s="70"/>
      <c r="I338" s="70"/>
      <c r="J338" s="37"/>
      <c r="K338" s="70"/>
      <c r="L338" s="70"/>
      <c r="M338" s="70"/>
      <c r="N338" s="70"/>
      <c r="O338" s="70"/>
    </row>
    <row r="339" spans="1:15" x14ac:dyDescent="0.25">
      <c r="A339" s="37"/>
      <c r="B339" s="37"/>
      <c r="C339" s="70"/>
      <c r="D339" s="37"/>
      <c r="E339" s="70"/>
      <c r="F339" s="70"/>
      <c r="G339" s="37"/>
      <c r="H339" s="70"/>
      <c r="I339" s="70"/>
      <c r="J339" s="37"/>
      <c r="K339" s="70"/>
      <c r="L339" s="70"/>
      <c r="M339" s="70"/>
      <c r="N339" s="70"/>
      <c r="O339" s="70"/>
    </row>
    <row r="340" spans="1:15" x14ac:dyDescent="0.25">
      <c r="A340" s="37"/>
      <c r="B340" s="37"/>
      <c r="C340" s="70"/>
      <c r="D340" s="37"/>
      <c r="E340" s="70"/>
      <c r="F340" s="70"/>
      <c r="G340" s="37"/>
      <c r="H340" s="70"/>
      <c r="I340" s="70"/>
      <c r="J340" s="37"/>
      <c r="K340" s="70"/>
      <c r="L340" s="70"/>
      <c r="M340" s="70"/>
      <c r="N340" s="70"/>
      <c r="O340" s="70"/>
    </row>
    <row r="341" spans="1:15" x14ac:dyDescent="0.25">
      <c r="A341" s="37"/>
      <c r="B341" s="37"/>
      <c r="C341" s="70"/>
      <c r="D341" s="37"/>
      <c r="E341" s="70"/>
      <c r="F341" s="70"/>
      <c r="G341" s="37"/>
      <c r="H341" s="70"/>
      <c r="I341" s="70"/>
      <c r="J341" s="37"/>
      <c r="K341" s="70"/>
      <c r="L341" s="70"/>
      <c r="M341" s="70"/>
      <c r="N341" s="70"/>
      <c r="O341" s="70"/>
    </row>
    <row r="342" spans="1:15" x14ac:dyDescent="0.25">
      <c r="A342" s="37"/>
      <c r="B342" s="37"/>
      <c r="C342" s="70"/>
      <c r="D342" s="37"/>
      <c r="E342" s="70"/>
      <c r="F342" s="70"/>
      <c r="G342" s="37"/>
      <c r="H342" s="70"/>
      <c r="I342" s="70"/>
      <c r="J342" s="37"/>
      <c r="K342" s="70"/>
      <c r="L342" s="70"/>
      <c r="M342" s="70"/>
      <c r="N342" s="70"/>
      <c r="O342" s="70"/>
    </row>
    <row r="343" spans="1:15" x14ac:dyDescent="0.25">
      <c r="A343" s="37"/>
      <c r="B343" s="37"/>
      <c r="C343" s="70"/>
      <c r="D343" s="37"/>
      <c r="E343" s="70"/>
      <c r="F343" s="70"/>
      <c r="G343" s="37"/>
      <c r="H343" s="70"/>
      <c r="I343" s="70"/>
      <c r="J343" s="37"/>
      <c r="K343" s="70"/>
      <c r="L343" s="70"/>
      <c r="M343" s="70"/>
      <c r="N343" s="70"/>
      <c r="O343" s="70"/>
    </row>
    <row r="344" spans="1:15" x14ac:dyDescent="0.25">
      <c r="A344" s="37"/>
      <c r="B344" s="37"/>
      <c r="C344" s="70"/>
      <c r="D344" s="37"/>
      <c r="E344" s="70"/>
      <c r="F344" s="70"/>
      <c r="G344" s="37"/>
      <c r="H344" s="70"/>
      <c r="I344" s="70"/>
      <c r="J344" s="37"/>
      <c r="K344" s="70"/>
      <c r="L344" s="70"/>
      <c r="M344" s="70"/>
      <c r="N344" s="70"/>
      <c r="O344" s="70"/>
    </row>
    <row r="345" spans="1:15" x14ac:dyDescent="0.25">
      <c r="A345" s="37"/>
      <c r="B345" s="37"/>
      <c r="C345" s="70"/>
      <c r="D345" s="37"/>
      <c r="E345" s="70"/>
      <c r="F345" s="70"/>
      <c r="G345" s="37"/>
      <c r="H345" s="70"/>
      <c r="I345" s="70"/>
      <c r="J345" s="37"/>
      <c r="K345" s="70"/>
      <c r="L345" s="70"/>
      <c r="M345" s="70"/>
      <c r="N345" s="70"/>
      <c r="O345" s="70"/>
    </row>
    <row r="346" spans="1:15" x14ac:dyDescent="0.25">
      <c r="A346" s="37"/>
      <c r="B346" s="37"/>
      <c r="C346" s="70"/>
      <c r="D346" s="37"/>
      <c r="E346" s="70"/>
      <c r="F346" s="70"/>
      <c r="G346" s="37"/>
      <c r="H346" s="70"/>
      <c r="I346" s="70"/>
      <c r="J346" s="37"/>
      <c r="K346" s="70"/>
      <c r="L346" s="70"/>
      <c r="M346" s="70"/>
      <c r="N346" s="70"/>
      <c r="O346" s="70"/>
    </row>
    <row r="347" spans="1:15" x14ac:dyDescent="0.25">
      <c r="A347" s="37"/>
      <c r="B347" s="37"/>
      <c r="C347" s="70"/>
      <c r="D347" s="37"/>
      <c r="E347" s="70"/>
      <c r="F347" s="70"/>
      <c r="G347" s="37"/>
      <c r="H347" s="70"/>
      <c r="I347" s="70"/>
      <c r="J347" s="37"/>
      <c r="K347" s="70"/>
      <c r="L347" s="70"/>
      <c r="M347" s="70"/>
      <c r="N347" s="70"/>
      <c r="O347" s="70"/>
    </row>
    <row r="348" spans="1:15" x14ac:dyDescent="0.25">
      <c r="A348" s="37"/>
      <c r="B348" s="37"/>
      <c r="C348" s="70"/>
      <c r="D348" s="37"/>
      <c r="E348" s="70"/>
      <c r="F348" s="70"/>
      <c r="G348" s="37"/>
      <c r="H348" s="70"/>
      <c r="I348" s="70"/>
      <c r="J348" s="37"/>
      <c r="K348" s="70"/>
      <c r="L348" s="70"/>
      <c r="M348" s="70"/>
      <c r="N348" s="70"/>
      <c r="O348" s="70"/>
    </row>
    <row r="349" spans="1:15" x14ac:dyDescent="0.25">
      <c r="A349" s="37"/>
      <c r="B349" s="37"/>
      <c r="C349" s="70"/>
      <c r="D349" s="37"/>
      <c r="E349" s="70"/>
      <c r="F349" s="70"/>
      <c r="G349" s="37"/>
      <c r="H349" s="70"/>
      <c r="I349" s="70"/>
      <c r="J349" s="37"/>
      <c r="K349" s="70"/>
      <c r="L349" s="70"/>
      <c r="M349" s="70"/>
      <c r="N349" s="70"/>
      <c r="O349" s="70"/>
    </row>
    <row r="350" spans="1:15" x14ac:dyDescent="0.25">
      <c r="A350" s="37"/>
      <c r="B350" s="37"/>
      <c r="C350" s="70"/>
      <c r="D350" s="37"/>
      <c r="E350" s="70"/>
      <c r="F350" s="70"/>
      <c r="G350" s="37"/>
      <c r="H350" s="70"/>
      <c r="I350" s="70"/>
      <c r="J350" s="37"/>
      <c r="K350" s="70"/>
      <c r="L350" s="70"/>
      <c r="M350" s="70"/>
      <c r="N350" s="70"/>
      <c r="O350" s="70"/>
    </row>
    <row r="351" spans="1:15" x14ac:dyDescent="0.25">
      <c r="A351" s="37"/>
      <c r="B351" s="37"/>
      <c r="C351" s="70"/>
      <c r="D351" s="37"/>
      <c r="E351" s="70"/>
      <c r="F351" s="70"/>
      <c r="G351" s="37"/>
      <c r="H351" s="70"/>
      <c r="I351" s="70"/>
      <c r="J351" s="37"/>
      <c r="K351" s="70"/>
      <c r="L351" s="70"/>
      <c r="M351" s="70"/>
      <c r="N351" s="70"/>
      <c r="O351" s="70"/>
    </row>
    <row r="352" spans="1:15" x14ac:dyDescent="0.25">
      <c r="A352" s="37"/>
      <c r="B352" s="37"/>
      <c r="C352" s="70"/>
      <c r="D352" s="37"/>
      <c r="E352" s="70"/>
      <c r="F352" s="70"/>
      <c r="G352" s="37"/>
      <c r="H352" s="70"/>
      <c r="I352" s="70"/>
      <c r="J352" s="37"/>
      <c r="K352" s="70"/>
      <c r="L352" s="70"/>
      <c r="M352" s="70"/>
      <c r="N352" s="70"/>
      <c r="O352" s="70"/>
    </row>
    <row r="353" spans="1:15" x14ac:dyDescent="0.25">
      <c r="A353" s="37"/>
      <c r="B353" s="37"/>
      <c r="C353" s="70"/>
      <c r="D353" s="37"/>
      <c r="E353" s="70"/>
      <c r="F353" s="70"/>
      <c r="G353" s="37"/>
      <c r="H353" s="70"/>
      <c r="I353" s="70"/>
      <c r="J353" s="37"/>
      <c r="K353" s="70"/>
      <c r="L353" s="70"/>
      <c r="M353" s="70"/>
      <c r="N353" s="70"/>
      <c r="O353" s="70"/>
    </row>
    <row r="354" spans="1:15" x14ac:dyDescent="0.25">
      <c r="A354" s="37"/>
      <c r="B354" s="37"/>
      <c r="C354" s="70"/>
      <c r="D354" s="37"/>
      <c r="E354" s="70"/>
      <c r="F354" s="70"/>
      <c r="G354" s="37"/>
      <c r="H354" s="70"/>
      <c r="I354" s="70"/>
      <c r="J354" s="37"/>
      <c r="K354" s="70"/>
      <c r="L354" s="70"/>
      <c r="M354" s="70"/>
      <c r="N354" s="70"/>
      <c r="O354" s="70"/>
    </row>
    <row r="355" spans="1:15" x14ac:dyDescent="0.25">
      <c r="A355" s="37"/>
      <c r="B355" s="37"/>
      <c r="C355" s="70"/>
      <c r="D355" s="37"/>
      <c r="E355" s="70"/>
      <c r="F355" s="70"/>
      <c r="G355" s="37"/>
      <c r="H355" s="70"/>
      <c r="I355" s="70"/>
      <c r="J355" s="37"/>
      <c r="K355" s="70"/>
      <c r="L355" s="70"/>
      <c r="M355" s="70"/>
      <c r="N355" s="70"/>
      <c r="O355" s="70"/>
    </row>
    <row r="356" spans="1:15" x14ac:dyDescent="0.25">
      <c r="A356" s="37"/>
      <c r="B356" s="37"/>
      <c r="C356" s="70"/>
      <c r="D356" s="37"/>
      <c r="E356" s="70"/>
      <c r="F356" s="70"/>
      <c r="G356" s="37"/>
      <c r="H356" s="70"/>
      <c r="I356" s="70"/>
      <c r="J356" s="37"/>
      <c r="K356" s="70"/>
      <c r="L356" s="70"/>
      <c r="M356" s="70"/>
      <c r="N356" s="70"/>
      <c r="O356" s="70"/>
    </row>
    <row r="357" spans="1:15" x14ac:dyDescent="0.25">
      <c r="A357" s="37"/>
      <c r="B357" s="37"/>
      <c r="C357" s="70"/>
      <c r="D357" s="37"/>
      <c r="E357" s="70"/>
      <c r="F357" s="70"/>
      <c r="G357" s="37"/>
      <c r="H357" s="70"/>
      <c r="I357" s="70"/>
      <c r="J357" s="37"/>
      <c r="K357" s="70"/>
      <c r="L357" s="70"/>
      <c r="M357" s="70"/>
      <c r="N357" s="70"/>
      <c r="O357" s="70"/>
    </row>
    <row r="358" spans="1:15" x14ac:dyDescent="0.25">
      <c r="A358" s="37"/>
      <c r="B358" s="37"/>
      <c r="C358" s="70"/>
      <c r="D358" s="37"/>
      <c r="E358" s="70"/>
      <c r="F358" s="70"/>
      <c r="G358" s="37"/>
      <c r="H358" s="70"/>
      <c r="I358" s="70"/>
      <c r="J358" s="37"/>
      <c r="K358" s="70"/>
      <c r="L358" s="70"/>
      <c r="M358" s="70"/>
      <c r="N358" s="70"/>
      <c r="O358" s="70"/>
    </row>
    <row r="359" spans="1:15" x14ac:dyDescent="0.25">
      <c r="A359" s="37"/>
      <c r="B359" s="37"/>
      <c r="C359" s="70"/>
      <c r="D359" s="37"/>
      <c r="E359" s="70"/>
      <c r="F359" s="70"/>
      <c r="G359" s="37"/>
      <c r="H359" s="70"/>
      <c r="I359" s="70"/>
      <c r="J359" s="37"/>
      <c r="K359" s="70"/>
      <c r="L359" s="70"/>
      <c r="M359" s="70"/>
      <c r="N359" s="70"/>
      <c r="O359" s="70"/>
    </row>
    <row r="360" spans="1:15" x14ac:dyDescent="0.25">
      <c r="A360" s="37"/>
      <c r="B360" s="37"/>
      <c r="C360" s="70"/>
      <c r="D360" s="37"/>
      <c r="E360" s="70"/>
      <c r="F360" s="70"/>
      <c r="G360" s="37"/>
      <c r="H360" s="70"/>
      <c r="I360" s="70"/>
      <c r="J360" s="37"/>
      <c r="K360" s="70"/>
      <c r="L360" s="70"/>
      <c r="M360" s="70"/>
      <c r="N360" s="70"/>
      <c r="O360" s="70"/>
    </row>
    <row r="361" spans="1:15" x14ac:dyDescent="0.25">
      <c r="A361" s="37"/>
      <c r="B361" s="37"/>
      <c r="C361" s="70"/>
      <c r="D361" s="37"/>
      <c r="E361" s="70"/>
      <c r="F361" s="70"/>
      <c r="G361" s="37"/>
      <c r="H361" s="70"/>
      <c r="I361" s="70"/>
      <c r="J361" s="37"/>
      <c r="K361" s="70"/>
      <c r="L361" s="70"/>
      <c r="M361" s="70"/>
      <c r="N361" s="70"/>
      <c r="O361" s="70"/>
    </row>
    <row r="362" spans="1:15" x14ac:dyDescent="0.25">
      <c r="A362" s="37"/>
      <c r="B362" s="37"/>
      <c r="C362" s="70"/>
      <c r="D362" s="37"/>
      <c r="E362" s="70"/>
      <c r="F362" s="70"/>
      <c r="G362" s="37"/>
      <c r="H362" s="70"/>
      <c r="I362" s="70"/>
      <c r="J362" s="37"/>
      <c r="K362" s="70"/>
      <c r="L362" s="70"/>
      <c r="M362" s="70"/>
      <c r="N362" s="70"/>
      <c r="O362" s="70"/>
    </row>
    <row r="363" spans="1:15" x14ac:dyDescent="0.25">
      <c r="A363" s="37"/>
      <c r="B363" s="37"/>
      <c r="C363" s="70"/>
      <c r="D363" s="37"/>
      <c r="E363" s="70"/>
      <c r="F363" s="70"/>
      <c r="G363" s="37"/>
      <c r="H363" s="70"/>
      <c r="I363" s="70"/>
      <c r="J363" s="37"/>
      <c r="K363" s="70"/>
      <c r="L363" s="70"/>
      <c r="M363" s="70"/>
      <c r="N363" s="70"/>
      <c r="O363" s="70"/>
    </row>
    <row r="364" spans="1:15" x14ac:dyDescent="0.25">
      <c r="A364" s="37"/>
      <c r="B364" s="37"/>
      <c r="C364" s="70"/>
      <c r="D364" s="37"/>
      <c r="E364" s="70"/>
      <c r="F364" s="70"/>
      <c r="G364" s="37"/>
      <c r="H364" s="70"/>
      <c r="I364" s="70"/>
      <c r="J364" s="37"/>
      <c r="K364" s="70"/>
      <c r="L364" s="70"/>
      <c r="M364" s="70"/>
      <c r="N364" s="70"/>
      <c r="O364" s="70"/>
    </row>
    <row r="365" spans="1:15" x14ac:dyDescent="0.25">
      <c r="A365" s="37"/>
      <c r="B365" s="37"/>
      <c r="C365" s="70"/>
      <c r="D365" s="37"/>
      <c r="E365" s="70"/>
      <c r="F365" s="70"/>
      <c r="G365" s="37"/>
      <c r="H365" s="70"/>
      <c r="I365" s="70"/>
      <c r="J365" s="37"/>
      <c r="K365" s="70"/>
      <c r="L365" s="70"/>
      <c r="M365" s="70"/>
      <c r="N365" s="70"/>
      <c r="O365" s="70"/>
    </row>
    <row r="366" spans="1:15" x14ac:dyDescent="0.25">
      <c r="A366" s="37"/>
      <c r="B366" s="37"/>
      <c r="C366" s="70"/>
      <c r="D366" s="37"/>
      <c r="E366" s="70"/>
      <c r="F366" s="70"/>
      <c r="G366" s="37"/>
      <c r="H366" s="70"/>
      <c r="I366" s="70"/>
      <c r="J366" s="37"/>
      <c r="K366" s="70"/>
      <c r="L366" s="70"/>
      <c r="M366" s="70"/>
      <c r="N366" s="70"/>
      <c r="O366" s="70"/>
    </row>
    <row r="367" spans="1:15" x14ac:dyDescent="0.25">
      <c r="A367" s="37"/>
      <c r="B367" s="37"/>
      <c r="C367" s="70"/>
      <c r="D367" s="37"/>
      <c r="E367" s="70"/>
      <c r="F367" s="70"/>
      <c r="G367" s="37"/>
      <c r="H367" s="70"/>
      <c r="I367" s="70"/>
      <c r="J367" s="37"/>
      <c r="K367" s="70"/>
      <c r="L367" s="70"/>
      <c r="M367" s="70"/>
      <c r="N367" s="70"/>
      <c r="O367" s="70"/>
    </row>
    <row r="368" spans="1:15" x14ac:dyDescent="0.25">
      <c r="A368" s="37"/>
      <c r="B368" s="37"/>
      <c r="C368" s="70"/>
      <c r="D368" s="37"/>
      <c r="E368" s="70"/>
      <c r="F368" s="70"/>
      <c r="G368" s="37"/>
      <c r="H368" s="70"/>
      <c r="I368" s="70"/>
      <c r="J368" s="37"/>
      <c r="K368" s="70"/>
      <c r="L368" s="70"/>
      <c r="M368" s="70"/>
      <c r="N368" s="70"/>
      <c r="O368" s="70"/>
    </row>
    <row r="369" spans="1:15" x14ac:dyDescent="0.25">
      <c r="A369" s="37"/>
      <c r="B369" s="37"/>
      <c r="C369" s="70"/>
      <c r="D369" s="37"/>
      <c r="E369" s="70"/>
      <c r="F369" s="70"/>
      <c r="G369" s="37"/>
      <c r="H369" s="70"/>
      <c r="I369" s="70"/>
      <c r="J369" s="37"/>
      <c r="K369" s="70"/>
      <c r="L369" s="70"/>
      <c r="M369" s="70"/>
      <c r="N369" s="70"/>
      <c r="O369" s="70"/>
    </row>
    <row r="370" spans="1:15" x14ac:dyDescent="0.25">
      <c r="A370" s="37"/>
      <c r="B370" s="37"/>
      <c r="C370" s="70"/>
      <c r="D370" s="37"/>
      <c r="E370" s="70"/>
      <c r="F370" s="70"/>
      <c r="G370" s="37"/>
      <c r="H370" s="70"/>
      <c r="I370" s="70"/>
      <c r="J370" s="37"/>
      <c r="K370" s="70"/>
      <c r="L370" s="70"/>
      <c r="M370" s="70"/>
      <c r="N370" s="70"/>
      <c r="O370" s="70"/>
    </row>
    <row r="371" spans="1:15" x14ac:dyDescent="0.25">
      <c r="A371" s="37"/>
      <c r="B371" s="37"/>
      <c r="C371" s="70"/>
      <c r="D371" s="37"/>
      <c r="E371" s="70"/>
      <c r="F371" s="70"/>
      <c r="G371" s="37"/>
      <c r="H371" s="70"/>
      <c r="I371" s="70"/>
      <c r="J371" s="37"/>
      <c r="K371" s="70"/>
      <c r="L371" s="70"/>
      <c r="M371" s="70"/>
      <c r="N371" s="70"/>
      <c r="O371" s="70"/>
    </row>
    <row r="372" spans="1:15" x14ac:dyDescent="0.25">
      <c r="A372" s="37"/>
      <c r="B372" s="37"/>
      <c r="C372" s="70"/>
      <c r="D372" s="37"/>
      <c r="E372" s="70"/>
      <c r="F372" s="70"/>
      <c r="G372" s="37"/>
      <c r="H372" s="70"/>
      <c r="I372" s="70"/>
      <c r="J372" s="37"/>
      <c r="K372" s="70"/>
      <c r="L372" s="70"/>
      <c r="M372" s="70"/>
      <c r="N372" s="70"/>
      <c r="O372" s="70"/>
    </row>
    <row r="373" spans="1:15" x14ac:dyDescent="0.25">
      <c r="A373" s="37"/>
      <c r="B373" s="37"/>
      <c r="C373" s="70"/>
      <c r="D373" s="37"/>
      <c r="E373" s="70"/>
      <c r="F373" s="70"/>
      <c r="G373" s="37"/>
      <c r="H373" s="70"/>
      <c r="I373" s="70"/>
      <c r="J373" s="37"/>
      <c r="K373" s="70"/>
      <c r="L373" s="70"/>
      <c r="M373" s="70"/>
      <c r="N373" s="70"/>
      <c r="O373" s="70"/>
    </row>
    <row r="374" spans="1:15" x14ac:dyDescent="0.25">
      <c r="A374" s="37"/>
      <c r="B374" s="37"/>
      <c r="C374" s="70"/>
      <c r="D374" s="37"/>
      <c r="E374" s="70"/>
      <c r="F374" s="70"/>
      <c r="G374" s="37"/>
      <c r="H374" s="70"/>
      <c r="I374" s="70"/>
      <c r="J374" s="37"/>
      <c r="K374" s="70"/>
      <c r="L374" s="70"/>
      <c r="M374" s="70"/>
      <c r="N374" s="70"/>
      <c r="O374" s="70"/>
    </row>
    <row r="375" spans="1:15" x14ac:dyDescent="0.25">
      <c r="A375" s="37"/>
      <c r="B375" s="37"/>
      <c r="C375" s="70"/>
      <c r="D375" s="37"/>
      <c r="E375" s="70"/>
      <c r="F375" s="70"/>
      <c r="G375" s="37"/>
      <c r="H375" s="70"/>
      <c r="I375" s="70"/>
      <c r="J375" s="37"/>
      <c r="K375" s="70"/>
      <c r="L375" s="70"/>
      <c r="M375" s="70"/>
      <c r="N375" s="70"/>
      <c r="O375" s="70"/>
    </row>
    <row r="376" spans="1:15" x14ac:dyDescent="0.25">
      <c r="A376" s="37"/>
      <c r="B376" s="37"/>
      <c r="C376" s="70"/>
      <c r="D376" s="37"/>
      <c r="E376" s="70"/>
      <c r="F376" s="70"/>
      <c r="G376" s="37"/>
      <c r="H376" s="70"/>
      <c r="I376" s="70"/>
      <c r="J376" s="37"/>
      <c r="K376" s="70"/>
      <c r="L376" s="70"/>
      <c r="M376" s="70"/>
      <c r="N376" s="70"/>
      <c r="O376" s="70"/>
    </row>
    <row r="377" spans="1:15" x14ac:dyDescent="0.25">
      <c r="A377" s="37"/>
      <c r="B377" s="37"/>
      <c r="C377" s="70"/>
      <c r="D377" s="37"/>
      <c r="E377" s="70"/>
      <c r="F377" s="70"/>
      <c r="G377" s="37"/>
      <c r="H377" s="70"/>
      <c r="I377" s="70"/>
      <c r="J377" s="37"/>
      <c r="K377" s="70"/>
      <c r="L377" s="70"/>
      <c r="M377" s="70"/>
      <c r="N377" s="70"/>
      <c r="O377" s="70"/>
    </row>
    <row r="378" spans="1:15" x14ac:dyDescent="0.25">
      <c r="A378" s="37"/>
      <c r="B378" s="37"/>
      <c r="C378" s="70"/>
      <c r="D378" s="37"/>
      <c r="E378" s="70"/>
      <c r="F378" s="70"/>
      <c r="G378" s="37"/>
      <c r="H378" s="70"/>
      <c r="I378" s="70"/>
      <c r="J378" s="37"/>
      <c r="K378" s="70"/>
      <c r="L378" s="70"/>
      <c r="M378" s="70"/>
      <c r="N378" s="70"/>
      <c r="O378" s="70"/>
    </row>
    <row r="379" spans="1:15" x14ac:dyDescent="0.25">
      <c r="A379" s="37"/>
      <c r="B379" s="37"/>
      <c r="C379" s="70"/>
      <c r="D379" s="37"/>
      <c r="E379" s="70"/>
      <c r="F379" s="70"/>
      <c r="G379" s="37"/>
      <c r="H379" s="70"/>
      <c r="I379" s="70"/>
      <c r="J379" s="37"/>
      <c r="K379" s="70"/>
      <c r="L379" s="70"/>
      <c r="M379" s="70"/>
      <c r="N379" s="70"/>
      <c r="O379" s="70"/>
    </row>
    <row r="380" spans="1:15" x14ac:dyDescent="0.25">
      <c r="A380" s="37"/>
      <c r="B380" s="37"/>
      <c r="C380" s="70"/>
      <c r="D380" s="37"/>
      <c r="E380" s="70"/>
      <c r="F380" s="70"/>
      <c r="G380" s="37"/>
      <c r="H380" s="70"/>
      <c r="I380" s="70"/>
      <c r="J380" s="37"/>
      <c r="K380" s="70"/>
      <c r="L380" s="70"/>
      <c r="M380" s="70"/>
      <c r="N380" s="70"/>
      <c r="O380" s="70"/>
    </row>
    <row r="381" spans="1:15" x14ac:dyDescent="0.25">
      <c r="A381" s="37"/>
      <c r="B381" s="37"/>
      <c r="C381" s="70"/>
      <c r="D381" s="37"/>
      <c r="E381" s="70"/>
      <c r="F381" s="70"/>
      <c r="G381" s="37"/>
      <c r="H381" s="70"/>
      <c r="I381" s="70"/>
      <c r="J381" s="37"/>
      <c r="K381" s="70"/>
      <c r="L381" s="70"/>
      <c r="M381" s="70"/>
      <c r="N381" s="70"/>
      <c r="O381" s="70"/>
    </row>
    <row r="382" spans="1:15" x14ac:dyDescent="0.25">
      <c r="A382" s="37"/>
      <c r="B382" s="37"/>
      <c r="C382" s="70"/>
      <c r="D382" s="37"/>
      <c r="E382" s="70"/>
      <c r="F382" s="70"/>
      <c r="G382" s="37"/>
      <c r="H382" s="70"/>
      <c r="I382" s="70"/>
      <c r="J382" s="37"/>
      <c r="K382" s="70"/>
      <c r="L382" s="70"/>
      <c r="M382" s="70"/>
      <c r="N382" s="70"/>
      <c r="O382" s="70"/>
    </row>
    <row r="383" spans="1:15" x14ac:dyDescent="0.25">
      <c r="A383" s="37"/>
      <c r="B383" s="37"/>
      <c r="C383" s="70"/>
      <c r="D383" s="37"/>
      <c r="E383" s="70"/>
      <c r="F383" s="70"/>
      <c r="G383" s="37"/>
      <c r="H383" s="70"/>
      <c r="I383" s="70"/>
      <c r="J383" s="37"/>
      <c r="K383" s="70"/>
      <c r="L383" s="70"/>
      <c r="M383" s="70"/>
      <c r="N383" s="70"/>
      <c r="O383" s="70"/>
    </row>
    <row r="384" spans="1:15" x14ac:dyDescent="0.25">
      <c r="A384" s="37"/>
      <c r="B384" s="37"/>
      <c r="C384" s="70"/>
      <c r="D384" s="37"/>
      <c r="E384" s="70"/>
      <c r="F384" s="70"/>
      <c r="G384" s="37"/>
      <c r="H384" s="70"/>
      <c r="I384" s="70"/>
      <c r="J384" s="37"/>
      <c r="K384" s="70"/>
      <c r="L384" s="70"/>
      <c r="M384" s="70"/>
      <c r="N384" s="70"/>
      <c r="O384" s="70"/>
    </row>
    <row r="385" spans="1:15" x14ac:dyDescent="0.25">
      <c r="A385" s="37"/>
      <c r="B385" s="37"/>
      <c r="C385" s="70"/>
      <c r="D385" s="37"/>
      <c r="E385" s="70"/>
      <c r="F385" s="70"/>
      <c r="G385" s="37"/>
      <c r="H385" s="70"/>
      <c r="I385" s="70"/>
      <c r="J385" s="37"/>
      <c r="K385" s="70"/>
      <c r="L385" s="70"/>
      <c r="M385" s="70"/>
      <c r="N385" s="70"/>
      <c r="O385" s="70"/>
    </row>
    <row r="386" spans="1:15" x14ac:dyDescent="0.25">
      <c r="A386" s="37"/>
      <c r="B386" s="37"/>
      <c r="C386" s="70"/>
      <c r="D386" s="37"/>
      <c r="E386" s="70"/>
      <c r="F386" s="70"/>
      <c r="G386" s="37"/>
      <c r="H386" s="70"/>
      <c r="I386" s="70"/>
      <c r="J386" s="37"/>
      <c r="K386" s="70"/>
      <c r="L386" s="70"/>
      <c r="M386" s="70"/>
      <c r="N386" s="70"/>
      <c r="O386" s="70"/>
    </row>
    <row r="387" spans="1:15" x14ac:dyDescent="0.25">
      <c r="A387" s="37"/>
      <c r="B387" s="37"/>
      <c r="C387" s="70"/>
      <c r="D387" s="37"/>
      <c r="E387" s="70"/>
      <c r="F387" s="70"/>
      <c r="G387" s="37"/>
      <c r="H387" s="70"/>
      <c r="I387" s="70"/>
      <c r="J387" s="37"/>
      <c r="K387" s="70"/>
      <c r="L387" s="70"/>
      <c r="M387" s="70"/>
      <c r="N387" s="70"/>
      <c r="O387" s="70"/>
    </row>
    <row r="388" spans="1:15" x14ac:dyDescent="0.25">
      <c r="A388" s="37"/>
      <c r="B388" s="37"/>
      <c r="C388" s="70"/>
      <c r="D388" s="37"/>
      <c r="E388" s="70"/>
      <c r="F388" s="70"/>
      <c r="G388" s="37"/>
      <c r="H388" s="70"/>
      <c r="I388" s="70"/>
      <c r="J388" s="37"/>
      <c r="K388" s="70"/>
      <c r="L388" s="70"/>
      <c r="M388" s="70"/>
      <c r="N388" s="70"/>
      <c r="O388" s="70"/>
    </row>
    <row r="389" spans="1:15" x14ac:dyDescent="0.25">
      <c r="A389" s="37"/>
      <c r="B389" s="37"/>
      <c r="C389" s="70"/>
      <c r="D389" s="37"/>
      <c r="E389" s="70"/>
      <c r="F389" s="70"/>
      <c r="G389" s="37"/>
      <c r="H389" s="70"/>
      <c r="I389" s="70"/>
      <c r="J389" s="37"/>
      <c r="K389" s="70"/>
      <c r="L389" s="70"/>
      <c r="M389" s="70"/>
      <c r="N389" s="70"/>
      <c r="O389" s="70"/>
    </row>
    <row r="390" spans="1:15" x14ac:dyDescent="0.25">
      <c r="A390" s="37"/>
      <c r="B390" s="37"/>
      <c r="C390" s="70"/>
      <c r="D390" s="37"/>
      <c r="E390" s="70"/>
      <c r="F390" s="70"/>
      <c r="G390" s="37"/>
      <c r="H390" s="70"/>
      <c r="I390" s="70"/>
      <c r="J390" s="37"/>
      <c r="K390" s="70"/>
      <c r="L390" s="70"/>
      <c r="M390" s="70"/>
      <c r="N390" s="70"/>
      <c r="O390" s="70"/>
    </row>
    <row r="391" spans="1:15" x14ac:dyDescent="0.25">
      <c r="A391" s="37"/>
      <c r="B391" s="37"/>
      <c r="C391" s="70"/>
      <c r="D391" s="37"/>
      <c r="E391" s="70"/>
      <c r="F391" s="70"/>
      <c r="G391" s="37"/>
      <c r="H391" s="70"/>
      <c r="I391" s="70"/>
      <c r="J391" s="37"/>
      <c r="K391" s="70"/>
      <c r="L391" s="70"/>
      <c r="M391" s="70"/>
      <c r="N391" s="70"/>
      <c r="O391" s="70"/>
    </row>
    <row r="392" spans="1:15" x14ac:dyDescent="0.25">
      <c r="A392" s="37"/>
      <c r="B392" s="37"/>
      <c r="C392" s="70"/>
      <c r="D392" s="37"/>
      <c r="E392" s="70"/>
      <c r="F392" s="70"/>
      <c r="G392" s="37"/>
      <c r="H392" s="70"/>
      <c r="I392" s="70"/>
      <c r="J392" s="37"/>
      <c r="K392" s="70"/>
      <c r="L392" s="70"/>
      <c r="M392" s="70"/>
      <c r="N392" s="70"/>
      <c r="O392" s="70"/>
    </row>
    <row r="393" spans="1:15" x14ac:dyDescent="0.25">
      <c r="A393" s="37"/>
      <c r="B393" s="37"/>
      <c r="C393" s="70"/>
      <c r="D393" s="37"/>
      <c r="E393" s="70"/>
      <c r="F393" s="70"/>
      <c r="G393" s="37"/>
      <c r="H393" s="70"/>
      <c r="I393" s="70"/>
      <c r="J393" s="37"/>
      <c r="K393" s="70"/>
      <c r="L393" s="70"/>
      <c r="M393" s="70"/>
      <c r="N393" s="70"/>
      <c r="O393" s="70"/>
    </row>
    <row r="394" spans="1:15" x14ac:dyDescent="0.25">
      <c r="A394" s="37"/>
      <c r="B394" s="37"/>
      <c r="C394" s="70"/>
      <c r="D394" s="37"/>
      <c r="E394" s="70"/>
      <c r="F394" s="70"/>
      <c r="G394" s="37"/>
      <c r="H394" s="70"/>
      <c r="I394" s="70"/>
      <c r="J394" s="37"/>
      <c r="K394" s="70"/>
      <c r="L394" s="70"/>
      <c r="M394" s="70"/>
      <c r="N394" s="70"/>
      <c r="O394" s="70"/>
    </row>
    <row r="395" spans="1:15" x14ac:dyDescent="0.25">
      <c r="A395" s="37"/>
      <c r="B395" s="37"/>
      <c r="C395" s="70"/>
      <c r="D395" s="37"/>
      <c r="E395" s="70"/>
      <c r="F395" s="70"/>
      <c r="G395" s="37"/>
      <c r="H395" s="70"/>
      <c r="I395" s="70"/>
      <c r="J395" s="37"/>
      <c r="K395" s="70"/>
      <c r="L395" s="70"/>
      <c r="M395" s="70"/>
      <c r="N395" s="70"/>
      <c r="O395" s="70"/>
    </row>
    <row r="396" spans="1:15" x14ac:dyDescent="0.25">
      <c r="A396" s="37"/>
      <c r="B396" s="37"/>
      <c r="C396" s="70"/>
      <c r="D396" s="37"/>
      <c r="E396" s="70"/>
      <c r="F396" s="70"/>
      <c r="G396" s="37"/>
      <c r="H396" s="70"/>
      <c r="I396" s="70"/>
      <c r="J396" s="37"/>
      <c r="K396" s="70"/>
      <c r="L396" s="70"/>
      <c r="M396" s="70"/>
      <c r="N396" s="70"/>
      <c r="O396" s="70"/>
    </row>
    <row r="397" spans="1:15" x14ac:dyDescent="0.25">
      <c r="A397" s="37"/>
      <c r="B397" s="37"/>
      <c r="C397" s="70"/>
      <c r="D397" s="37"/>
      <c r="E397" s="70"/>
      <c r="F397" s="70"/>
      <c r="G397" s="37"/>
      <c r="H397" s="70"/>
      <c r="I397" s="70"/>
      <c r="J397" s="37"/>
      <c r="K397" s="70"/>
      <c r="L397" s="70"/>
      <c r="M397" s="70"/>
      <c r="N397" s="70"/>
      <c r="O397" s="70"/>
    </row>
    <row r="398" spans="1:15" x14ac:dyDescent="0.25">
      <c r="A398" s="37"/>
      <c r="B398" s="37"/>
      <c r="C398" s="70"/>
      <c r="D398" s="37"/>
      <c r="E398" s="70"/>
      <c r="F398" s="70"/>
      <c r="G398" s="37"/>
      <c r="H398" s="70"/>
      <c r="I398" s="70"/>
      <c r="J398" s="37"/>
      <c r="K398" s="70"/>
      <c r="L398" s="70"/>
      <c r="M398" s="70"/>
      <c r="N398" s="70"/>
      <c r="O398" s="70"/>
    </row>
    <row r="399" spans="1:15" x14ac:dyDescent="0.25">
      <c r="A399" s="37"/>
      <c r="B399" s="37"/>
      <c r="C399" s="70"/>
      <c r="D399" s="37"/>
      <c r="E399" s="70"/>
      <c r="F399" s="70"/>
      <c r="G399" s="37"/>
      <c r="H399" s="70"/>
      <c r="I399" s="70"/>
      <c r="J399" s="37"/>
      <c r="K399" s="70"/>
      <c r="L399" s="70"/>
      <c r="M399" s="70"/>
      <c r="N399" s="70"/>
      <c r="O399" s="70"/>
    </row>
    <row r="400" spans="1:15" x14ac:dyDescent="0.25">
      <c r="A400" s="37"/>
      <c r="B400" s="37"/>
      <c r="C400" s="70"/>
      <c r="D400" s="37"/>
      <c r="E400" s="70"/>
      <c r="F400" s="70"/>
      <c r="G400" s="37"/>
      <c r="H400" s="70"/>
      <c r="I400" s="70"/>
      <c r="J400" s="37"/>
      <c r="K400" s="70"/>
      <c r="L400" s="70"/>
      <c r="M400" s="70"/>
      <c r="N400" s="70"/>
      <c r="O400" s="70"/>
    </row>
    <row r="401" spans="1:15" x14ac:dyDescent="0.25">
      <c r="A401" s="37"/>
      <c r="B401" s="37"/>
      <c r="C401" s="70"/>
      <c r="D401" s="37"/>
      <c r="E401" s="70"/>
      <c r="F401" s="70"/>
      <c r="G401" s="37"/>
      <c r="H401" s="70"/>
      <c r="I401" s="70"/>
      <c r="J401" s="37"/>
      <c r="K401" s="70"/>
      <c r="L401" s="70"/>
      <c r="M401" s="70"/>
      <c r="N401" s="70"/>
      <c r="O401" s="70"/>
    </row>
    <row r="402" spans="1:15" x14ac:dyDescent="0.25">
      <c r="A402" s="37"/>
      <c r="B402" s="37"/>
      <c r="C402" s="70"/>
      <c r="D402" s="37"/>
      <c r="E402" s="70"/>
      <c r="F402" s="70"/>
      <c r="G402" s="37"/>
      <c r="H402" s="70"/>
      <c r="I402" s="70"/>
      <c r="J402" s="37"/>
      <c r="K402" s="70"/>
      <c r="L402" s="70"/>
      <c r="M402" s="70"/>
      <c r="N402" s="70"/>
      <c r="O402" s="70"/>
    </row>
    <row r="403" spans="1:15" x14ac:dyDescent="0.25">
      <c r="A403" s="37"/>
      <c r="B403" s="37"/>
      <c r="C403" s="70"/>
      <c r="D403" s="37"/>
      <c r="E403" s="70"/>
      <c r="F403" s="70"/>
      <c r="G403" s="37"/>
      <c r="H403" s="70"/>
      <c r="I403" s="70"/>
      <c r="J403" s="37"/>
      <c r="K403" s="70"/>
      <c r="L403" s="70"/>
      <c r="M403" s="70"/>
      <c r="N403" s="70"/>
      <c r="O403" s="70"/>
    </row>
    <row r="404" spans="1:15" x14ac:dyDescent="0.25">
      <c r="A404" s="37"/>
      <c r="B404" s="37"/>
      <c r="C404" s="70"/>
      <c r="D404" s="37"/>
      <c r="E404" s="70"/>
      <c r="F404" s="70"/>
      <c r="G404" s="37"/>
      <c r="H404" s="70"/>
      <c r="I404" s="70"/>
      <c r="J404" s="37"/>
      <c r="K404" s="70"/>
      <c r="L404" s="70"/>
      <c r="M404" s="70"/>
      <c r="N404" s="70"/>
      <c r="O404" s="70"/>
    </row>
    <row r="405" spans="1:15" x14ac:dyDescent="0.25">
      <c r="A405" s="37"/>
      <c r="B405" s="37"/>
      <c r="C405" s="70"/>
      <c r="D405" s="37"/>
      <c r="E405" s="70"/>
      <c r="F405" s="70"/>
      <c r="G405" s="37"/>
      <c r="H405" s="70"/>
      <c r="I405" s="70"/>
      <c r="J405" s="37"/>
      <c r="K405" s="70"/>
      <c r="L405" s="70"/>
      <c r="M405" s="70"/>
      <c r="N405" s="70"/>
      <c r="O405" s="70"/>
    </row>
    <row r="406" spans="1:15" x14ac:dyDescent="0.25">
      <c r="A406" s="37"/>
      <c r="B406" s="37"/>
      <c r="C406" s="70"/>
      <c r="D406" s="37"/>
      <c r="E406" s="70"/>
      <c r="F406" s="70"/>
      <c r="G406" s="37"/>
      <c r="H406" s="70"/>
      <c r="I406" s="70"/>
      <c r="J406" s="37"/>
      <c r="K406" s="70"/>
      <c r="L406" s="70"/>
      <c r="M406" s="70"/>
      <c r="N406" s="70"/>
      <c r="O406" s="70"/>
    </row>
    <row r="407" spans="1:15" x14ac:dyDescent="0.25">
      <c r="A407" s="37"/>
      <c r="B407" s="37"/>
      <c r="C407" s="70"/>
      <c r="D407" s="37"/>
      <c r="E407" s="70"/>
      <c r="F407" s="70"/>
      <c r="G407" s="37"/>
      <c r="H407" s="70"/>
      <c r="I407" s="70"/>
      <c r="J407" s="37"/>
      <c r="K407" s="70"/>
      <c r="L407" s="70"/>
      <c r="M407" s="70"/>
      <c r="N407" s="70"/>
      <c r="O407" s="70"/>
    </row>
    <row r="408" spans="1:15" x14ac:dyDescent="0.25">
      <c r="A408" s="37"/>
      <c r="B408" s="37"/>
      <c r="C408" s="70"/>
      <c r="D408" s="37"/>
      <c r="E408" s="70"/>
      <c r="F408" s="70"/>
      <c r="G408" s="37"/>
      <c r="H408" s="70"/>
      <c r="I408" s="70"/>
      <c r="J408" s="37"/>
      <c r="K408" s="70"/>
      <c r="L408" s="70"/>
      <c r="M408" s="70"/>
      <c r="N408" s="70"/>
      <c r="O408" s="70"/>
    </row>
    <row r="409" spans="1:15" x14ac:dyDescent="0.25">
      <c r="A409" s="37"/>
      <c r="B409" s="37"/>
      <c r="C409" s="70"/>
      <c r="D409" s="37"/>
      <c r="E409" s="70"/>
      <c r="F409" s="70"/>
      <c r="G409" s="37"/>
      <c r="H409" s="70"/>
      <c r="I409" s="70"/>
      <c r="J409" s="37"/>
      <c r="K409" s="70"/>
      <c r="L409" s="70"/>
      <c r="M409" s="70"/>
      <c r="N409" s="70"/>
      <c r="O409" s="70"/>
    </row>
    <row r="410" spans="1:15" x14ac:dyDescent="0.25">
      <c r="A410" s="37"/>
      <c r="B410" s="37"/>
      <c r="C410" s="70"/>
      <c r="D410" s="37"/>
      <c r="E410" s="70"/>
      <c r="F410" s="70"/>
      <c r="G410" s="37"/>
      <c r="H410" s="70"/>
      <c r="I410" s="70"/>
      <c r="J410" s="37"/>
      <c r="K410" s="70"/>
      <c r="L410" s="70"/>
      <c r="M410" s="70"/>
      <c r="N410" s="70"/>
      <c r="O410" s="70"/>
    </row>
    <row r="411" spans="1:15" x14ac:dyDescent="0.25">
      <c r="A411" s="37"/>
      <c r="B411" s="37"/>
      <c r="C411" s="70"/>
      <c r="D411" s="37"/>
      <c r="E411" s="70"/>
      <c r="F411" s="70"/>
      <c r="G411" s="37"/>
      <c r="H411" s="70"/>
      <c r="I411" s="70"/>
      <c r="J411" s="37"/>
      <c r="K411" s="70"/>
      <c r="L411" s="70"/>
      <c r="M411" s="70"/>
      <c r="N411" s="70"/>
      <c r="O411" s="70"/>
    </row>
    <row r="412" spans="1:15" x14ac:dyDescent="0.25">
      <c r="A412" s="37"/>
      <c r="B412" s="37"/>
      <c r="C412" s="70"/>
      <c r="D412" s="37"/>
      <c r="E412" s="70"/>
      <c r="F412" s="70"/>
      <c r="G412" s="37"/>
      <c r="H412" s="70"/>
      <c r="I412" s="70"/>
      <c r="J412" s="37"/>
      <c r="K412" s="70"/>
      <c r="L412" s="70"/>
      <c r="M412" s="70"/>
      <c r="N412" s="70"/>
      <c r="O412" s="70"/>
    </row>
    <row r="413" spans="1:15" x14ac:dyDescent="0.25">
      <c r="A413" s="37"/>
      <c r="B413" s="37"/>
      <c r="C413" s="70"/>
      <c r="D413" s="37"/>
      <c r="E413" s="70"/>
      <c r="F413" s="70"/>
      <c r="G413" s="37"/>
      <c r="H413" s="70"/>
      <c r="I413" s="70"/>
      <c r="J413" s="37"/>
      <c r="K413" s="70"/>
      <c r="L413" s="70"/>
      <c r="M413" s="70"/>
      <c r="N413" s="70"/>
      <c r="O413" s="70"/>
    </row>
    <row r="414" spans="1:15" x14ac:dyDescent="0.25">
      <c r="A414" s="37"/>
      <c r="B414" s="37"/>
      <c r="C414" s="70"/>
      <c r="D414" s="37"/>
      <c r="E414" s="70"/>
      <c r="F414" s="70"/>
      <c r="G414" s="37"/>
      <c r="H414" s="70"/>
      <c r="I414" s="70"/>
      <c r="J414" s="37"/>
      <c r="K414" s="70"/>
      <c r="L414" s="70"/>
      <c r="M414" s="70"/>
      <c r="N414" s="70"/>
      <c r="O414" s="70"/>
    </row>
    <row r="415" spans="1:15" x14ac:dyDescent="0.25">
      <c r="A415" s="37"/>
      <c r="B415" s="37"/>
      <c r="C415" s="70"/>
      <c r="D415" s="37"/>
      <c r="E415" s="70"/>
      <c r="F415" s="70"/>
      <c r="G415" s="37"/>
      <c r="H415" s="70"/>
      <c r="I415" s="70"/>
      <c r="J415" s="37"/>
      <c r="K415" s="70"/>
      <c r="L415" s="70"/>
      <c r="M415" s="70"/>
      <c r="N415" s="70"/>
      <c r="O415" s="70"/>
    </row>
    <row r="416" spans="1:15" x14ac:dyDescent="0.25">
      <c r="A416" s="37"/>
      <c r="B416" s="37"/>
      <c r="C416" s="70"/>
      <c r="D416" s="37"/>
      <c r="E416" s="70"/>
      <c r="F416" s="70"/>
      <c r="G416" s="37"/>
      <c r="H416" s="70"/>
      <c r="I416" s="70"/>
      <c r="J416" s="37"/>
      <c r="K416" s="70"/>
      <c r="L416" s="70"/>
      <c r="M416" s="70"/>
      <c r="N416" s="70"/>
      <c r="O416" s="70"/>
    </row>
    <row r="417" spans="1:15" x14ac:dyDescent="0.25">
      <c r="A417" s="37"/>
      <c r="B417" s="37"/>
      <c r="C417" s="70"/>
      <c r="D417" s="37"/>
      <c r="E417" s="70"/>
      <c r="F417" s="70"/>
      <c r="G417" s="37"/>
      <c r="H417" s="70"/>
      <c r="I417" s="70"/>
      <c r="J417" s="37"/>
      <c r="K417" s="70"/>
      <c r="L417" s="70"/>
      <c r="M417" s="70"/>
      <c r="N417" s="70"/>
      <c r="O417" s="70"/>
    </row>
    <row r="418" spans="1:15" x14ac:dyDescent="0.25">
      <c r="A418" s="37"/>
      <c r="B418" s="37"/>
      <c r="C418" s="70"/>
      <c r="D418" s="37"/>
      <c r="E418" s="70"/>
      <c r="F418" s="70"/>
      <c r="G418" s="37"/>
      <c r="H418" s="70"/>
      <c r="I418" s="70"/>
      <c r="J418" s="37"/>
      <c r="K418" s="70"/>
      <c r="L418" s="70"/>
      <c r="M418" s="70"/>
      <c r="N418" s="70"/>
      <c r="O418" s="70"/>
    </row>
    <row r="419" spans="1:15" x14ac:dyDescent="0.25">
      <c r="A419" s="37"/>
      <c r="B419" s="37"/>
      <c r="C419" s="70"/>
      <c r="D419" s="37"/>
      <c r="E419" s="70"/>
      <c r="F419" s="70"/>
      <c r="G419" s="37"/>
      <c r="H419" s="70"/>
      <c r="I419" s="70"/>
      <c r="J419" s="37"/>
      <c r="K419" s="70"/>
      <c r="L419" s="70"/>
      <c r="M419" s="70"/>
      <c r="N419" s="70"/>
      <c r="O419" s="70"/>
    </row>
    <row r="420" spans="1:15" x14ac:dyDescent="0.25">
      <c r="A420" s="37"/>
      <c r="B420" s="37"/>
      <c r="C420" s="70"/>
      <c r="D420" s="37"/>
      <c r="E420" s="70"/>
      <c r="F420" s="70"/>
      <c r="G420" s="37"/>
      <c r="H420" s="70"/>
      <c r="I420" s="70"/>
      <c r="J420" s="37"/>
      <c r="K420" s="70"/>
      <c r="L420" s="70"/>
      <c r="M420" s="70"/>
      <c r="N420" s="70"/>
      <c r="O420" s="70"/>
    </row>
    <row r="421" spans="1:15" x14ac:dyDescent="0.25">
      <c r="A421" s="37"/>
      <c r="B421" s="37"/>
      <c r="C421" s="70"/>
      <c r="D421" s="37"/>
      <c r="E421" s="70"/>
      <c r="F421" s="70"/>
      <c r="G421" s="37"/>
      <c r="H421" s="70"/>
      <c r="I421" s="70"/>
      <c r="J421" s="37"/>
      <c r="K421" s="70"/>
      <c r="L421" s="70"/>
      <c r="M421" s="70"/>
      <c r="N421" s="70"/>
      <c r="O421" s="70"/>
    </row>
    <row r="422" spans="1:15" x14ac:dyDescent="0.25">
      <c r="A422" s="37"/>
      <c r="B422" s="37"/>
      <c r="C422" s="70"/>
      <c r="D422" s="37"/>
      <c r="E422" s="70"/>
      <c r="F422" s="70"/>
      <c r="G422" s="37"/>
      <c r="H422" s="70"/>
      <c r="I422" s="70"/>
      <c r="J422" s="37"/>
      <c r="K422" s="70"/>
      <c r="L422" s="70"/>
      <c r="M422" s="70"/>
      <c r="N422" s="70"/>
      <c r="O422" s="70"/>
    </row>
    <row r="423" spans="1:15" x14ac:dyDescent="0.25">
      <c r="A423" s="37"/>
      <c r="B423" s="37"/>
      <c r="C423" s="70"/>
      <c r="D423" s="37"/>
      <c r="E423" s="70"/>
      <c r="F423" s="70"/>
      <c r="G423" s="37"/>
      <c r="H423" s="70"/>
      <c r="I423" s="70"/>
      <c r="J423" s="37"/>
      <c r="K423" s="70"/>
      <c r="L423" s="70"/>
      <c r="M423" s="70"/>
      <c r="N423" s="70"/>
      <c r="O423" s="70"/>
    </row>
    <row r="424" spans="1:15" x14ac:dyDescent="0.25">
      <c r="A424" s="37"/>
      <c r="B424" s="37"/>
      <c r="C424" s="70"/>
      <c r="D424" s="37"/>
      <c r="E424" s="70"/>
      <c r="F424" s="70"/>
      <c r="G424" s="37"/>
      <c r="H424" s="70"/>
      <c r="I424" s="70"/>
      <c r="J424" s="37"/>
      <c r="K424" s="70"/>
      <c r="L424" s="70"/>
      <c r="M424" s="70"/>
      <c r="N424" s="70"/>
      <c r="O424" s="70"/>
    </row>
    <row r="425" spans="1:15" x14ac:dyDescent="0.25">
      <c r="A425" s="37"/>
      <c r="B425" s="37"/>
      <c r="C425" s="70"/>
      <c r="D425" s="37"/>
      <c r="E425" s="70"/>
      <c r="F425" s="70"/>
      <c r="G425" s="37"/>
      <c r="H425" s="70"/>
      <c r="I425" s="70"/>
      <c r="J425" s="37"/>
      <c r="K425" s="70"/>
      <c r="L425" s="70"/>
      <c r="M425" s="70"/>
      <c r="N425" s="70"/>
      <c r="O425" s="70"/>
    </row>
    <row r="426" spans="1:15" x14ac:dyDescent="0.25">
      <c r="A426" s="37"/>
      <c r="B426" s="37"/>
      <c r="C426" s="70"/>
      <c r="D426" s="37"/>
      <c r="E426" s="70"/>
      <c r="F426" s="70"/>
      <c r="G426" s="37"/>
      <c r="H426" s="70"/>
      <c r="I426" s="70"/>
      <c r="J426" s="37"/>
      <c r="K426" s="70"/>
      <c r="L426" s="70"/>
      <c r="M426" s="70"/>
      <c r="N426" s="70"/>
      <c r="O426" s="70"/>
    </row>
    <row r="427" spans="1:15" x14ac:dyDescent="0.25">
      <c r="A427" s="37"/>
      <c r="B427" s="37"/>
      <c r="C427" s="70"/>
      <c r="D427" s="37"/>
      <c r="E427" s="70"/>
      <c r="F427" s="70"/>
      <c r="G427" s="37"/>
      <c r="H427" s="70"/>
      <c r="I427" s="70"/>
      <c r="J427" s="37"/>
      <c r="K427" s="70"/>
      <c r="L427" s="70"/>
      <c r="M427" s="70"/>
      <c r="N427" s="70"/>
      <c r="O427" s="70"/>
    </row>
    <row r="428" spans="1:15" x14ac:dyDescent="0.25">
      <c r="A428" s="37"/>
      <c r="B428" s="37"/>
      <c r="C428" s="70"/>
      <c r="D428" s="37"/>
      <c r="E428" s="70"/>
      <c r="F428" s="70"/>
      <c r="G428" s="37"/>
      <c r="H428" s="70"/>
      <c r="I428" s="70"/>
      <c r="J428" s="37"/>
      <c r="K428" s="70"/>
      <c r="L428" s="70"/>
      <c r="M428" s="70"/>
      <c r="N428" s="70"/>
      <c r="O428" s="70"/>
    </row>
    <row r="429" spans="1:15" x14ac:dyDescent="0.25">
      <c r="A429" s="37"/>
      <c r="B429" s="37"/>
      <c r="C429" s="70"/>
      <c r="D429" s="37"/>
      <c r="E429" s="70"/>
      <c r="F429" s="70"/>
      <c r="G429" s="37"/>
      <c r="H429" s="70"/>
      <c r="I429" s="70"/>
      <c r="J429" s="37"/>
      <c r="K429" s="70"/>
      <c r="L429" s="70"/>
      <c r="M429" s="70"/>
      <c r="N429" s="70"/>
      <c r="O429" s="70"/>
    </row>
    <row r="430" spans="1:15" x14ac:dyDescent="0.25">
      <c r="A430" s="37"/>
      <c r="B430" s="37"/>
      <c r="C430" s="70"/>
      <c r="D430" s="37"/>
      <c r="E430" s="70"/>
      <c r="F430" s="70"/>
      <c r="G430" s="37"/>
      <c r="H430" s="70"/>
      <c r="I430" s="70"/>
      <c r="J430" s="37"/>
      <c r="K430" s="70"/>
      <c r="L430" s="70"/>
      <c r="M430" s="70"/>
      <c r="N430" s="70"/>
      <c r="O430" s="70"/>
    </row>
    <row r="431" spans="1:15" x14ac:dyDescent="0.25">
      <c r="A431" s="37"/>
      <c r="B431" s="37"/>
      <c r="C431" s="70"/>
      <c r="D431" s="37"/>
      <c r="E431" s="70"/>
      <c r="F431" s="70"/>
      <c r="G431" s="37"/>
      <c r="H431" s="70"/>
      <c r="I431" s="70"/>
      <c r="J431" s="37"/>
      <c r="K431" s="70"/>
      <c r="L431" s="70"/>
      <c r="M431" s="70"/>
      <c r="N431" s="70"/>
      <c r="O431" s="70"/>
    </row>
    <row r="432" spans="1:15" x14ac:dyDescent="0.25">
      <c r="A432" s="37"/>
      <c r="B432" s="37"/>
      <c r="C432" s="70"/>
      <c r="D432" s="37"/>
      <c r="E432" s="70"/>
      <c r="F432" s="70"/>
      <c r="G432" s="37"/>
      <c r="H432" s="70"/>
      <c r="I432" s="70"/>
      <c r="J432" s="37"/>
      <c r="K432" s="70"/>
      <c r="L432" s="70"/>
      <c r="M432" s="70"/>
      <c r="N432" s="70"/>
      <c r="O432" s="70"/>
    </row>
    <row r="433" spans="1:15" x14ac:dyDescent="0.25">
      <c r="A433" s="37"/>
      <c r="B433" s="37"/>
      <c r="C433" s="70"/>
      <c r="D433" s="37"/>
      <c r="E433" s="70"/>
      <c r="F433" s="70"/>
      <c r="G433" s="37"/>
      <c r="H433" s="70"/>
      <c r="I433" s="70"/>
      <c r="J433" s="37"/>
      <c r="K433" s="70"/>
      <c r="L433" s="70"/>
      <c r="M433" s="70"/>
      <c r="N433" s="70"/>
      <c r="O433" s="70"/>
    </row>
    <row r="434" spans="1:15" x14ac:dyDescent="0.25">
      <c r="A434" s="37"/>
      <c r="B434" s="37"/>
      <c r="C434" s="70"/>
      <c r="D434" s="37"/>
      <c r="E434" s="70"/>
      <c r="F434" s="70"/>
      <c r="G434" s="37"/>
      <c r="H434" s="70"/>
      <c r="I434" s="70"/>
      <c r="J434" s="37"/>
      <c r="K434" s="70"/>
      <c r="L434" s="70"/>
      <c r="M434" s="70"/>
      <c r="N434" s="70"/>
      <c r="O434" s="70"/>
    </row>
    <row r="435" spans="1:15" x14ac:dyDescent="0.25">
      <c r="A435" s="37"/>
      <c r="B435" s="37"/>
      <c r="C435" s="70"/>
      <c r="D435" s="37"/>
      <c r="E435" s="70"/>
      <c r="F435" s="70"/>
      <c r="G435" s="37"/>
      <c r="H435" s="70"/>
      <c r="I435" s="70"/>
      <c r="J435" s="37"/>
      <c r="K435" s="70"/>
      <c r="L435" s="70"/>
      <c r="M435" s="70"/>
      <c r="N435" s="70"/>
      <c r="O435" s="70"/>
    </row>
    <row r="436" spans="1:15" x14ac:dyDescent="0.25">
      <c r="A436" s="37"/>
      <c r="B436" s="37"/>
      <c r="C436" s="70"/>
      <c r="D436" s="37"/>
      <c r="E436" s="70"/>
      <c r="F436" s="70"/>
      <c r="G436" s="37"/>
      <c r="H436" s="70"/>
      <c r="I436" s="70"/>
      <c r="J436" s="37"/>
      <c r="K436" s="70"/>
      <c r="L436" s="70"/>
      <c r="M436" s="70"/>
      <c r="N436" s="70"/>
      <c r="O436" s="70"/>
    </row>
    <row r="437" spans="1:15" x14ac:dyDescent="0.25">
      <c r="A437" s="37"/>
      <c r="B437" s="37"/>
      <c r="C437" s="70"/>
      <c r="D437" s="37"/>
      <c r="E437" s="70"/>
      <c r="F437" s="70"/>
      <c r="G437" s="37"/>
      <c r="H437" s="70"/>
      <c r="I437" s="70"/>
      <c r="J437" s="37"/>
      <c r="K437" s="70"/>
      <c r="L437" s="70"/>
      <c r="M437" s="70"/>
      <c r="N437" s="70"/>
      <c r="O437" s="70"/>
    </row>
    <row r="438" spans="1:15" x14ac:dyDescent="0.25">
      <c r="A438" s="37"/>
      <c r="B438" s="37"/>
      <c r="C438" s="70"/>
      <c r="D438" s="37"/>
      <c r="E438" s="70"/>
      <c r="F438" s="70"/>
      <c r="G438" s="37"/>
      <c r="H438" s="70"/>
      <c r="I438" s="70"/>
      <c r="J438" s="37"/>
      <c r="K438" s="70"/>
      <c r="L438" s="70"/>
      <c r="M438" s="70"/>
      <c r="N438" s="70"/>
      <c r="O438" s="70"/>
    </row>
    <row r="439" spans="1:15" x14ac:dyDescent="0.25">
      <c r="A439" s="37"/>
      <c r="B439" s="37"/>
      <c r="C439" s="70"/>
      <c r="D439" s="37"/>
      <c r="E439" s="70"/>
      <c r="F439" s="70"/>
      <c r="G439" s="37"/>
      <c r="H439" s="70"/>
      <c r="I439" s="70"/>
      <c r="J439" s="37"/>
      <c r="K439" s="70"/>
      <c r="L439" s="70"/>
      <c r="M439" s="70"/>
      <c r="N439" s="70"/>
      <c r="O439" s="70"/>
    </row>
    <row r="440" spans="1:15" x14ac:dyDescent="0.25">
      <c r="A440" s="37"/>
      <c r="B440" s="37"/>
      <c r="C440" s="70"/>
      <c r="D440" s="37"/>
      <c r="E440" s="70"/>
      <c r="F440" s="70"/>
      <c r="G440" s="37"/>
      <c r="H440" s="70"/>
      <c r="I440" s="70"/>
      <c r="J440" s="37"/>
      <c r="K440" s="70"/>
      <c r="L440" s="70"/>
      <c r="M440" s="70"/>
      <c r="N440" s="70"/>
      <c r="O440" s="70"/>
    </row>
    <row r="441" spans="1:15" x14ac:dyDescent="0.25">
      <c r="A441" s="37"/>
      <c r="B441" s="37"/>
      <c r="C441" s="70"/>
      <c r="D441" s="37"/>
      <c r="E441" s="70"/>
      <c r="F441" s="70"/>
      <c r="G441" s="37"/>
      <c r="H441" s="70"/>
      <c r="I441" s="70"/>
      <c r="J441" s="37"/>
      <c r="K441" s="70"/>
      <c r="L441" s="70"/>
      <c r="M441" s="70"/>
      <c r="N441" s="70"/>
      <c r="O441" s="70"/>
    </row>
    <row r="442" spans="1:15" x14ac:dyDescent="0.25">
      <c r="A442" s="37"/>
      <c r="B442" s="37"/>
      <c r="C442" s="70"/>
      <c r="D442" s="37"/>
      <c r="E442" s="70"/>
      <c r="F442" s="70"/>
      <c r="G442" s="37"/>
      <c r="H442" s="70"/>
      <c r="I442" s="70"/>
      <c r="J442" s="37"/>
      <c r="K442" s="70"/>
      <c r="L442" s="70"/>
      <c r="M442" s="70"/>
      <c r="N442" s="70"/>
      <c r="O442" s="70"/>
    </row>
    <row r="443" spans="1:15" x14ac:dyDescent="0.25">
      <c r="A443" s="37"/>
      <c r="B443" s="37"/>
      <c r="C443" s="70"/>
      <c r="D443" s="37"/>
      <c r="E443" s="70"/>
      <c r="F443" s="70"/>
      <c r="G443" s="37"/>
      <c r="H443" s="70"/>
      <c r="I443" s="70"/>
      <c r="J443" s="37"/>
      <c r="K443" s="70"/>
      <c r="L443" s="70"/>
      <c r="M443" s="70"/>
      <c r="N443" s="70"/>
      <c r="O443" s="70"/>
    </row>
    <row r="444" spans="1:15" x14ac:dyDescent="0.25">
      <c r="A444" s="37"/>
      <c r="B444" s="37"/>
      <c r="C444" s="70"/>
      <c r="D444" s="37"/>
      <c r="E444" s="70"/>
      <c r="F444" s="70"/>
      <c r="G444" s="37"/>
      <c r="H444" s="70"/>
      <c r="I444" s="70"/>
      <c r="J444" s="37"/>
      <c r="K444" s="70"/>
      <c r="L444" s="70"/>
      <c r="M444" s="70"/>
      <c r="N444" s="70"/>
      <c r="O444" s="70"/>
    </row>
    <row r="445" spans="1:15" x14ac:dyDescent="0.25">
      <c r="A445" s="37"/>
      <c r="B445" s="37"/>
      <c r="C445" s="70"/>
      <c r="D445" s="37"/>
      <c r="E445" s="70"/>
      <c r="F445" s="70"/>
      <c r="G445" s="37"/>
      <c r="H445" s="70"/>
      <c r="I445" s="70"/>
      <c r="J445" s="37"/>
      <c r="K445" s="70"/>
      <c r="L445" s="70"/>
      <c r="M445" s="70"/>
      <c r="N445" s="70"/>
      <c r="O445" s="70"/>
    </row>
    <row r="446" spans="1:15" x14ac:dyDescent="0.25">
      <c r="A446" s="37"/>
      <c r="B446" s="37"/>
      <c r="C446" s="70"/>
      <c r="D446" s="37"/>
      <c r="E446" s="70"/>
      <c r="F446" s="70"/>
      <c r="G446" s="37"/>
      <c r="H446" s="70"/>
      <c r="I446" s="70"/>
      <c r="J446" s="37"/>
      <c r="K446" s="70"/>
      <c r="L446" s="70"/>
      <c r="M446" s="70"/>
      <c r="N446" s="70"/>
      <c r="O446" s="70"/>
    </row>
    <row r="447" spans="1:15" x14ac:dyDescent="0.25">
      <c r="A447" s="37"/>
      <c r="B447" s="37"/>
      <c r="C447" s="70"/>
      <c r="D447" s="37"/>
      <c r="E447" s="70"/>
      <c r="F447" s="70"/>
      <c r="G447" s="37"/>
      <c r="H447" s="70"/>
      <c r="I447" s="70"/>
      <c r="J447" s="37"/>
      <c r="K447" s="70"/>
      <c r="L447" s="70"/>
      <c r="M447" s="70"/>
      <c r="N447" s="70"/>
      <c r="O447" s="70"/>
    </row>
    <row r="448" spans="1:15" x14ac:dyDescent="0.25">
      <c r="A448" s="37"/>
      <c r="B448" s="37"/>
      <c r="C448" s="70"/>
      <c r="D448" s="37"/>
      <c r="E448" s="70"/>
      <c r="F448" s="70"/>
      <c r="G448" s="37"/>
      <c r="H448" s="70"/>
      <c r="I448" s="70"/>
      <c r="J448" s="37"/>
      <c r="K448" s="70"/>
      <c r="L448" s="70"/>
      <c r="M448" s="70"/>
      <c r="N448" s="70"/>
      <c r="O448" s="70"/>
    </row>
    <row r="449" spans="1:15" x14ac:dyDescent="0.25">
      <c r="A449" s="37"/>
      <c r="B449" s="37"/>
      <c r="C449" s="70"/>
      <c r="D449" s="37"/>
      <c r="E449" s="70"/>
      <c r="F449" s="70"/>
      <c r="G449" s="37"/>
      <c r="H449" s="70"/>
      <c r="I449" s="70"/>
      <c r="J449" s="37"/>
      <c r="K449" s="70"/>
      <c r="L449" s="70"/>
      <c r="M449" s="70"/>
      <c r="N449" s="70"/>
      <c r="O449" s="70"/>
    </row>
    <row r="450" spans="1:15" x14ac:dyDescent="0.25">
      <c r="A450" s="37"/>
      <c r="B450" s="37"/>
      <c r="C450" s="70"/>
      <c r="D450" s="37"/>
      <c r="E450" s="70"/>
      <c r="F450" s="70"/>
      <c r="G450" s="37"/>
      <c r="H450" s="70"/>
      <c r="I450" s="70"/>
      <c r="J450" s="37"/>
      <c r="K450" s="70"/>
      <c r="L450" s="70"/>
      <c r="M450" s="70"/>
      <c r="N450" s="70"/>
      <c r="O450" s="70"/>
    </row>
    <row r="451" spans="1:15" x14ac:dyDescent="0.25">
      <c r="A451" s="37"/>
      <c r="B451" s="37"/>
      <c r="C451" s="70"/>
      <c r="D451" s="37"/>
      <c r="E451" s="70"/>
      <c r="F451" s="70"/>
      <c r="G451" s="37"/>
      <c r="H451" s="70"/>
      <c r="I451" s="70"/>
      <c r="J451" s="37"/>
      <c r="K451" s="70"/>
      <c r="L451" s="70"/>
      <c r="M451" s="70"/>
      <c r="N451" s="70"/>
      <c r="O451" s="70"/>
    </row>
    <row r="452" spans="1:15" x14ac:dyDescent="0.25">
      <c r="A452" s="37"/>
      <c r="B452" s="37"/>
      <c r="C452" s="70"/>
      <c r="D452" s="37"/>
      <c r="E452" s="70"/>
      <c r="F452" s="70"/>
      <c r="G452" s="37"/>
      <c r="H452" s="70"/>
      <c r="I452" s="70"/>
      <c r="J452" s="37"/>
      <c r="K452" s="70"/>
      <c r="L452" s="70"/>
      <c r="M452" s="70"/>
      <c r="N452" s="70"/>
      <c r="O452" s="70"/>
    </row>
    <row r="453" spans="1:15" x14ac:dyDescent="0.25">
      <c r="A453" s="37"/>
      <c r="B453" s="37"/>
      <c r="C453" s="70"/>
      <c r="D453" s="37"/>
      <c r="E453" s="70"/>
      <c r="F453" s="70"/>
      <c r="G453" s="37"/>
      <c r="H453" s="70"/>
      <c r="I453" s="70"/>
      <c r="J453" s="37"/>
      <c r="K453" s="70"/>
      <c r="L453" s="70"/>
      <c r="M453" s="70"/>
      <c r="N453" s="70"/>
      <c r="O453" s="70"/>
    </row>
    <row r="454" spans="1:15" x14ac:dyDescent="0.25">
      <c r="A454" s="37"/>
      <c r="B454" s="37"/>
      <c r="C454" s="70"/>
      <c r="D454" s="37"/>
      <c r="E454" s="70"/>
      <c r="F454" s="70"/>
      <c r="G454" s="37"/>
      <c r="H454" s="70"/>
      <c r="I454" s="70"/>
      <c r="J454" s="37"/>
      <c r="K454" s="70"/>
      <c r="L454" s="70"/>
      <c r="M454" s="70"/>
      <c r="N454" s="70"/>
      <c r="O454" s="70"/>
    </row>
    <row r="455" spans="1:15" x14ac:dyDescent="0.25">
      <c r="A455" s="37"/>
      <c r="B455" s="37"/>
      <c r="C455" s="70"/>
      <c r="D455" s="37"/>
      <c r="E455" s="70"/>
      <c r="F455" s="70"/>
      <c r="G455" s="37"/>
      <c r="H455" s="70"/>
      <c r="I455" s="70"/>
      <c r="J455" s="37"/>
      <c r="K455" s="70"/>
      <c r="L455" s="70"/>
      <c r="M455" s="70"/>
      <c r="N455" s="70"/>
      <c r="O455" s="70"/>
    </row>
    <row r="456" spans="1:15" x14ac:dyDescent="0.25">
      <c r="A456" s="37"/>
      <c r="B456" s="37"/>
      <c r="C456" s="70"/>
      <c r="D456" s="37"/>
      <c r="E456" s="70"/>
      <c r="F456" s="70"/>
      <c r="G456" s="37"/>
      <c r="H456" s="70"/>
      <c r="I456" s="70"/>
      <c r="J456" s="37"/>
      <c r="K456" s="70"/>
      <c r="L456" s="70"/>
      <c r="M456" s="70"/>
      <c r="N456" s="70"/>
      <c r="O456" s="70"/>
    </row>
    <row r="457" spans="1:15" x14ac:dyDescent="0.25">
      <c r="A457" s="37"/>
      <c r="B457" s="37"/>
      <c r="C457" s="70"/>
      <c r="D457" s="37"/>
      <c r="E457" s="70"/>
      <c r="F457" s="70"/>
      <c r="G457" s="37"/>
      <c r="H457" s="70"/>
      <c r="I457" s="70"/>
      <c r="J457" s="37"/>
      <c r="K457" s="70"/>
      <c r="L457" s="70"/>
      <c r="M457" s="70"/>
      <c r="N457" s="70"/>
      <c r="O457" s="70"/>
    </row>
    <row r="458" spans="1:15" x14ac:dyDescent="0.25">
      <c r="A458" s="37"/>
      <c r="B458" s="37"/>
      <c r="C458" s="70"/>
      <c r="D458" s="37"/>
      <c r="E458" s="70"/>
      <c r="F458" s="70"/>
      <c r="G458" s="37"/>
      <c r="H458" s="70"/>
      <c r="I458" s="70"/>
      <c r="J458" s="37"/>
      <c r="K458" s="70"/>
      <c r="L458" s="70"/>
      <c r="M458" s="70"/>
      <c r="N458" s="70"/>
      <c r="O458" s="70"/>
    </row>
    <row r="459" spans="1:15" x14ac:dyDescent="0.25">
      <c r="A459" s="37"/>
      <c r="B459" s="37"/>
      <c r="C459" s="70"/>
      <c r="D459" s="37"/>
      <c r="E459" s="70"/>
      <c r="F459" s="70"/>
      <c r="G459" s="37"/>
      <c r="H459" s="70"/>
      <c r="I459" s="70"/>
      <c r="J459" s="37"/>
      <c r="K459" s="70"/>
      <c r="L459" s="70"/>
      <c r="M459" s="70"/>
      <c r="N459" s="70"/>
      <c r="O459" s="70"/>
    </row>
    <row r="460" spans="1:15" x14ac:dyDescent="0.25">
      <c r="A460" s="37"/>
      <c r="B460" s="37"/>
      <c r="C460" s="70"/>
      <c r="D460" s="37"/>
      <c r="E460" s="70"/>
      <c r="F460" s="70"/>
      <c r="G460" s="37"/>
      <c r="H460" s="70"/>
      <c r="I460" s="70"/>
      <c r="J460" s="37"/>
      <c r="K460" s="70"/>
      <c r="L460" s="70"/>
      <c r="M460" s="70"/>
      <c r="N460" s="70"/>
      <c r="O460" s="70"/>
    </row>
    <row r="461" spans="1:15" x14ac:dyDescent="0.25">
      <c r="A461" s="37"/>
      <c r="B461" s="37"/>
      <c r="C461" s="70"/>
      <c r="D461" s="37"/>
      <c r="E461" s="70"/>
      <c r="F461" s="70"/>
      <c r="G461" s="37"/>
      <c r="H461" s="70"/>
      <c r="I461" s="70"/>
      <c r="J461" s="37"/>
      <c r="K461" s="70"/>
      <c r="L461" s="70"/>
      <c r="M461" s="70"/>
      <c r="N461" s="70"/>
      <c r="O461" s="70"/>
    </row>
    <row r="462" spans="1:15" x14ac:dyDescent="0.25">
      <c r="A462" s="37"/>
      <c r="B462" s="37"/>
      <c r="C462" s="70"/>
      <c r="D462" s="37"/>
      <c r="E462" s="70"/>
      <c r="F462" s="70"/>
      <c r="G462" s="37"/>
      <c r="H462" s="70"/>
      <c r="I462" s="70"/>
      <c r="J462" s="37"/>
      <c r="K462" s="70"/>
      <c r="L462" s="70"/>
      <c r="M462" s="70"/>
      <c r="N462" s="70"/>
      <c r="O462" s="70"/>
    </row>
    <row r="463" spans="1:15" x14ac:dyDescent="0.25">
      <c r="A463" s="37"/>
      <c r="B463" s="37"/>
      <c r="C463" s="70"/>
      <c r="D463" s="37"/>
      <c r="E463" s="70"/>
      <c r="F463" s="70"/>
      <c r="G463" s="37"/>
      <c r="H463" s="70"/>
      <c r="I463" s="70"/>
      <c r="J463" s="37"/>
      <c r="K463" s="70"/>
      <c r="L463" s="70"/>
      <c r="M463" s="70"/>
      <c r="N463" s="70"/>
      <c r="O463" s="70"/>
    </row>
    <row r="464" spans="1:15" x14ac:dyDescent="0.25">
      <c r="A464" s="37"/>
      <c r="B464" s="37"/>
      <c r="C464" s="70"/>
      <c r="D464" s="37"/>
      <c r="E464" s="70"/>
      <c r="F464" s="70"/>
      <c r="G464" s="37"/>
      <c r="H464" s="70"/>
      <c r="I464" s="70"/>
      <c r="J464" s="37"/>
      <c r="K464" s="70"/>
      <c r="L464" s="70"/>
      <c r="M464" s="70"/>
      <c r="N464" s="70"/>
      <c r="O464" s="70"/>
    </row>
    <row r="465" spans="1:15" x14ac:dyDescent="0.25">
      <c r="A465" s="37"/>
      <c r="B465" s="37"/>
      <c r="C465" s="70"/>
      <c r="D465" s="37"/>
      <c r="E465" s="70"/>
      <c r="F465" s="70"/>
      <c r="G465" s="37"/>
      <c r="H465" s="70"/>
      <c r="I465" s="70"/>
      <c r="J465" s="37"/>
      <c r="K465" s="70"/>
      <c r="L465" s="70"/>
      <c r="M465" s="70"/>
      <c r="N465" s="70"/>
      <c r="O465" s="70"/>
    </row>
    <row r="466" spans="1:15" x14ac:dyDescent="0.25">
      <c r="A466" s="37"/>
      <c r="B466" s="37"/>
      <c r="C466" s="70"/>
      <c r="D466" s="37"/>
      <c r="E466" s="70"/>
      <c r="F466" s="70"/>
      <c r="G466" s="37"/>
      <c r="H466" s="70"/>
      <c r="I466" s="70"/>
      <c r="J466" s="37"/>
      <c r="K466" s="70"/>
      <c r="L466" s="70"/>
      <c r="M466" s="70"/>
      <c r="N466" s="70"/>
      <c r="O466" s="70"/>
    </row>
    <row r="467" spans="1:15" x14ac:dyDescent="0.25">
      <c r="A467" s="37"/>
      <c r="B467" s="37"/>
      <c r="C467" s="70"/>
      <c r="D467" s="37"/>
      <c r="E467" s="70"/>
      <c r="F467" s="70"/>
      <c r="G467" s="37"/>
      <c r="H467" s="70"/>
      <c r="I467" s="70"/>
      <c r="J467" s="37"/>
      <c r="K467" s="70"/>
      <c r="L467" s="70"/>
      <c r="M467" s="70"/>
      <c r="N467" s="70"/>
      <c r="O467" s="70"/>
    </row>
    <row r="468" spans="1:15" x14ac:dyDescent="0.25">
      <c r="A468" s="37"/>
      <c r="B468" s="37"/>
      <c r="C468" s="70"/>
      <c r="D468" s="37"/>
      <c r="E468" s="70"/>
      <c r="F468" s="70"/>
      <c r="G468" s="37"/>
      <c r="H468" s="70"/>
      <c r="I468" s="70"/>
      <c r="J468" s="37"/>
      <c r="K468" s="70"/>
      <c r="L468" s="70"/>
      <c r="M468" s="70"/>
      <c r="N468" s="70"/>
      <c r="O468" s="70"/>
    </row>
    <row r="469" spans="1:15" x14ac:dyDescent="0.25">
      <c r="A469" s="37"/>
      <c r="B469" s="37"/>
      <c r="C469" s="70"/>
      <c r="D469" s="37"/>
      <c r="E469" s="70"/>
      <c r="F469" s="70"/>
      <c r="G469" s="37"/>
      <c r="H469" s="70"/>
      <c r="I469" s="70"/>
      <c r="J469" s="37"/>
      <c r="K469" s="70"/>
      <c r="L469" s="70"/>
      <c r="M469" s="70"/>
      <c r="N469" s="70"/>
      <c r="O469" s="70"/>
    </row>
    <row r="470" spans="1:15" x14ac:dyDescent="0.25">
      <c r="A470" s="37"/>
      <c r="B470" s="37"/>
      <c r="C470" s="70"/>
      <c r="D470" s="37"/>
      <c r="E470" s="70"/>
      <c r="F470" s="70"/>
      <c r="G470" s="37"/>
      <c r="H470" s="70"/>
      <c r="I470" s="70"/>
      <c r="J470" s="37"/>
      <c r="K470" s="70"/>
      <c r="L470" s="70"/>
      <c r="M470" s="70"/>
      <c r="N470" s="70"/>
      <c r="O470" s="70"/>
    </row>
    <row r="471" spans="1:15" x14ac:dyDescent="0.25">
      <c r="A471" s="37"/>
      <c r="B471" s="37"/>
      <c r="C471" s="70"/>
      <c r="D471" s="37"/>
      <c r="E471" s="70"/>
      <c r="F471" s="70"/>
      <c r="G471" s="37"/>
      <c r="H471" s="70"/>
      <c r="I471" s="70"/>
      <c r="J471" s="37"/>
      <c r="K471" s="70"/>
      <c r="L471" s="70"/>
      <c r="M471" s="70"/>
      <c r="N471" s="70"/>
      <c r="O471" s="70"/>
    </row>
    <row r="472" spans="1:15" x14ac:dyDescent="0.25">
      <c r="A472" s="37"/>
      <c r="B472" s="37"/>
      <c r="C472" s="70"/>
      <c r="D472" s="37"/>
      <c r="E472" s="70"/>
      <c r="F472" s="70"/>
      <c r="G472" s="37"/>
      <c r="H472" s="70"/>
      <c r="I472" s="70"/>
      <c r="J472" s="37"/>
      <c r="K472" s="70"/>
      <c r="L472" s="70"/>
      <c r="M472" s="70"/>
      <c r="N472" s="70"/>
      <c r="O472" s="70"/>
    </row>
    <row r="473" spans="1:15" x14ac:dyDescent="0.25">
      <c r="A473" s="37"/>
      <c r="B473" s="37"/>
      <c r="C473" s="70"/>
      <c r="D473" s="37"/>
      <c r="E473" s="70"/>
      <c r="F473" s="70"/>
      <c r="G473" s="37"/>
      <c r="H473" s="70"/>
      <c r="I473" s="70"/>
      <c r="J473" s="37"/>
      <c r="K473" s="70"/>
      <c r="L473" s="70"/>
      <c r="M473" s="70"/>
      <c r="N473" s="70"/>
      <c r="O473" s="70"/>
    </row>
    <row r="474" spans="1:15" x14ac:dyDescent="0.25">
      <c r="A474" s="37"/>
      <c r="B474" s="37"/>
      <c r="C474" s="70"/>
      <c r="D474" s="37"/>
      <c r="E474" s="70"/>
      <c r="F474" s="70"/>
      <c r="G474" s="37"/>
      <c r="H474" s="70"/>
      <c r="I474" s="70"/>
      <c r="J474" s="37"/>
      <c r="K474" s="70"/>
      <c r="L474" s="70"/>
      <c r="M474" s="70"/>
      <c r="N474" s="70"/>
      <c r="O474" s="70"/>
    </row>
    <row r="475" spans="1:15" x14ac:dyDescent="0.25">
      <c r="A475" s="37"/>
      <c r="B475" s="37"/>
      <c r="C475" s="70"/>
      <c r="D475" s="37"/>
      <c r="E475" s="70"/>
      <c r="F475" s="70"/>
      <c r="G475" s="37"/>
      <c r="H475" s="70"/>
      <c r="I475" s="70"/>
      <c r="J475" s="37"/>
      <c r="K475" s="70"/>
      <c r="L475" s="70"/>
      <c r="M475" s="70"/>
      <c r="N475" s="70"/>
      <c r="O475" s="70"/>
    </row>
    <row r="476" spans="1:15" x14ac:dyDescent="0.25">
      <c r="A476" s="37"/>
      <c r="B476" s="37"/>
      <c r="C476" s="70"/>
      <c r="D476" s="37"/>
      <c r="E476" s="70"/>
      <c r="F476" s="70"/>
      <c r="G476" s="37"/>
      <c r="H476" s="70"/>
      <c r="I476" s="70"/>
      <c r="J476" s="37"/>
      <c r="K476" s="70"/>
      <c r="L476" s="70"/>
      <c r="M476" s="70"/>
      <c r="N476" s="70"/>
      <c r="O476" s="70"/>
    </row>
    <row r="477" spans="1:15" x14ac:dyDescent="0.25">
      <c r="A477" s="37"/>
      <c r="B477" s="37"/>
      <c r="C477" s="70"/>
      <c r="D477" s="37"/>
      <c r="E477" s="70"/>
      <c r="F477" s="70"/>
      <c r="G477" s="37"/>
      <c r="H477" s="70"/>
      <c r="I477" s="70"/>
      <c r="J477" s="37"/>
      <c r="K477" s="70"/>
      <c r="L477" s="70"/>
      <c r="M477" s="70"/>
      <c r="N477" s="70"/>
      <c r="O477" s="70"/>
    </row>
    <row r="478" spans="1:15" x14ac:dyDescent="0.25">
      <c r="A478" s="37"/>
      <c r="B478" s="37"/>
      <c r="C478" s="70"/>
      <c r="D478" s="37"/>
      <c r="E478" s="70"/>
      <c r="F478" s="70"/>
      <c r="G478" s="37"/>
      <c r="H478" s="70"/>
      <c r="I478" s="70"/>
      <c r="J478" s="37"/>
      <c r="K478" s="70"/>
      <c r="L478" s="70"/>
      <c r="M478" s="70"/>
      <c r="N478" s="70"/>
      <c r="O478" s="70"/>
    </row>
    <row r="479" spans="1:15" x14ac:dyDescent="0.25">
      <c r="A479" s="37"/>
      <c r="B479" s="37"/>
      <c r="C479" s="70"/>
      <c r="D479" s="37"/>
      <c r="E479" s="70"/>
      <c r="F479" s="70"/>
      <c r="G479" s="37"/>
      <c r="H479" s="70"/>
      <c r="I479" s="70"/>
      <c r="J479" s="37"/>
      <c r="K479" s="70"/>
      <c r="L479" s="70"/>
      <c r="M479" s="70"/>
      <c r="N479" s="70"/>
      <c r="O479" s="70"/>
    </row>
    <row r="480" spans="1:15" x14ac:dyDescent="0.25">
      <c r="A480" s="37"/>
      <c r="B480" s="37"/>
      <c r="C480" s="70"/>
      <c r="D480" s="37"/>
      <c r="E480" s="70"/>
      <c r="F480" s="70"/>
      <c r="G480" s="37"/>
      <c r="H480" s="70"/>
      <c r="I480" s="70"/>
      <c r="J480" s="37"/>
      <c r="K480" s="70"/>
      <c r="L480" s="70"/>
      <c r="M480" s="70"/>
      <c r="N480" s="70"/>
      <c r="O480" s="70"/>
    </row>
    <row r="481" spans="1:15" x14ac:dyDescent="0.25">
      <c r="A481" s="37"/>
      <c r="B481" s="37"/>
      <c r="C481" s="70"/>
      <c r="D481" s="37"/>
      <c r="E481" s="70"/>
      <c r="F481" s="70"/>
      <c r="G481" s="37"/>
      <c r="H481" s="70"/>
      <c r="I481" s="70"/>
      <c r="J481" s="37"/>
      <c r="K481" s="70"/>
      <c r="L481" s="70"/>
      <c r="M481" s="70"/>
      <c r="N481" s="70"/>
      <c r="O481" s="70"/>
    </row>
    <row r="482" spans="1:15" x14ac:dyDescent="0.25">
      <c r="A482" s="37"/>
      <c r="B482" s="37"/>
      <c r="C482" s="70"/>
      <c r="D482" s="37"/>
      <c r="E482" s="70"/>
      <c r="F482" s="70"/>
      <c r="G482" s="37"/>
      <c r="H482" s="70"/>
      <c r="I482" s="70"/>
      <c r="J482" s="37"/>
      <c r="K482" s="70"/>
      <c r="L482" s="70"/>
      <c r="M482" s="70"/>
      <c r="N482" s="70"/>
      <c r="O482" s="70"/>
    </row>
    <row r="483" spans="1:15" x14ac:dyDescent="0.25">
      <c r="A483" s="37"/>
      <c r="B483" s="37"/>
      <c r="C483" s="70"/>
      <c r="D483" s="37"/>
      <c r="E483" s="70"/>
      <c r="F483" s="70"/>
      <c r="G483" s="37"/>
      <c r="H483" s="70"/>
      <c r="I483" s="70"/>
      <c r="J483" s="37"/>
      <c r="K483" s="70"/>
      <c r="L483" s="70"/>
      <c r="M483" s="70"/>
      <c r="N483" s="70"/>
      <c r="O483" s="70"/>
    </row>
    <row r="484" spans="1:15" x14ac:dyDescent="0.25">
      <c r="A484" s="37"/>
      <c r="B484" s="37"/>
      <c r="C484" s="70"/>
      <c r="D484" s="37"/>
      <c r="E484" s="70"/>
      <c r="F484" s="70"/>
      <c r="G484" s="37"/>
      <c r="H484" s="70"/>
      <c r="I484" s="70"/>
      <c r="J484" s="37"/>
      <c r="K484" s="70"/>
      <c r="L484" s="70"/>
      <c r="M484" s="70"/>
      <c r="N484" s="70"/>
      <c r="O484" s="70"/>
    </row>
    <row r="485" spans="1:15" x14ac:dyDescent="0.25">
      <c r="A485" s="37"/>
      <c r="B485" s="37"/>
      <c r="C485" s="70"/>
      <c r="D485" s="37"/>
      <c r="E485" s="70"/>
      <c r="F485" s="70"/>
      <c r="G485" s="37"/>
      <c r="H485" s="70"/>
      <c r="I485" s="70"/>
      <c r="J485" s="37"/>
      <c r="K485" s="70"/>
      <c r="L485" s="70"/>
      <c r="M485" s="70"/>
      <c r="N485" s="70"/>
      <c r="O485" s="70"/>
    </row>
    <row r="486" spans="1:15" x14ac:dyDescent="0.25">
      <c r="A486" s="37"/>
      <c r="B486" s="37"/>
      <c r="C486" s="70"/>
      <c r="D486" s="37"/>
      <c r="E486" s="70"/>
      <c r="F486" s="70"/>
      <c r="G486" s="37"/>
      <c r="H486" s="70"/>
      <c r="I486" s="70"/>
      <c r="J486" s="37"/>
      <c r="K486" s="70"/>
      <c r="L486" s="70"/>
      <c r="M486" s="70"/>
      <c r="N486" s="70"/>
      <c r="O486" s="70"/>
    </row>
    <row r="487" spans="1:15" x14ac:dyDescent="0.25">
      <c r="A487" s="37"/>
      <c r="B487" s="37"/>
      <c r="C487" s="70"/>
      <c r="D487" s="37"/>
      <c r="E487" s="70"/>
      <c r="F487" s="70"/>
      <c r="G487" s="37"/>
      <c r="H487" s="70"/>
      <c r="I487" s="70"/>
      <c r="J487" s="37"/>
      <c r="K487" s="70"/>
      <c r="L487" s="70"/>
      <c r="M487" s="70"/>
      <c r="N487" s="70"/>
      <c r="O487" s="70"/>
    </row>
    <row r="488" spans="1:15" x14ac:dyDescent="0.25">
      <c r="A488" s="37"/>
      <c r="B488" s="37"/>
      <c r="C488" s="70"/>
      <c r="D488" s="37"/>
      <c r="E488" s="70"/>
      <c r="F488" s="70"/>
      <c r="G488" s="37"/>
      <c r="H488" s="70"/>
      <c r="I488" s="70"/>
      <c r="J488" s="37"/>
      <c r="K488" s="70"/>
      <c r="L488" s="70"/>
      <c r="M488" s="70"/>
      <c r="N488" s="70"/>
      <c r="O488" s="70"/>
    </row>
    <row r="489" spans="1:15" x14ac:dyDescent="0.25">
      <c r="A489" s="37"/>
      <c r="B489" s="37"/>
      <c r="C489" s="70"/>
      <c r="D489" s="37"/>
      <c r="E489" s="70"/>
      <c r="F489" s="70"/>
      <c r="G489" s="37"/>
      <c r="H489" s="70"/>
      <c r="I489" s="70"/>
      <c r="J489" s="37"/>
      <c r="K489" s="70"/>
      <c r="L489" s="70"/>
      <c r="M489" s="70"/>
      <c r="N489" s="70"/>
      <c r="O489" s="70"/>
    </row>
    <row r="490" spans="1:15" x14ac:dyDescent="0.25">
      <c r="A490" s="37"/>
      <c r="B490" s="37"/>
      <c r="C490" s="70"/>
      <c r="D490" s="37"/>
      <c r="E490" s="70"/>
      <c r="F490" s="70"/>
      <c r="G490" s="37"/>
      <c r="H490" s="70"/>
      <c r="I490" s="70"/>
      <c r="J490" s="37"/>
      <c r="K490" s="70"/>
      <c r="L490" s="70"/>
      <c r="M490" s="70"/>
      <c r="N490" s="70"/>
      <c r="O490" s="70"/>
    </row>
    <row r="491" spans="1:15" x14ac:dyDescent="0.25">
      <c r="A491" s="37"/>
      <c r="B491" s="37"/>
      <c r="C491" s="70"/>
      <c r="D491" s="37"/>
      <c r="E491" s="70"/>
      <c r="F491" s="70"/>
      <c r="G491" s="37"/>
      <c r="H491" s="70"/>
      <c r="I491" s="70"/>
      <c r="J491" s="37"/>
      <c r="K491" s="70"/>
      <c r="L491" s="70"/>
      <c r="M491" s="70"/>
      <c r="N491" s="70"/>
      <c r="O491" s="70"/>
    </row>
    <row r="492" spans="1:15" x14ac:dyDescent="0.25">
      <c r="A492" s="37"/>
      <c r="B492" s="37"/>
      <c r="C492" s="70"/>
      <c r="D492" s="37"/>
      <c r="E492" s="70"/>
      <c r="F492" s="70"/>
      <c r="G492" s="37"/>
      <c r="H492" s="70"/>
      <c r="I492" s="70"/>
      <c r="J492" s="37"/>
      <c r="K492" s="70"/>
      <c r="L492" s="70"/>
      <c r="M492" s="70"/>
      <c r="N492" s="70"/>
      <c r="O492" s="70"/>
    </row>
    <row r="493" spans="1:15" x14ac:dyDescent="0.25">
      <c r="A493" s="37"/>
      <c r="B493" s="37"/>
      <c r="C493" s="70"/>
      <c r="D493" s="37"/>
      <c r="E493" s="70"/>
      <c r="F493" s="70"/>
      <c r="G493" s="37"/>
      <c r="H493" s="70"/>
      <c r="I493" s="70"/>
      <c r="J493" s="37"/>
      <c r="K493" s="70"/>
      <c r="L493" s="70"/>
      <c r="M493" s="70"/>
      <c r="N493" s="70"/>
      <c r="O493" s="70"/>
    </row>
    <row r="494" spans="1:15" x14ac:dyDescent="0.25">
      <c r="A494" s="37"/>
      <c r="B494" s="37"/>
      <c r="C494" s="70"/>
      <c r="D494" s="37"/>
      <c r="E494" s="70"/>
      <c r="F494" s="70"/>
      <c r="G494" s="37"/>
      <c r="H494" s="70"/>
      <c r="I494" s="70"/>
      <c r="J494" s="37"/>
      <c r="K494" s="70"/>
      <c r="L494" s="70"/>
      <c r="M494" s="70"/>
      <c r="N494" s="70"/>
      <c r="O494" s="70"/>
    </row>
    <row r="495" spans="1:15" x14ac:dyDescent="0.25">
      <c r="A495" s="37"/>
      <c r="B495" s="37"/>
      <c r="C495" s="70"/>
      <c r="D495" s="37"/>
      <c r="E495" s="70"/>
      <c r="F495" s="70"/>
      <c r="G495" s="37"/>
      <c r="H495" s="70"/>
      <c r="I495" s="70"/>
      <c r="J495" s="37"/>
      <c r="K495" s="70"/>
      <c r="L495" s="70"/>
      <c r="M495" s="70"/>
      <c r="N495" s="70"/>
      <c r="O495" s="70"/>
    </row>
    <row r="496" spans="1:15" x14ac:dyDescent="0.25">
      <c r="A496" s="37"/>
      <c r="B496" s="37"/>
      <c r="C496" s="70"/>
      <c r="D496" s="37"/>
      <c r="E496" s="70"/>
      <c r="F496" s="70"/>
      <c r="G496" s="37"/>
      <c r="H496" s="70"/>
      <c r="I496" s="70"/>
      <c r="J496" s="37"/>
      <c r="K496" s="70"/>
      <c r="L496" s="70"/>
      <c r="M496" s="70"/>
      <c r="N496" s="70"/>
      <c r="O496" s="70"/>
    </row>
    <row r="497" spans="1:15" x14ac:dyDescent="0.25">
      <c r="A497" s="37"/>
      <c r="B497" s="37"/>
      <c r="C497" s="70"/>
      <c r="D497" s="37"/>
      <c r="E497" s="70"/>
      <c r="F497" s="70"/>
      <c r="G497" s="37"/>
      <c r="H497" s="70"/>
      <c r="I497" s="70"/>
      <c r="J497" s="37"/>
      <c r="K497" s="70"/>
      <c r="L497" s="70"/>
      <c r="M497" s="70"/>
      <c r="N497" s="70"/>
      <c r="O497" s="70"/>
    </row>
    <row r="498" spans="1:15" x14ac:dyDescent="0.25">
      <c r="A498" s="37"/>
      <c r="B498" s="37"/>
      <c r="C498" s="70"/>
      <c r="D498" s="37"/>
      <c r="E498" s="70"/>
      <c r="F498" s="70"/>
      <c r="G498" s="37"/>
      <c r="H498" s="70"/>
      <c r="I498" s="70"/>
      <c r="J498" s="37"/>
      <c r="K498" s="70"/>
      <c r="L498" s="70"/>
      <c r="M498" s="70"/>
      <c r="N498" s="70"/>
      <c r="O498" s="70"/>
    </row>
    <row r="499" spans="1:15" x14ac:dyDescent="0.25">
      <c r="A499" s="37"/>
      <c r="B499" s="37"/>
      <c r="C499" s="70"/>
      <c r="D499" s="37"/>
      <c r="E499" s="70"/>
      <c r="F499" s="70"/>
      <c r="G499" s="37"/>
      <c r="H499" s="70"/>
      <c r="I499" s="70"/>
      <c r="J499" s="37"/>
      <c r="K499" s="70"/>
      <c r="L499" s="70"/>
      <c r="M499" s="70"/>
      <c r="N499" s="70"/>
      <c r="O499" s="70"/>
    </row>
    <row r="500" spans="1:15" x14ac:dyDescent="0.25">
      <c r="A500" s="37"/>
      <c r="B500" s="37"/>
      <c r="C500" s="70"/>
      <c r="D500" s="37"/>
      <c r="E500" s="70"/>
      <c r="F500" s="70"/>
      <c r="G500" s="37"/>
      <c r="H500" s="70"/>
      <c r="I500" s="70"/>
      <c r="J500" s="37"/>
      <c r="K500" s="70"/>
      <c r="L500" s="70"/>
      <c r="M500" s="70"/>
      <c r="N500" s="70"/>
      <c r="O500" s="70"/>
    </row>
    <row r="501" spans="1:15" x14ac:dyDescent="0.25">
      <c r="A501" s="37"/>
      <c r="B501" s="37"/>
      <c r="C501" s="70"/>
      <c r="D501" s="37"/>
      <c r="E501" s="70"/>
      <c r="F501" s="70"/>
      <c r="G501" s="37"/>
      <c r="H501" s="70"/>
      <c r="I501" s="70"/>
      <c r="J501" s="37"/>
      <c r="K501" s="70"/>
      <c r="L501" s="70"/>
      <c r="M501" s="70"/>
      <c r="N501" s="70"/>
      <c r="O501" s="70"/>
    </row>
    <row r="502" spans="1:15" x14ac:dyDescent="0.25">
      <c r="A502" s="37"/>
      <c r="B502" s="37"/>
      <c r="C502" s="70"/>
      <c r="D502" s="37"/>
      <c r="E502" s="70"/>
      <c r="F502" s="70"/>
      <c r="G502" s="37"/>
      <c r="H502" s="70"/>
      <c r="I502" s="70"/>
      <c r="J502" s="37"/>
      <c r="K502" s="70"/>
      <c r="L502" s="70"/>
      <c r="M502" s="70"/>
      <c r="N502" s="70"/>
      <c r="O502" s="70"/>
    </row>
    <row r="503" spans="1:15" x14ac:dyDescent="0.25">
      <c r="A503" s="37"/>
      <c r="B503" s="37"/>
      <c r="C503" s="70"/>
      <c r="D503" s="37"/>
      <c r="E503" s="70"/>
      <c r="F503" s="70"/>
      <c r="G503" s="37"/>
      <c r="H503" s="70"/>
      <c r="I503" s="70"/>
      <c r="J503" s="37"/>
      <c r="K503" s="70"/>
      <c r="L503" s="70"/>
      <c r="M503" s="70"/>
      <c r="N503" s="70"/>
      <c r="O503" s="70"/>
    </row>
    <row r="504" spans="1:15" x14ac:dyDescent="0.25">
      <c r="A504" s="37"/>
      <c r="B504" s="37"/>
      <c r="C504" s="70"/>
      <c r="D504" s="37"/>
      <c r="E504" s="70"/>
      <c r="F504" s="70"/>
      <c r="G504" s="37"/>
      <c r="H504" s="70"/>
      <c r="I504" s="70"/>
      <c r="J504" s="37"/>
      <c r="K504" s="70"/>
      <c r="L504" s="70"/>
      <c r="M504" s="70"/>
      <c r="N504" s="70"/>
      <c r="O504" s="70"/>
    </row>
    <row r="505" spans="1:15" x14ac:dyDescent="0.25">
      <c r="A505" s="37"/>
      <c r="B505" s="37"/>
      <c r="C505" s="70"/>
      <c r="D505" s="37"/>
      <c r="E505" s="70"/>
      <c r="F505" s="70"/>
      <c r="G505" s="37"/>
      <c r="H505" s="70"/>
      <c r="I505" s="70"/>
      <c r="J505" s="37"/>
      <c r="K505" s="70"/>
      <c r="L505" s="70"/>
      <c r="M505" s="70"/>
      <c r="N505" s="70"/>
      <c r="O505" s="70"/>
    </row>
    <row r="506" spans="1:15" x14ac:dyDescent="0.25">
      <c r="A506" s="37"/>
      <c r="B506" s="37"/>
      <c r="C506" s="70"/>
      <c r="D506" s="37"/>
      <c r="E506" s="70"/>
      <c r="F506" s="70"/>
      <c r="G506" s="37"/>
      <c r="H506" s="70"/>
      <c r="I506" s="70"/>
      <c r="J506" s="37"/>
      <c r="K506" s="70"/>
      <c r="L506" s="70"/>
      <c r="M506" s="70"/>
      <c r="N506" s="70"/>
      <c r="O506" s="70"/>
    </row>
    <row r="507" spans="1:15" x14ac:dyDescent="0.25">
      <c r="A507" s="37"/>
      <c r="B507" s="37"/>
      <c r="C507" s="70"/>
      <c r="D507" s="37"/>
      <c r="E507" s="70"/>
      <c r="F507" s="70"/>
      <c r="G507" s="37"/>
      <c r="H507" s="70"/>
      <c r="I507" s="70"/>
      <c r="J507" s="37"/>
      <c r="K507" s="70"/>
      <c r="L507" s="70"/>
      <c r="M507" s="70"/>
      <c r="N507" s="70"/>
      <c r="O507" s="70"/>
    </row>
    <row r="508" spans="1:15" x14ac:dyDescent="0.25">
      <c r="A508" s="37"/>
      <c r="B508" s="37"/>
      <c r="C508" s="70"/>
      <c r="D508" s="37"/>
      <c r="E508" s="70"/>
      <c r="F508" s="70"/>
      <c r="G508" s="37"/>
      <c r="H508" s="70"/>
      <c r="I508" s="70"/>
      <c r="J508" s="37"/>
      <c r="K508" s="70"/>
      <c r="L508" s="70"/>
      <c r="M508" s="70"/>
      <c r="N508" s="70"/>
      <c r="O508" s="70"/>
    </row>
    <row r="509" spans="1:15" x14ac:dyDescent="0.25">
      <c r="A509" s="37"/>
      <c r="B509" s="37"/>
      <c r="C509" s="70"/>
      <c r="D509" s="37"/>
      <c r="E509" s="70"/>
      <c r="F509" s="70"/>
      <c r="G509" s="37"/>
      <c r="H509" s="70"/>
      <c r="I509" s="70"/>
      <c r="J509" s="37"/>
      <c r="K509" s="70"/>
      <c r="L509" s="70"/>
      <c r="M509" s="70"/>
      <c r="N509" s="70"/>
      <c r="O509" s="70"/>
    </row>
    <row r="510" spans="1:15" x14ac:dyDescent="0.25">
      <c r="A510" s="37"/>
      <c r="B510" s="37"/>
      <c r="C510" s="70"/>
      <c r="D510" s="37"/>
      <c r="E510" s="70"/>
      <c r="F510" s="70"/>
      <c r="G510" s="37"/>
      <c r="H510" s="70"/>
      <c r="I510" s="70"/>
      <c r="J510" s="37"/>
      <c r="K510" s="70"/>
      <c r="L510" s="70"/>
      <c r="M510" s="70"/>
      <c r="N510" s="70"/>
      <c r="O510" s="70"/>
    </row>
    <row r="511" spans="1:15" x14ac:dyDescent="0.25">
      <c r="A511" s="37"/>
      <c r="B511" s="37"/>
      <c r="C511" s="70"/>
      <c r="D511" s="37"/>
      <c r="E511" s="70"/>
      <c r="F511" s="70"/>
      <c r="G511" s="37"/>
      <c r="H511" s="70"/>
      <c r="I511" s="70"/>
      <c r="J511" s="37"/>
      <c r="K511" s="70"/>
      <c r="L511" s="70"/>
      <c r="M511" s="70"/>
      <c r="N511" s="70"/>
      <c r="O511" s="70"/>
    </row>
    <row r="512" spans="1:15" x14ac:dyDescent="0.25">
      <c r="A512" s="37"/>
      <c r="B512" s="37"/>
      <c r="C512" s="70"/>
      <c r="D512" s="37"/>
      <c r="E512" s="70"/>
      <c r="F512" s="70"/>
      <c r="G512" s="37"/>
      <c r="H512" s="70"/>
      <c r="I512" s="70"/>
      <c r="J512" s="37"/>
      <c r="K512" s="70"/>
      <c r="L512" s="70"/>
      <c r="M512" s="70"/>
      <c r="N512" s="70"/>
      <c r="O512" s="70"/>
    </row>
    <row r="513" spans="1:15" x14ac:dyDescent="0.25">
      <c r="A513" s="37"/>
      <c r="B513" s="37"/>
      <c r="C513" s="70"/>
      <c r="D513" s="37"/>
      <c r="E513" s="70"/>
      <c r="F513" s="70"/>
      <c r="G513" s="37"/>
      <c r="H513" s="70"/>
      <c r="I513" s="70"/>
      <c r="J513" s="37"/>
      <c r="K513" s="70"/>
      <c r="L513" s="70"/>
      <c r="M513" s="70"/>
      <c r="N513" s="70"/>
      <c r="O513" s="70"/>
    </row>
    <row r="514" spans="1:15" x14ac:dyDescent="0.25">
      <c r="A514" s="37"/>
      <c r="B514" s="37"/>
      <c r="C514" s="70"/>
      <c r="D514" s="37"/>
      <c r="E514" s="70"/>
      <c r="F514" s="70"/>
      <c r="G514" s="37"/>
      <c r="H514" s="70"/>
      <c r="I514" s="70"/>
      <c r="J514" s="37"/>
      <c r="K514" s="70"/>
      <c r="L514" s="70"/>
      <c r="M514" s="70"/>
      <c r="N514" s="70"/>
      <c r="O514" s="70"/>
    </row>
    <row r="515" spans="1:15" x14ac:dyDescent="0.25">
      <c r="A515" s="37"/>
      <c r="B515" s="37"/>
      <c r="C515" s="70"/>
      <c r="D515" s="37"/>
      <c r="E515" s="70"/>
      <c r="F515" s="70"/>
      <c r="G515" s="37"/>
      <c r="H515" s="70"/>
      <c r="I515" s="70"/>
      <c r="J515" s="37"/>
      <c r="K515" s="70"/>
      <c r="L515" s="70"/>
      <c r="M515" s="70"/>
      <c r="N515" s="70"/>
      <c r="O515" s="70"/>
    </row>
    <row r="516" spans="1:15" x14ac:dyDescent="0.25">
      <c r="A516" s="37"/>
      <c r="B516" s="37"/>
      <c r="C516" s="70"/>
      <c r="D516" s="37"/>
      <c r="E516" s="70"/>
      <c r="F516" s="70"/>
      <c r="G516" s="37"/>
      <c r="H516" s="70"/>
      <c r="I516" s="70"/>
      <c r="J516" s="37"/>
      <c r="K516" s="70"/>
      <c r="L516" s="70"/>
      <c r="M516" s="70"/>
      <c r="N516" s="70"/>
      <c r="O516" s="70"/>
    </row>
    <row r="517" spans="1:15" x14ac:dyDescent="0.25">
      <c r="A517" s="37"/>
      <c r="B517" s="37"/>
      <c r="C517" s="70"/>
      <c r="D517" s="37"/>
      <c r="E517" s="70"/>
      <c r="F517" s="70"/>
      <c r="G517" s="37"/>
      <c r="H517" s="70"/>
      <c r="I517" s="70"/>
      <c r="J517" s="37"/>
      <c r="K517" s="70"/>
      <c r="L517" s="70"/>
      <c r="M517" s="70"/>
      <c r="N517" s="70"/>
      <c r="O517" s="70"/>
    </row>
    <row r="518" spans="1:15" x14ac:dyDescent="0.25">
      <c r="A518" s="37"/>
      <c r="B518" s="37"/>
      <c r="C518" s="70"/>
      <c r="D518" s="37"/>
      <c r="E518" s="70"/>
      <c r="F518" s="70"/>
      <c r="G518" s="37"/>
      <c r="H518" s="70"/>
      <c r="I518" s="70"/>
      <c r="J518" s="37"/>
      <c r="K518" s="70"/>
      <c r="L518" s="70"/>
      <c r="M518" s="70"/>
      <c r="N518" s="70"/>
      <c r="O518" s="70"/>
    </row>
    <row r="519" spans="1:15" x14ac:dyDescent="0.25">
      <c r="A519" s="37"/>
      <c r="B519" s="37"/>
      <c r="C519" s="70"/>
      <c r="D519" s="37"/>
      <c r="E519" s="70"/>
      <c r="F519" s="70"/>
      <c r="G519" s="37"/>
      <c r="H519" s="70"/>
      <c r="I519" s="70"/>
      <c r="J519" s="37"/>
      <c r="K519" s="70"/>
      <c r="L519" s="70"/>
      <c r="M519" s="70"/>
      <c r="N519" s="70"/>
      <c r="O519" s="70"/>
    </row>
    <row r="520" spans="1:15" x14ac:dyDescent="0.25">
      <c r="A520" s="37"/>
      <c r="B520" s="37"/>
      <c r="C520" s="70"/>
      <c r="D520" s="37"/>
      <c r="E520" s="70"/>
      <c r="F520" s="70"/>
      <c r="G520" s="37"/>
      <c r="H520" s="70"/>
      <c r="I520" s="70"/>
      <c r="J520" s="37"/>
      <c r="K520" s="70"/>
      <c r="L520" s="70"/>
      <c r="M520" s="70"/>
      <c r="N520" s="70"/>
      <c r="O520" s="70"/>
    </row>
    <row r="521" spans="1:15" x14ac:dyDescent="0.25">
      <c r="A521" s="37"/>
      <c r="B521" s="37"/>
      <c r="C521" s="70"/>
      <c r="D521" s="37"/>
      <c r="E521" s="70"/>
      <c r="F521" s="70"/>
      <c r="G521" s="37"/>
      <c r="H521" s="70"/>
      <c r="I521" s="70"/>
      <c r="J521" s="37"/>
      <c r="K521" s="70"/>
      <c r="L521" s="70"/>
      <c r="M521" s="70"/>
      <c r="N521" s="70"/>
      <c r="O521" s="70"/>
    </row>
    <row r="522" spans="1:15" x14ac:dyDescent="0.25">
      <c r="A522" s="37"/>
      <c r="B522" s="37"/>
      <c r="C522" s="70"/>
      <c r="D522" s="37"/>
      <c r="E522" s="70"/>
      <c r="F522" s="70"/>
      <c r="G522" s="37"/>
      <c r="H522" s="70"/>
      <c r="I522" s="70"/>
      <c r="J522" s="37"/>
      <c r="K522" s="70"/>
      <c r="L522" s="70"/>
      <c r="M522" s="70"/>
      <c r="N522" s="70"/>
      <c r="O522" s="70"/>
    </row>
    <row r="523" spans="1:15" x14ac:dyDescent="0.25">
      <c r="A523" s="37"/>
      <c r="B523" s="37"/>
      <c r="C523" s="70"/>
      <c r="D523" s="37"/>
      <c r="E523" s="70"/>
      <c r="F523" s="70"/>
      <c r="G523" s="37"/>
      <c r="H523" s="70"/>
      <c r="I523" s="70"/>
      <c r="J523" s="37"/>
      <c r="K523" s="70"/>
      <c r="L523" s="70"/>
      <c r="M523" s="70"/>
      <c r="N523" s="70"/>
      <c r="O523" s="70"/>
    </row>
    <row r="524" spans="1:15" x14ac:dyDescent="0.25">
      <c r="A524" s="37"/>
      <c r="B524" s="37"/>
      <c r="C524" s="70"/>
      <c r="D524" s="37"/>
      <c r="E524" s="70"/>
      <c r="F524" s="70"/>
      <c r="G524" s="37"/>
      <c r="H524" s="70"/>
      <c r="I524" s="70"/>
      <c r="J524" s="37"/>
      <c r="K524" s="70"/>
      <c r="L524" s="70"/>
      <c r="M524" s="70"/>
      <c r="N524" s="70"/>
      <c r="O524" s="70"/>
    </row>
    <row r="525" spans="1:15" x14ac:dyDescent="0.25">
      <c r="A525" s="37"/>
      <c r="B525" s="37"/>
      <c r="C525" s="70"/>
      <c r="D525" s="37"/>
      <c r="E525" s="70"/>
      <c r="F525" s="70"/>
      <c r="G525" s="37"/>
      <c r="H525" s="70"/>
      <c r="I525" s="70"/>
      <c r="J525" s="37"/>
      <c r="K525" s="70"/>
      <c r="L525" s="70"/>
      <c r="M525" s="70"/>
      <c r="N525" s="70"/>
      <c r="O525" s="70"/>
    </row>
    <row r="526" spans="1:15" x14ac:dyDescent="0.25">
      <c r="A526" s="37"/>
      <c r="B526" s="37"/>
      <c r="C526" s="70"/>
      <c r="D526" s="37"/>
      <c r="E526" s="70"/>
      <c r="F526" s="70"/>
      <c r="G526" s="37"/>
      <c r="H526" s="70"/>
      <c r="I526" s="70"/>
      <c r="J526" s="37"/>
      <c r="K526" s="70"/>
      <c r="L526" s="70"/>
      <c r="M526" s="70"/>
      <c r="N526" s="70"/>
      <c r="O526" s="70"/>
    </row>
    <row r="527" spans="1:15" x14ac:dyDescent="0.25">
      <c r="A527" s="37"/>
      <c r="B527" s="37"/>
      <c r="C527" s="70"/>
      <c r="D527" s="37"/>
      <c r="E527" s="70"/>
      <c r="F527" s="70"/>
      <c r="G527" s="37"/>
      <c r="H527" s="70"/>
      <c r="I527" s="70"/>
      <c r="J527" s="37"/>
      <c r="K527" s="70"/>
      <c r="L527" s="70"/>
      <c r="M527" s="70"/>
      <c r="N527" s="70"/>
      <c r="O527" s="70"/>
    </row>
    <row r="528" spans="1:15" x14ac:dyDescent="0.25">
      <c r="A528" s="37"/>
      <c r="B528" s="37"/>
      <c r="C528" s="70"/>
      <c r="D528" s="37"/>
      <c r="E528" s="70"/>
      <c r="F528" s="70"/>
      <c r="G528" s="37"/>
      <c r="H528" s="70"/>
      <c r="I528" s="70"/>
      <c r="J528" s="37"/>
      <c r="K528" s="70"/>
      <c r="L528" s="70"/>
      <c r="M528" s="70"/>
      <c r="N528" s="70"/>
      <c r="O528" s="70"/>
    </row>
    <row r="529" spans="1:15" x14ac:dyDescent="0.25">
      <c r="A529" s="37"/>
      <c r="B529" s="37"/>
      <c r="C529" s="70"/>
      <c r="D529" s="37"/>
      <c r="E529" s="70"/>
      <c r="F529" s="70"/>
      <c r="G529" s="37"/>
      <c r="H529" s="70"/>
      <c r="I529" s="70"/>
      <c r="J529" s="37"/>
      <c r="K529" s="70"/>
      <c r="L529" s="70"/>
      <c r="M529" s="70"/>
      <c r="N529" s="70"/>
      <c r="O529" s="70"/>
    </row>
    <row r="530" spans="1:15" x14ac:dyDescent="0.25">
      <c r="A530" s="37"/>
      <c r="B530" s="37"/>
      <c r="C530" s="70"/>
      <c r="D530" s="37"/>
      <c r="E530" s="70"/>
      <c r="F530" s="70"/>
      <c r="G530" s="37"/>
      <c r="H530" s="70"/>
      <c r="I530" s="70"/>
      <c r="J530" s="37"/>
      <c r="K530" s="70"/>
      <c r="L530" s="70"/>
      <c r="M530" s="70"/>
      <c r="N530" s="70"/>
      <c r="O530" s="70"/>
    </row>
    <row r="531" spans="1:15" x14ac:dyDescent="0.25">
      <c r="A531" s="37"/>
      <c r="B531" s="37"/>
      <c r="C531" s="70"/>
      <c r="D531" s="37"/>
      <c r="E531" s="70"/>
      <c r="F531" s="70"/>
      <c r="G531" s="37"/>
      <c r="H531" s="70"/>
      <c r="I531" s="70"/>
      <c r="J531" s="37"/>
      <c r="K531" s="70"/>
      <c r="L531" s="70"/>
      <c r="M531" s="70"/>
      <c r="N531" s="70"/>
      <c r="O531" s="70"/>
    </row>
    <row r="532" spans="1:15" x14ac:dyDescent="0.25">
      <c r="A532" s="37"/>
      <c r="B532" s="37"/>
      <c r="C532" s="70"/>
      <c r="D532" s="37"/>
      <c r="E532" s="70"/>
      <c r="F532" s="70"/>
      <c r="G532" s="37"/>
      <c r="H532" s="70"/>
      <c r="I532" s="70"/>
      <c r="J532" s="37"/>
      <c r="K532" s="70"/>
      <c r="L532" s="70"/>
      <c r="M532" s="70"/>
      <c r="N532" s="70"/>
      <c r="O532" s="70"/>
    </row>
    <row r="533" spans="1:15" x14ac:dyDescent="0.25">
      <c r="A533" s="37"/>
      <c r="B533" s="37"/>
      <c r="C533" s="70"/>
      <c r="D533" s="37"/>
      <c r="E533" s="70"/>
      <c r="F533" s="70"/>
      <c r="G533" s="37"/>
      <c r="H533" s="70"/>
      <c r="I533" s="70"/>
      <c r="J533" s="37"/>
      <c r="K533" s="70"/>
      <c r="L533" s="70"/>
      <c r="M533" s="70"/>
      <c r="N533" s="70"/>
      <c r="O533" s="70"/>
    </row>
    <row r="534" spans="1:15" x14ac:dyDescent="0.25">
      <c r="A534" s="37"/>
      <c r="B534" s="37"/>
      <c r="C534" s="70"/>
      <c r="D534" s="37"/>
      <c r="E534" s="70"/>
      <c r="F534" s="70"/>
      <c r="G534" s="37"/>
      <c r="H534" s="70"/>
      <c r="I534" s="70"/>
      <c r="J534" s="37"/>
      <c r="K534" s="70"/>
      <c r="L534" s="70"/>
      <c r="M534" s="70"/>
      <c r="N534" s="70"/>
      <c r="O534" s="70"/>
    </row>
    <row r="535" spans="1:15" x14ac:dyDescent="0.25">
      <c r="A535" s="37"/>
      <c r="B535" s="37"/>
      <c r="C535" s="70"/>
      <c r="D535" s="37"/>
      <c r="E535" s="70"/>
      <c r="F535" s="70"/>
      <c r="G535" s="37"/>
      <c r="H535" s="70"/>
      <c r="I535" s="70"/>
      <c r="J535" s="37"/>
      <c r="K535" s="70"/>
      <c r="L535" s="70"/>
      <c r="M535" s="70"/>
      <c r="N535" s="70"/>
      <c r="O535" s="70"/>
    </row>
    <row r="536" spans="1:15" x14ac:dyDescent="0.25">
      <c r="A536" s="37"/>
      <c r="B536" s="37"/>
      <c r="C536" s="70"/>
      <c r="D536" s="37"/>
      <c r="E536" s="70"/>
      <c r="F536" s="70"/>
      <c r="G536" s="37"/>
      <c r="H536" s="70"/>
      <c r="I536" s="70"/>
      <c r="J536" s="37"/>
      <c r="K536" s="70"/>
      <c r="L536" s="70"/>
      <c r="M536" s="70"/>
      <c r="N536" s="70"/>
      <c r="O536" s="70"/>
    </row>
    <row r="537" spans="1:15" x14ac:dyDescent="0.25">
      <c r="A537" s="37"/>
      <c r="B537" s="37"/>
      <c r="C537" s="70"/>
      <c r="D537" s="37"/>
      <c r="E537" s="70"/>
      <c r="F537" s="70"/>
      <c r="G537" s="37"/>
      <c r="H537" s="70"/>
      <c r="I537" s="70"/>
      <c r="J537" s="37"/>
      <c r="K537" s="70"/>
      <c r="L537" s="70"/>
      <c r="M537" s="70"/>
      <c r="N537" s="70"/>
      <c r="O537" s="70"/>
    </row>
    <row r="538" spans="1:15" x14ac:dyDescent="0.25">
      <c r="A538" s="37"/>
      <c r="B538" s="37"/>
      <c r="C538" s="70"/>
      <c r="D538" s="37"/>
      <c r="E538" s="70"/>
      <c r="F538" s="70"/>
      <c r="G538" s="37"/>
      <c r="H538" s="70"/>
      <c r="I538" s="70"/>
      <c r="J538" s="37"/>
      <c r="K538" s="70"/>
      <c r="L538" s="70"/>
      <c r="M538" s="70"/>
      <c r="N538" s="70"/>
      <c r="O538" s="70"/>
    </row>
    <row r="539" spans="1:15" x14ac:dyDescent="0.25">
      <c r="A539" s="37"/>
      <c r="B539" s="37"/>
      <c r="C539" s="70"/>
      <c r="D539" s="37"/>
      <c r="E539" s="70"/>
      <c r="F539" s="70"/>
      <c r="G539" s="37"/>
      <c r="H539" s="70"/>
      <c r="I539" s="70"/>
      <c r="J539" s="37"/>
      <c r="K539" s="70"/>
      <c r="L539" s="70"/>
      <c r="M539" s="70"/>
      <c r="N539" s="70"/>
      <c r="O539" s="70"/>
    </row>
    <row r="540" spans="1:15" x14ac:dyDescent="0.25">
      <c r="A540" s="37"/>
      <c r="B540" s="37"/>
      <c r="C540" s="70"/>
      <c r="D540" s="37"/>
      <c r="E540" s="70"/>
      <c r="F540" s="70"/>
      <c r="G540" s="37"/>
      <c r="H540" s="70"/>
      <c r="I540" s="70"/>
      <c r="J540" s="37"/>
      <c r="K540" s="70"/>
      <c r="L540" s="70"/>
      <c r="M540" s="70"/>
      <c r="N540" s="70"/>
      <c r="O540" s="70"/>
    </row>
    <row r="541" spans="1:15" x14ac:dyDescent="0.25">
      <c r="A541" s="37"/>
      <c r="B541" s="37"/>
      <c r="C541" s="70"/>
      <c r="D541" s="37"/>
      <c r="E541" s="70"/>
      <c r="F541" s="70"/>
      <c r="G541" s="37"/>
      <c r="H541" s="70"/>
      <c r="I541" s="70"/>
      <c r="J541" s="37"/>
      <c r="K541" s="70"/>
      <c r="L541" s="70"/>
      <c r="M541" s="70"/>
      <c r="N541" s="70"/>
      <c r="O541" s="70"/>
    </row>
    <row r="542" spans="1:15" x14ac:dyDescent="0.25">
      <c r="A542" s="37"/>
      <c r="B542" s="37"/>
      <c r="C542" s="70"/>
      <c r="D542" s="37"/>
      <c r="E542" s="70"/>
      <c r="F542" s="70"/>
      <c r="G542" s="37"/>
      <c r="H542" s="70"/>
      <c r="I542" s="70"/>
      <c r="J542" s="37"/>
      <c r="K542" s="70"/>
      <c r="L542" s="70"/>
      <c r="M542" s="70"/>
      <c r="N542" s="70"/>
      <c r="O542" s="70"/>
    </row>
    <row r="543" spans="1:15" x14ac:dyDescent="0.25">
      <c r="A543" s="37"/>
      <c r="B543" s="37"/>
      <c r="C543" s="70"/>
      <c r="D543" s="37"/>
      <c r="E543" s="70"/>
      <c r="F543" s="70"/>
      <c r="G543" s="37"/>
      <c r="H543" s="70"/>
      <c r="I543" s="70"/>
      <c r="J543" s="37"/>
      <c r="K543" s="70"/>
      <c r="L543" s="70"/>
      <c r="M543" s="70"/>
      <c r="N543" s="70"/>
      <c r="O543" s="70"/>
    </row>
    <row r="544" spans="1:15" x14ac:dyDescent="0.25">
      <c r="A544" s="37"/>
      <c r="B544" s="37"/>
      <c r="C544" s="70"/>
      <c r="D544" s="37"/>
      <c r="E544" s="70"/>
      <c r="F544" s="70"/>
      <c r="G544" s="37"/>
      <c r="H544" s="70"/>
      <c r="I544" s="70"/>
      <c r="J544" s="37"/>
      <c r="K544" s="70"/>
      <c r="L544" s="70"/>
      <c r="M544" s="70"/>
      <c r="N544" s="70"/>
      <c r="O544" s="70"/>
    </row>
    <row r="545" spans="1:15" x14ac:dyDescent="0.25">
      <c r="A545" s="37"/>
      <c r="B545" s="37"/>
      <c r="C545" s="70"/>
      <c r="D545" s="37"/>
      <c r="E545" s="70"/>
      <c r="F545" s="70"/>
      <c r="G545" s="37"/>
      <c r="H545" s="70"/>
      <c r="I545" s="70"/>
      <c r="J545" s="37"/>
      <c r="K545" s="70"/>
      <c r="L545" s="70"/>
      <c r="M545" s="70"/>
      <c r="N545" s="70"/>
      <c r="O545" s="70"/>
    </row>
    <row r="546" spans="1:15" x14ac:dyDescent="0.25">
      <c r="A546" s="37"/>
      <c r="B546" s="37"/>
      <c r="C546" s="70"/>
      <c r="D546" s="37"/>
      <c r="E546" s="70"/>
      <c r="F546" s="70"/>
      <c r="G546" s="37"/>
      <c r="H546" s="70"/>
      <c r="I546" s="70"/>
      <c r="J546" s="37"/>
      <c r="K546" s="70"/>
      <c r="L546" s="70"/>
      <c r="M546" s="70"/>
      <c r="N546" s="70"/>
      <c r="O546" s="70"/>
    </row>
    <row r="547" spans="1:15" x14ac:dyDescent="0.25">
      <c r="A547" s="37"/>
      <c r="B547" s="37"/>
      <c r="C547" s="70"/>
      <c r="D547" s="37"/>
      <c r="E547" s="70"/>
      <c r="F547" s="70"/>
      <c r="G547" s="37"/>
      <c r="H547" s="70"/>
      <c r="I547" s="70"/>
      <c r="J547" s="37"/>
      <c r="K547" s="70"/>
      <c r="L547" s="70"/>
      <c r="M547" s="70"/>
      <c r="N547" s="70"/>
      <c r="O547" s="70"/>
    </row>
    <row r="548" spans="1:15" x14ac:dyDescent="0.25">
      <c r="A548" s="37"/>
      <c r="B548" s="37"/>
      <c r="C548" s="70"/>
      <c r="D548" s="37"/>
      <c r="E548" s="70"/>
      <c r="F548" s="70"/>
      <c r="G548" s="37"/>
      <c r="H548" s="70"/>
      <c r="I548" s="70"/>
      <c r="J548" s="37"/>
      <c r="K548" s="70"/>
      <c r="L548" s="70"/>
      <c r="M548" s="70"/>
      <c r="N548" s="70"/>
      <c r="O548" s="70"/>
    </row>
    <row r="549" spans="1:15" x14ac:dyDescent="0.25">
      <c r="A549" s="37"/>
      <c r="B549" s="37"/>
      <c r="C549" s="70"/>
      <c r="D549" s="37"/>
      <c r="E549" s="70"/>
      <c r="F549" s="70"/>
      <c r="G549" s="37"/>
      <c r="H549" s="70"/>
      <c r="I549" s="70"/>
      <c r="J549" s="37"/>
      <c r="K549" s="70"/>
      <c r="L549" s="70"/>
      <c r="M549" s="70"/>
      <c r="N549" s="70"/>
      <c r="O549" s="70"/>
    </row>
    <row r="550" spans="1:15" x14ac:dyDescent="0.25">
      <c r="A550" s="37"/>
      <c r="B550" s="37"/>
      <c r="C550" s="70"/>
      <c r="D550" s="37"/>
      <c r="E550" s="70"/>
      <c r="F550" s="70"/>
      <c r="G550" s="37"/>
      <c r="H550" s="70"/>
      <c r="I550" s="70"/>
      <c r="J550" s="37"/>
      <c r="K550" s="70"/>
      <c r="L550" s="70"/>
      <c r="M550" s="70"/>
      <c r="N550" s="70"/>
      <c r="O550" s="70"/>
    </row>
    <row r="551" spans="1:15" x14ac:dyDescent="0.25">
      <c r="A551" s="37"/>
      <c r="B551" s="37"/>
      <c r="C551" s="70"/>
      <c r="D551" s="37"/>
      <c r="E551" s="70"/>
      <c r="F551" s="70"/>
      <c r="G551" s="37"/>
      <c r="H551" s="70"/>
      <c r="I551" s="70"/>
      <c r="J551" s="37"/>
      <c r="K551" s="70"/>
      <c r="L551" s="70"/>
      <c r="M551" s="70"/>
      <c r="N551" s="70"/>
      <c r="O551" s="70"/>
    </row>
    <row r="552" spans="1:15" x14ac:dyDescent="0.25">
      <c r="A552" s="37"/>
      <c r="B552" s="37"/>
      <c r="C552" s="70"/>
      <c r="D552" s="37"/>
      <c r="E552" s="70"/>
      <c r="F552" s="70"/>
      <c r="G552" s="37"/>
      <c r="H552" s="70"/>
      <c r="I552" s="70"/>
      <c r="J552" s="37"/>
      <c r="K552" s="70"/>
      <c r="L552" s="70"/>
      <c r="M552" s="70"/>
      <c r="N552" s="70"/>
      <c r="O552" s="70"/>
    </row>
    <row r="553" spans="1:15" x14ac:dyDescent="0.25">
      <c r="A553" s="37"/>
      <c r="B553" s="37"/>
      <c r="C553" s="70"/>
      <c r="D553" s="37"/>
      <c r="E553" s="70"/>
      <c r="F553" s="70"/>
      <c r="G553" s="37"/>
      <c r="H553" s="70"/>
      <c r="I553" s="70"/>
      <c r="J553" s="37"/>
      <c r="K553" s="70"/>
      <c r="L553" s="70"/>
      <c r="M553" s="70"/>
      <c r="N553" s="70"/>
      <c r="O553" s="70"/>
    </row>
    <row r="554" spans="1:15" x14ac:dyDescent="0.25">
      <c r="A554" s="37"/>
      <c r="B554" s="37"/>
      <c r="C554" s="70"/>
      <c r="D554" s="37"/>
      <c r="E554" s="70"/>
      <c r="F554" s="70"/>
      <c r="G554" s="37"/>
      <c r="H554" s="70"/>
      <c r="I554" s="70"/>
      <c r="J554" s="37"/>
      <c r="K554" s="70"/>
      <c r="L554" s="70"/>
      <c r="M554" s="70"/>
      <c r="N554" s="70"/>
      <c r="O554" s="70"/>
    </row>
    <row r="555" spans="1:15" x14ac:dyDescent="0.25">
      <c r="A555" s="37"/>
      <c r="B555" s="37"/>
      <c r="C555" s="70"/>
      <c r="D555" s="37"/>
      <c r="E555" s="70"/>
      <c r="F555" s="70"/>
      <c r="G555" s="37"/>
      <c r="H555" s="70"/>
      <c r="I555" s="70"/>
      <c r="J555" s="37"/>
      <c r="K555" s="70"/>
      <c r="L555" s="70"/>
      <c r="M555" s="70"/>
      <c r="N555" s="70"/>
      <c r="O555" s="70"/>
    </row>
    <row r="556" spans="1:15" x14ac:dyDescent="0.25">
      <c r="A556" s="37"/>
      <c r="B556" s="37"/>
      <c r="C556" s="70"/>
      <c r="D556" s="37"/>
      <c r="E556" s="70"/>
      <c r="F556" s="70"/>
      <c r="G556" s="37"/>
      <c r="H556" s="70"/>
      <c r="I556" s="70"/>
      <c r="J556" s="37"/>
      <c r="K556" s="70"/>
      <c r="L556" s="70"/>
      <c r="M556" s="70"/>
      <c r="N556" s="70"/>
      <c r="O556" s="70"/>
    </row>
    <row r="557" spans="1:15" x14ac:dyDescent="0.25">
      <c r="A557" s="37"/>
      <c r="B557" s="37"/>
      <c r="C557" s="70"/>
      <c r="D557" s="37"/>
      <c r="E557" s="70"/>
      <c r="F557" s="70"/>
      <c r="G557" s="37"/>
      <c r="H557" s="70"/>
      <c r="I557" s="70"/>
      <c r="J557" s="37"/>
      <c r="K557" s="70"/>
      <c r="L557" s="70"/>
      <c r="M557" s="70"/>
      <c r="N557" s="70"/>
      <c r="O557" s="70"/>
    </row>
    <row r="558" spans="1:15" x14ac:dyDescent="0.25">
      <c r="A558" s="37"/>
      <c r="B558" s="37"/>
      <c r="C558" s="70"/>
      <c r="D558" s="37"/>
      <c r="E558" s="70"/>
      <c r="F558" s="70"/>
      <c r="G558" s="37"/>
      <c r="H558" s="70"/>
      <c r="I558" s="70"/>
      <c r="J558" s="37"/>
      <c r="K558" s="70"/>
      <c r="L558" s="70"/>
      <c r="M558" s="70"/>
      <c r="N558" s="70"/>
      <c r="O558" s="70"/>
    </row>
    <row r="559" spans="1:15" x14ac:dyDescent="0.25">
      <c r="A559" s="37"/>
      <c r="B559" s="37"/>
      <c r="C559" s="70"/>
      <c r="D559" s="37"/>
      <c r="E559" s="70"/>
      <c r="F559" s="70"/>
      <c r="G559" s="37"/>
      <c r="H559" s="70"/>
      <c r="I559" s="70"/>
      <c r="J559" s="37"/>
      <c r="K559" s="70"/>
      <c r="L559" s="70"/>
      <c r="M559" s="70"/>
      <c r="N559" s="70"/>
      <c r="O559" s="70"/>
    </row>
    <row r="560" spans="1:15" x14ac:dyDescent="0.25">
      <c r="A560" s="37"/>
      <c r="B560" s="37"/>
      <c r="C560" s="70"/>
      <c r="D560" s="37"/>
      <c r="E560" s="70"/>
      <c r="F560" s="70"/>
      <c r="G560" s="37"/>
      <c r="H560" s="70"/>
      <c r="I560" s="70"/>
      <c r="J560" s="37"/>
      <c r="K560" s="70"/>
      <c r="L560" s="70"/>
      <c r="M560" s="70"/>
      <c r="N560" s="70"/>
      <c r="O560" s="70"/>
    </row>
    <row r="561" spans="1:15" x14ac:dyDescent="0.25">
      <c r="A561" s="37"/>
      <c r="B561" s="37"/>
      <c r="C561" s="70"/>
      <c r="D561" s="37"/>
      <c r="E561" s="70"/>
      <c r="F561" s="70"/>
      <c r="G561" s="37"/>
      <c r="H561" s="70"/>
      <c r="I561" s="70"/>
      <c r="J561" s="37"/>
      <c r="K561" s="70"/>
      <c r="L561" s="70"/>
      <c r="M561" s="70"/>
      <c r="N561" s="70"/>
      <c r="O561" s="70"/>
    </row>
    <row r="562" spans="1:15" x14ac:dyDescent="0.25">
      <c r="A562" s="37"/>
      <c r="B562" s="37"/>
      <c r="C562" s="70"/>
      <c r="D562" s="37"/>
      <c r="E562" s="70"/>
      <c r="F562" s="70"/>
      <c r="G562" s="37"/>
      <c r="H562" s="70"/>
      <c r="I562" s="70"/>
      <c r="J562" s="37"/>
      <c r="K562" s="70"/>
      <c r="L562" s="70"/>
      <c r="M562" s="70"/>
      <c r="N562" s="70"/>
      <c r="O562" s="70"/>
    </row>
    <row r="563" spans="1:15" x14ac:dyDescent="0.25">
      <c r="A563" s="37"/>
      <c r="B563" s="37"/>
      <c r="C563" s="70"/>
      <c r="D563" s="37"/>
      <c r="E563" s="70"/>
      <c r="F563" s="70"/>
      <c r="G563" s="37"/>
      <c r="H563" s="70"/>
      <c r="I563" s="70"/>
      <c r="J563" s="37"/>
      <c r="K563" s="70"/>
      <c r="L563" s="70"/>
      <c r="M563" s="70"/>
      <c r="N563" s="70"/>
      <c r="O563" s="70"/>
    </row>
    <row r="564" spans="1:15" x14ac:dyDescent="0.25">
      <c r="A564" s="37"/>
      <c r="B564" s="37"/>
      <c r="C564" s="70"/>
      <c r="D564" s="37"/>
      <c r="E564" s="70"/>
      <c r="F564" s="70"/>
      <c r="G564" s="37"/>
      <c r="H564" s="70"/>
      <c r="I564" s="70"/>
      <c r="J564" s="37"/>
      <c r="K564" s="70"/>
      <c r="L564" s="70"/>
      <c r="M564" s="70"/>
      <c r="N564" s="70"/>
      <c r="O564" s="70"/>
    </row>
    <row r="565" spans="1:15" x14ac:dyDescent="0.25">
      <c r="A565" s="37"/>
      <c r="B565" s="37"/>
      <c r="C565" s="70"/>
      <c r="D565" s="37"/>
      <c r="E565" s="70"/>
      <c r="F565" s="70"/>
      <c r="G565" s="37"/>
      <c r="H565" s="70"/>
      <c r="I565" s="70"/>
      <c r="J565" s="37"/>
      <c r="K565" s="70"/>
      <c r="L565" s="70"/>
      <c r="M565" s="70"/>
      <c r="N565" s="70"/>
      <c r="O565" s="70"/>
    </row>
    <row r="566" spans="1:15" x14ac:dyDescent="0.25">
      <c r="A566" s="37"/>
      <c r="B566" s="37"/>
      <c r="C566" s="70"/>
      <c r="D566" s="37"/>
      <c r="E566" s="70"/>
      <c r="F566" s="70"/>
      <c r="G566" s="37"/>
      <c r="H566" s="70"/>
      <c r="I566" s="70"/>
      <c r="J566" s="37"/>
      <c r="K566" s="70"/>
      <c r="L566" s="70"/>
      <c r="M566" s="70"/>
      <c r="N566" s="70"/>
      <c r="O566" s="70"/>
    </row>
    <row r="567" spans="1:15" x14ac:dyDescent="0.25">
      <c r="A567" s="37"/>
      <c r="B567" s="37"/>
      <c r="C567" s="70"/>
      <c r="D567" s="37"/>
      <c r="E567" s="70"/>
      <c r="F567" s="70"/>
      <c r="G567" s="37"/>
      <c r="H567" s="70"/>
      <c r="I567" s="70"/>
      <c r="J567" s="37"/>
      <c r="K567" s="70"/>
      <c r="L567" s="70"/>
      <c r="M567" s="70"/>
      <c r="N567" s="70"/>
      <c r="O567" s="70"/>
    </row>
    <row r="568" spans="1:15" x14ac:dyDescent="0.25">
      <c r="A568" s="37"/>
      <c r="B568" s="37"/>
      <c r="C568" s="70"/>
      <c r="D568" s="37"/>
      <c r="E568" s="70"/>
      <c r="F568" s="70"/>
      <c r="G568" s="37"/>
      <c r="H568" s="70"/>
      <c r="I568" s="70"/>
      <c r="J568" s="37"/>
      <c r="K568" s="70"/>
      <c r="L568" s="70"/>
      <c r="M568" s="70"/>
      <c r="N568" s="70"/>
      <c r="O568" s="70"/>
    </row>
    <row r="569" spans="1:15" x14ac:dyDescent="0.25">
      <c r="A569" s="37"/>
      <c r="B569" s="37"/>
      <c r="C569" s="70"/>
      <c r="D569" s="37"/>
      <c r="E569" s="70"/>
      <c r="F569" s="70"/>
      <c r="G569" s="37"/>
      <c r="H569" s="70"/>
      <c r="I569" s="70"/>
      <c r="J569" s="37"/>
      <c r="K569" s="70"/>
      <c r="L569" s="70"/>
      <c r="M569" s="70"/>
      <c r="N569" s="70"/>
      <c r="O569" s="70"/>
    </row>
    <row r="570" spans="1:15" x14ac:dyDescent="0.25">
      <c r="A570" s="37"/>
      <c r="B570" s="37"/>
      <c r="C570" s="70"/>
      <c r="D570" s="37"/>
      <c r="E570" s="70"/>
      <c r="F570" s="70"/>
      <c r="G570" s="37"/>
      <c r="H570" s="70"/>
      <c r="I570" s="70"/>
      <c r="J570" s="37"/>
      <c r="K570" s="70"/>
      <c r="L570" s="70"/>
      <c r="M570" s="70"/>
      <c r="N570" s="70"/>
      <c r="O570" s="70"/>
    </row>
    <row r="571" spans="1:15" x14ac:dyDescent="0.25">
      <c r="A571" s="37"/>
      <c r="B571" s="37"/>
      <c r="C571" s="70"/>
      <c r="D571" s="37"/>
      <c r="E571" s="70"/>
      <c r="F571" s="70"/>
      <c r="G571" s="37"/>
      <c r="H571" s="70"/>
      <c r="I571" s="70"/>
      <c r="J571" s="37"/>
      <c r="K571" s="70"/>
      <c r="L571" s="70"/>
      <c r="M571" s="70"/>
      <c r="N571" s="70"/>
      <c r="O571" s="70"/>
    </row>
    <row r="572" spans="1:15" x14ac:dyDescent="0.25">
      <c r="A572" s="37"/>
      <c r="B572" s="37"/>
      <c r="C572" s="70"/>
      <c r="D572" s="37"/>
      <c r="E572" s="70"/>
      <c r="F572" s="70"/>
      <c r="G572" s="37"/>
      <c r="H572" s="70"/>
      <c r="I572" s="70"/>
      <c r="J572" s="37"/>
      <c r="K572" s="70"/>
      <c r="L572" s="70"/>
      <c r="M572" s="70"/>
      <c r="N572" s="70"/>
      <c r="O572" s="70"/>
    </row>
    <row r="573" spans="1:15" x14ac:dyDescent="0.25">
      <c r="A573" s="37"/>
      <c r="B573" s="37"/>
      <c r="C573" s="70"/>
      <c r="D573" s="37"/>
      <c r="E573" s="70"/>
      <c r="F573" s="70"/>
      <c r="G573" s="37"/>
      <c r="H573" s="70"/>
      <c r="I573" s="70"/>
      <c r="J573" s="37"/>
      <c r="K573" s="70"/>
      <c r="L573" s="70"/>
      <c r="M573" s="70"/>
      <c r="N573" s="70"/>
      <c r="O573" s="70"/>
    </row>
    <row r="574" spans="1:15" x14ac:dyDescent="0.25">
      <c r="A574" s="37"/>
      <c r="B574" s="37"/>
      <c r="C574" s="70"/>
      <c r="D574" s="37"/>
      <c r="E574" s="70"/>
      <c r="F574" s="70"/>
      <c r="G574" s="37"/>
      <c r="H574" s="70"/>
      <c r="I574" s="70"/>
      <c r="J574" s="37"/>
      <c r="K574" s="70"/>
      <c r="L574" s="70"/>
      <c r="M574" s="70"/>
      <c r="N574" s="70"/>
      <c r="O574" s="70"/>
    </row>
    <row r="575" spans="1:15" x14ac:dyDescent="0.25">
      <c r="A575" s="37"/>
      <c r="B575" s="37"/>
      <c r="C575" s="70"/>
      <c r="D575" s="37"/>
      <c r="E575" s="70"/>
      <c r="F575" s="70"/>
      <c r="G575" s="37"/>
      <c r="H575" s="70"/>
      <c r="I575" s="70"/>
      <c r="J575" s="37"/>
      <c r="K575" s="70"/>
      <c r="L575" s="70"/>
      <c r="M575" s="70"/>
      <c r="N575" s="70"/>
      <c r="O575" s="70"/>
    </row>
    <row r="576" spans="1:15" x14ac:dyDescent="0.25">
      <c r="A576" s="37"/>
      <c r="B576" s="37"/>
      <c r="C576" s="70"/>
      <c r="D576" s="37"/>
      <c r="E576" s="70"/>
      <c r="F576" s="70"/>
      <c r="G576" s="37"/>
      <c r="H576" s="70"/>
      <c r="I576" s="70"/>
      <c r="J576" s="37"/>
      <c r="K576" s="70"/>
      <c r="L576" s="70"/>
      <c r="M576" s="70"/>
      <c r="N576" s="70"/>
      <c r="O576" s="70"/>
    </row>
    <row r="577" spans="1:15" x14ac:dyDescent="0.25">
      <c r="A577" s="37"/>
      <c r="B577" s="37"/>
      <c r="C577" s="70"/>
      <c r="D577" s="37"/>
      <c r="E577" s="70"/>
      <c r="F577" s="70"/>
      <c r="G577" s="37"/>
      <c r="H577" s="70"/>
      <c r="I577" s="70"/>
      <c r="J577" s="37"/>
      <c r="K577" s="70"/>
      <c r="L577" s="70"/>
      <c r="M577" s="70"/>
      <c r="N577" s="70"/>
      <c r="O577" s="70"/>
    </row>
    <row r="578" spans="1:15" x14ac:dyDescent="0.25">
      <c r="A578" s="37"/>
      <c r="B578" s="37"/>
      <c r="C578" s="70"/>
      <c r="D578" s="37"/>
      <c r="E578" s="70"/>
      <c r="F578" s="70"/>
      <c r="G578" s="37"/>
      <c r="H578" s="70"/>
      <c r="I578" s="70"/>
      <c r="J578" s="37"/>
      <c r="K578" s="70"/>
      <c r="L578" s="70"/>
      <c r="M578" s="70"/>
      <c r="N578" s="70"/>
      <c r="O578" s="70"/>
    </row>
    <row r="579" spans="1:15" x14ac:dyDescent="0.25">
      <c r="A579" s="37"/>
      <c r="B579" s="37"/>
      <c r="C579" s="70"/>
      <c r="D579" s="37"/>
      <c r="E579" s="70"/>
      <c r="F579" s="70"/>
      <c r="G579" s="37"/>
      <c r="H579" s="70"/>
      <c r="I579" s="70"/>
      <c r="J579" s="37"/>
      <c r="K579" s="70"/>
      <c r="L579" s="70"/>
      <c r="M579" s="70"/>
      <c r="N579" s="70"/>
      <c r="O579" s="70"/>
    </row>
    <row r="580" spans="1:15" x14ac:dyDescent="0.25">
      <c r="A580" s="37"/>
      <c r="B580" s="37"/>
      <c r="C580" s="70"/>
      <c r="D580" s="37"/>
      <c r="E580" s="70"/>
      <c r="F580" s="70"/>
      <c r="G580" s="37"/>
      <c r="H580" s="70"/>
      <c r="I580" s="70"/>
      <c r="J580" s="37"/>
      <c r="K580" s="70"/>
      <c r="L580" s="70"/>
      <c r="M580" s="70"/>
      <c r="N580" s="70"/>
      <c r="O580" s="70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4"/>
  <sheetViews>
    <sheetView topLeftCell="A5" zoomScale="90" zoomScaleNormal="90" workbookViewId="0">
      <pane ySplit="3" topLeftCell="A11" activePane="bottomLeft" state="frozen"/>
      <selection activeCell="A5" sqref="A5"/>
      <selection pane="bottomLeft" activeCell="K21" sqref="K21"/>
    </sheetView>
  </sheetViews>
  <sheetFormatPr baseColWidth="10" defaultRowHeight="15" x14ac:dyDescent="0.25"/>
  <cols>
    <col min="1" max="1" width="7.7109375" style="7" customWidth="1"/>
    <col min="2" max="2" width="8.7109375" style="7" customWidth="1"/>
    <col min="3" max="3" width="23.7109375" customWidth="1"/>
    <col min="4" max="4" width="7.7109375" style="7" customWidth="1"/>
    <col min="5" max="5" width="8.7109375" customWidth="1"/>
    <col min="6" max="6" width="23.7109375" customWidth="1"/>
    <col min="7" max="7" width="7.7109375" style="7" customWidth="1"/>
    <col min="8" max="8" width="8.7109375" customWidth="1"/>
    <col min="9" max="9" width="23.7109375" customWidth="1"/>
    <col min="10" max="10" width="7.7109375" style="7" customWidth="1"/>
    <col min="11" max="11" width="8.7109375" customWidth="1"/>
    <col min="12" max="12" width="24.7109375" customWidth="1"/>
    <col min="13" max="13" width="7.7109375" customWidth="1"/>
    <col min="14" max="14" width="9.855468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08" t="s">
        <v>10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10" t="s">
        <v>15</v>
      </c>
      <c r="M1" s="110"/>
      <c r="N1" s="6">
        <v>2014</v>
      </c>
      <c r="O1" s="5"/>
    </row>
    <row r="2" spans="1:18" ht="15.75" x14ac:dyDescent="0.25">
      <c r="A2" s="8">
        <v>2013</v>
      </c>
    </row>
    <row r="3" spans="1:18" ht="15.75" x14ac:dyDescent="0.25">
      <c r="A3" s="30" t="s">
        <v>7</v>
      </c>
      <c r="C3" s="116" t="s">
        <v>8</v>
      </c>
      <c r="D3" s="116"/>
      <c r="E3" s="28" t="s">
        <v>9</v>
      </c>
      <c r="F3" s="4" t="e">
        <f>#REF!+#REF!+#REF!+#REF!+#REF!</f>
        <v>#REF!</v>
      </c>
      <c r="H3" s="4" t="s">
        <v>3</v>
      </c>
      <c r="I3" s="2" t="e">
        <f>#REF!+#REF!+#REF!+#REF!+#REF!</f>
        <v>#REF!</v>
      </c>
    </row>
    <row r="5" spans="1:18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1" t="s">
        <v>6</v>
      </c>
      <c r="K5" s="121"/>
      <c r="L5" s="121"/>
      <c r="M5" s="122" t="s">
        <v>17</v>
      </c>
      <c r="N5" s="122"/>
      <c r="O5" s="122"/>
      <c r="Q5" s="117" t="s">
        <v>18</v>
      </c>
      <c r="R5" s="117"/>
    </row>
    <row r="6" spans="1:18" x14ac:dyDescent="0.25">
      <c r="A6" s="9">
        <f>SUBTOTAL(3,A8:A120)</f>
        <v>54</v>
      </c>
      <c r="B6" s="9">
        <f>SUBTOTAL(9,B8:B120)</f>
        <v>28320</v>
      </c>
      <c r="C6" s="47">
        <v>42064</v>
      </c>
      <c r="D6" s="9">
        <f>SUBTOTAL(3,D8:D120)</f>
        <v>52</v>
      </c>
      <c r="E6" s="1">
        <f>SUBTOTAL(9,E8:E120)</f>
        <v>29495</v>
      </c>
      <c r="F6" s="50">
        <v>42071</v>
      </c>
      <c r="G6" s="9">
        <f>SUBTOTAL(3,G8:G120)</f>
        <v>38</v>
      </c>
      <c r="H6" s="1">
        <f>SUBTOTAL(9,H8:H120)</f>
        <v>21660</v>
      </c>
      <c r="I6" s="51">
        <v>42078</v>
      </c>
      <c r="J6" s="9">
        <f>SUBTOTAL(3,J8:J110)</f>
        <v>40</v>
      </c>
      <c r="K6" s="1">
        <f>SUBTOTAL(9,K8:K110)</f>
        <v>33440</v>
      </c>
      <c r="L6" s="95">
        <v>42085</v>
      </c>
      <c r="M6" s="1">
        <f>SUBTOTAL(3,M8:M120)</f>
        <v>24</v>
      </c>
      <c r="N6" s="1">
        <f>SUBTOTAL(9,N8:N120)</f>
        <v>22340</v>
      </c>
      <c r="O6" s="97">
        <v>42092</v>
      </c>
      <c r="Q6" s="42">
        <f>+A6+D6+G6+J6+M6</f>
        <v>208</v>
      </c>
      <c r="R6" s="46">
        <f>+B6+E6+H6+K6+N6</f>
        <v>135255</v>
      </c>
    </row>
    <row r="7" spans="1:18" x14ac:dyDescent="0.25">
      <c r="A7" s="55" t="s">
        <v>1</v>
      </c>
      <c r="B7" s="55" t="s">
        <v>3</v>
      </c>
      <c r="C7" s="55" t="s">
        <v>2</v>
      </c>
      <c r="D7" s="56" t="s">
        <v>1</v>
      </c>
      <c r="E7" s="56" t="s">
        <v>3</v>
      </c>
      <c r="F7" s="56" t="s">
        <v>2</v>
      </c>
      <c r="G7" s="57" t="s">
        <v>1</v>
      </c>
      <c r="H7" s="57" t="s">
        <v>3</v>
      </c>
      <c r="I7" s="57" t="s">
        <v>2</v>
      </c>
      <c r="J7" s="90" t="s">
        <v>1</v>
      </c>
      <c r="K7" s="90" t="s">
        <v>3</v>
      </c>
      <c r="L7" s="90" t="s">
        <v>2</v>
      </c>
      <c r="M7" s="53" t="s">
        <v>1</v>
      </c>
      <c r="N7" s="53" t="s">
        <v>3</v>
      </c>
      <c r="O7" s="53" t="s">
        <v>2</v>
      </c>
      <c r="P7" s="39"/>
      <c r="Q7" s="54" t="s">
        <v>9</v>
      </c>
      <c r="R7" s="54" t="s">
        <v>3</v>
      </c>
    </row>
    <row r="8" spans="1:18" x14ac:dyDescent="0.25">
      <c r="A8" s="25">
        <v>9002</v>
      </c>
      <c r="B8" s="61">
        <v>400</v>
      </c>
      <c r="C8" s="26" t="s">
        <v>114</v>
      </c>
      <c r="D8" s="20">
        <v>9056</v>
      </c>
      <c r="E8" s="82">
        <v>600</v>
      </c>
      <c r="F8" s="21" t="s">
        <v>114</v>
      </c>
      <c r="G8" s="17">
        <v>9108</v>
      </c>
      <c r="H8" s="79">
        <v>400</v>
      </c>
      <c r="I8" s="18" t="s">
        <v>115</v>
      </c>
      <c r="J8" s="92">
        <v>9146</v>
      </c>
      <c r="K8" s="93">
        <v>600</v>
      </c>
      <c r="L8" s="94" t="s">
        <v>40</v>
      </c>
      <c r="M8" s="87">
        <v>9186</v>
      </c>
      <c r="N8" s="85">
        <v>600</v>
      </c>
      <c r="O8" s="23" t="s">
        <v>145</v>
      </c>
      <c r="Q8" s="44"/>
      <c r="R8" s="44"/>
    </row>
    <row r="9" spans="1:18" x14ac:dyDescent="0.25">
      <c r="A9" s="25">
        <v>9003</v>
      </c>
      <c r="B9" s="61">
        <v>400</v>
      </c>
      <c r="C9" s="26" t="s">
        <v>114</v>
      </c>
      <c r="D9" s="20">
        <v>9057</v>
      </c>
      <c r="E9" s="82"/>
      <c r="F9" s="21" t="s">
        <v>73</v>
      </c>
      <c r="G9" s="17">
        <v>9109</v>
      </c>
      <c r="H9" s="79">
        <v>1000</v>
      </c>
      <c r="I9" s="18" t="s">
        <v>195</v>
      </c>
      <c r="J9" s="65"/>
      <c r="K9" s="84"/>
      <c r="L9" s="66" t="s">
        <v>76</v>
      </c>
      <c r="M9" s="87"/>
      <c r="N9" s="85"/>
      <c r="O9" s="23" t="s">
        <v>33</v>
      </c>
    </row>
    <row r="10" spans="1:18" x14ac:dyDescent="0.25">
      <c r="A10" s="25">
        <v>9004</v>
      </c>
      <c r="B10" s="61">
        <v>400</v>
      </c>
      <c r="C10" s="26"/>
      <c r="D10" s="20">
        <v>9058</v>
      </c>
      <c r="E10" s="82">
        <v>960</v>
      </c>
      <c r="F10" s="21" t="s">
        <v>127</v>
      </c>
      <c r="G10" s="17"/>
      <c r="H10" s="79"/>
      <c r="I10" s="18" t="s">
        <v>196</v>
      </c>
      <c r="J10" s="65">
        <v>9147</v>
      </c>
      <c r="K10" s="84"/>
      <c r="L10" s="66" t="s">
        <v>73</v>
      </c>
      <c r="M10" s="87">
        <v>9187</v>
      </c>
      <c r="N10" s="85">
        <v>160</v>
      </c>
      <c r="O10" s="23" t="s">
        <v>223</v>
      </c>
      <c r="Q10">
        <v>10620</v>
      </c>
    </row>
    <row r="11" spans="1:18" x14ac:dyDescent="0.25">
      <c r="A11" s="25">
        <v>9005</v>
      </c>
      <c r="B11" s="61">
        <v>400</v>
      </c>
      <c r="C11" s="26"/>
      <c r="D11" s="20"/>
      <c r="E11" s="82"/>
      <c r="F11" s="21" t="s">
        <v>175</v>
      </c>
      <c r="G11" s="17">
        <v>9110</v>
      </c>
      <c r="H11" s="79">
        <v>400</v>
      </c>
      <c r="I11" s="18"/>
      <c r="J11" s="65">
        <v>9148</v>
      </c>
      <c r="K11" s="84">
        <v>1800</v>
      </c>
      <c r="L11" s="66" t="s">
        <v>201</v>
      </c>
      <c r="M11" s="87"/>
      <c r="N11" s="85"/>
      <c r="O11" s="23" t="s">
        <v>224</v>
      </c>
    </row>
    <row r="12" spans="1:18" x14ac:dyDescent="0.25">
      <c r="A12" s="25">
        <v>9006</v>
      </c>
      <c r="B12" s="61">
        <v>400</v>
      </c>
      <c r="C12" s="26"/>
      <c r="D12" s="20"/>
      <c r="E12" s="82"/>
      <c r="F12" s="21" t="s">
        <v>176</v>
      </c>
      <c r="G12" s="17">
        <v>9111</v>
      </c>
      <c r="H12" s="79">
        <v>1200</v>
      </c>
      <c r="I12" s="18" t="s">
        <v>42</v>
      </c>
      <c r="J12" s="65"/>
      <c r="K12" s="84"/>
      <c r="L12" s="66" t="s">
        <v>202</v>
      </c>
      <c r="M12" s="87">
        <v>9188</v>
      </c>
      <c r="N12" s="85">
        <v>1200</v>
      </c>
      <c r="O12" s="23" t="s">
        <v>40</v>
      </c>
    </row>
    <row r="13" spans="1:18" x14ac:dyDescent="0.25">
      <c r="A13" s="25">
        <v>9007</v>
      </c>
      <c r="B13" s="61">
        <v>200</v>
      </c>
      <c r="C13" s="26" t="s">
        <v>115</v>
      </c>
      <c r="D13" s="20">
        <v>9059</v>
      </c>
      <c r="E13" s="82">
        <v>300</v>
      </c>
      <c r="F13" s="21"/>
      <c r="G13" s="17"/>
      <c r="H13" s="79"/>
      <c r="I13" s="18" t="s">
        <v>25</v>
      </c>
      <c r="J13" s="65">
        <v>9149</v>
      </c>
      <c r="K13" s="84">
        <v>800</v>
      </c>
      <c r="L13" s="66" t="s">
        <v>145</v>
      </c>
      <c r="M13" s="87"/>
      <c r="N13" s="85"/>
      <c r="O13" s="23" t="s">
        <v>33</v>
      </c>
    </row>
    <row r="14" spans="1:18" x14ac:dyDescent="0.25">
      <c r="A14" s="25">
        <v>9008</v>
      </c>
      <c r="B14" s="61">
        <v>400</v>
      </c>
      <c r="C14" s="26"/>
      <c r="D14" s="20">
        <v>9060</v>
      </c>
      <c r="E14" s="82">
        <v>360</v>
      </c>
      <c r="F14" s="21" t="s">
        <v>177</v>
      </c>
      <c r="G14" s="17">
        <v>9112</v>
      </c>
      <c r="H14" s="79">
        <v>160</v>
      </c>
      <c r="I14" s="18" t="s">
        <v>49</v>
      </c>
      <c r="J14" s="65"/>
      <c r="K14" s="84"/>
      <c r="L14" s="66" t="s">
        <v>25</v>
      </c>
      <c r="M14" s="87">
        <v>9189</v>
      </c>
      <c r="N14" s="85">
        <v>500</v>
      </c>
      <c r="O14" s="43" t="s">
        <v>225</v>
      </c>
    </row>
    <row r="15" spans="1:18" x14ac:dyDescent="0.25">
      <c r="A15" s="25">
        <v>9009</v>
      </c>
      <c r="B15" s="61">
        <v>160</v>
      </c>
      <c r="C15" s="26" t="s">
        <v>49</v>
      </c>
      <c r="D15" s="20">
        <v>9061</v>
      </c>
      <c r="E15" s="82">
        <v>960</v>
      </c>
      <c r="F15" s="21" t="s">
        <v>178</v>
      </c>
      <c r="G15" s="17">
        <v>9113</v>
      </c>
      <c r="H15" s="79">
        <v>600</v>
      </c>
      <c r="I15" s="18" t="s">
        <v>39</v>
      </c>
      <c r="J15" s="65">
        <v>9150</v>
      </c>
      <c r="K15" s="84">
        <v>1800</v>
      </c>
      <c r="L15" s="66" t="s">
        <v>34</v>
      </c>
      <c r="M15" s="87"/>
      <c r="N15" s="85"/>
      <c r="O15" s="23" t="s">
        <v>226</v>
      </c>
    </row>
    <row r="16" spans="1:18" x14ac:dyDescent="0.25">
      <c r="A16" s="25">
        <v>9010</v>
      </c>
      <c r="B16" s="61">
        <v>400</v>
      </c>
      <c r="C16" s="26" t="s">
        <v>46</v>
      </c>
      <c r="D16" s="20"/>
      <c r="E16" s="82"/>
      <c r="F16" s="21" t="s">
        <v>175</v>
      </c>
      <c r="G16" s="17"/>
      <c r="H16" s="79"/>
      <c r="I16" s="18" t="s">
        <v>33</v>
      </c>
      <c r="J16" s="65"/>
      <c r="K16" s="84"/>
      <c r="L16" s="66" t="s">
        <v>203</v>
      </c>
      <c r="M16" s="87">
        <v>9190</v>
      </c>
      <c r="N16" s="85">
        <v>300</v>
      </c>
      <c r="O16" s="23"/>
    </row>
    <row r="17" spans="1:15" x14ac:dyDescent="0.25">
      <c r="A17" s="25"/>
      <c r="B17" s="61"/>
      <c r="C17" s="26" t="s">
        <v>27</v>
      </c>
      <c r="D17" s="20"/>
      <c r="E17" s="82"/>
      <c r="F17" s="21" t="s">
        <v>179</v>
      </c>
      <c r="G17" s="17">
        <v>9114</v>
      </c>
      <c r="H17" s="79">
        <v>400</v>
      </c>
      <c r="I17" s="18"/>
      <c r="J17" s="65">
        <v>9151</v>
      </c>
      <c r="K17" s="84">
        <v>600</v>
      </c>
      <c r="L17" s="66" t="s">
        <v>42</v>
      </c>
      <c r="M17" s="87">
        <v>9191</v>
      </c>
      <c r="N17" s="85">
        <v>160</v>
      </c>
      <c r="O17" s="23" t="s">
        <v>49</v>
      </c>
    </row>
    <row r="18" spans="1:15" x14ac:dyDescent="0.25">
      <c r="A18" s="25">
        <v>9011</v>
      </c>
      <c r="B18" s="61">
        <v>200</v>
      </c>
      <c r="C18" s="26"/>
      <c r="D18" s="20">
        <v>9062</v>
      </c>
      <c r="E18" s="82">
        <v>400</v>
      </c>
      <c r="F18" s="21" t="s">
        <v>180</v>
      </c>
      <c r="G18" s="17">
        <v>9115</v>
      </c>
      <c r="H18" s="79">
        <v>300</v>
      </c>
      <c r="I18" s="18" t="s">
        <v>151</v>
      </c>
      <c r="J18" s="65"/>
      <c r="K18" s="84"/>
      <c r="L18" s="66" t="s">
        <v>27</v>
      </c>
      <c r="M18" s="87">
        <v>9192</v>
      </c>
      <c r="N18" s="85">
        <v>300</v>
      </c>
      <c r="O18" s="23" t="s">
        <v>222</v>
      </c>
    </row>
    <row r="19" spans="1:15" x14ac:dyDescent="0.25">
      <c r="A19" s="25">
        <v>9012</v>
      </c>
      <c r="B19" s="61">
        <v>400</v>
      </c>
      <c r="C19" s="26" t="s">
        <v>114</v>
      </c>
      <c r="D19" s="20"/>
      <c r="E19" s="82"/>
      <c r="F19" s="21" t="s">
        <v>181</v>
      </c>
      <c r="G19" s="17"/>
      <c r="H19" s="79"/>
      <c r="I19" s="18" t="s">
        <v>76</v>
      </c>
      <c r="J19" s="65">
        <v>9152</v>
      </c>
      <c r="K19" s="84"/>
      <c r="L19" s="66" t="s">
        <v>204</v>
      </c>
      <c r="M19" s="87">
        <v>9193</v>
      </c>
      <c r="N19" s="85">
        <v>300</v>
      </c>
      <c r="O19" s="23"/>
    </row>
    <row r="20" spans="1:15" x14ac:dyDescent="0.25">
      <c r="A20" s="25">
        <v>9013</v>
      </c>
      <c r="B20" s="61">
        <v>200</v>
      </c>
      <c r="C20" s="26" t="s">
        <v>114</v>
      </c>
      <c r="D20" s="20">
        <v>9063</v>
      </c>
      <c r="E20" s="82">
        <v>1200</v>
      </c>
      <c r="F20" s="21" t="s">
        <v>182</v>
      </c>
      <c r="G20" s="17">
        <v>9116</v>
      </c>
      <c r="H20" s="79">
        <v>400</v>
      </c>
      <c r="I20" s="18"/>
      <c r="J20" s="65"/>
      <c r="K20" s="84"/>
      <c r="L20" s="66" t="s">
        <v>205</v>
      </c>
      <c r="M20" s="87">
        <v>9194</v>
      </c>
      <c r="N20" s="85">
        <v>400</v>
      </c>
      <c r="O20" s="23" t="s">
        <v>222</v>
      </c>
    </row>
    <row r="21" spans="1:15" x14ac:dyDescent="0.25">
      <c r="A21" s="25">
        <v>9014</v>
      </c>
      <c r="B21" s="61">
        <v>4400</v>
      </c>
      <c r="C21" s="26" t="s">
        <v>163</v>
      </c>
      <c r="D21" s="20">
        <v>9064</v>
      </c>
      <c r="E21" s="82">
        <v>400</v>
      </c>
      <c r="F21" s="21"/>
      <c r="G21" s="17">
        <v>9117</v>
      </c>
      <c r="H21" s="79">
        <v>300</v>
      </c>
      <c r="I21" s="18"/>
      <c r="J21" s="65">
        <v>9153</v>
      </c>
      <c r="K21" s="84"/>
      <c r="L21" s="66" t="s">
        <v>206</v>
      </c>
      <c r="M21" s="87">
        <v>9195</v>
      </c>
      <c r="N21" s="85">
        <v>400</v>
      </c>
      <c r="O21" s="23" t="s">
        <v>222</v>
      </c>
    </row>
    <row r="22" spans="1:15" x14ac:dyDescent="0.25">
      <c r="A22" s="25"/>
      <c r="B22" s="61"/>
      <c r="C22" s="26" t="s">
        <v>164</v>
      </c>
      <c r="D22" s="20">
        <v>9065</v>
      </c>
      <c r="E22" s="82">
        <v>800</v>
      </c>
      <c r="F22" s="21" t="s">
        <v>178</v>
      </c>
      <c r="G22" s="17">
        <v>9118</v>
      </c>
      <c r="H22" s="79">
        <v>200</v>
      </c>
      <c r="I22" s="18" t="s">
        <v>114</v>
      </c>
      <c r="J22" s="65"/>
      <c r="K22" s="84"/>
      <c r="L22" s="66" t="s">
        <v>207</v>
      </c>
      <c r="M22" s="87">
        <v>9196</v>
      </c>
      <c r="N22" s="85">
        <v>720</v>
      </c>
      <c r="O22" s="23" t="s">
        <v>227</v>
      </c>
    </row>
    <row r="23" spans="1:15" x14ac:dyDescent="0.25">
      <c r="A23" s="25"/>
      <c r="B23" s="61"/>
      <c r="C23" s="26" t="s">
        <v>162</v>
      </c>
      <c r="D23" s="20"/>
      <c r="E23" s="82"/>
      <c r="F23" s="21" t="s">
        <v>128</v>
      </c>
      <c r="G23" s="17">
        <v>9119</v>
      </c>
      <c r="H23" s="79">
        <v>1600</v>
      </c>
      <c r="I23" s="18" t="s">
        <v>197</v>
      </c>
      <c r="J23" s="65">
        <v>9154</v>
      </c>
      <c r="K23" s="84">
        <v>2000</v>
      </c>
      <c r="L23" s="66" t="s">
        <v>208</v>
      </c>
      <c r="M23" s="87"/>
      <c r="N23" s="85"/>
      <c r="O23" s="23" t="s">
        <v>228</v>
      </c>
    </row>
    <row r="24" spans="1:15" x14ac:dyDescent="0.25">
      <c r="A24" s="25">
        <v>9015</v>
      </c>
      <c r="B24" s="61">
        <v>160</v>
      </c>
      <c r="C24" s="26" t="s">
        <v>23</v>
      </c>
      <c r="D24" s="20">
        <v>9066</v>
      </c>
      <c r="E24" s="82">
        <v>400</v>
      </c>
      <c r="F24" s="21" t="s">
        <v>114</v>
      </c>
      <c r="G24" s="17"/>
      <c r="H24" s="79"/>
      <c r="I24" s="18" t="s">
        <v>100</v>
      </c>
      <c r="J24" s="65"/>
      <c r="K24" s="84"/>
      <c r="L24" s="66" t="s">
        <v>209</v>
      </c>
      <c r="M24" s="87">
        <v>9197</v>
      </c>
      <c r="N24" s="85">
        <v>400</v>
      </c>
      <c r="O24" s="23" t="s">
        <v>114</v>
      </c>
    </row>
    <row r="25" spans="1:15" x14ac:dyDescent="0.25">
      <c r="A25" s="25"/>
      <c r="B25" s="61"/>
      <c r="C25" s="26" t="s">
        <v>165</v>
      </c>
      <c r="D25" s="20">
        <v>9067</v>
      </c>
      <c r="E25" s="82">
        <v>350</v>
      </c>
      <c r="F25" s="21"/>
      <c r="G25" s="17">
        <v>9120</v>
      </c>
      <c r="H25" s="79">
        <v>2200</v>
      </c>
      <c r="I25" s="18" t="s">
        <v>554</v>
      </c>
      <c r="J25" s="65">
        <v>9155</v>
      </c>
      <c r="K25" s="84">
        <v>800</v>
      </c>
      <c r="L25" s="66" t="s">
        <v>145</v>
      </c>
      <c r="M25" s="87">
        <v>9198</v>
      </c>
      <c r="N25" s="85">
        <v>400</v>
      </c>
      <c r="O25" s="23" t="s">
        <v>222</v>
      </c>
    </row>
    <row r="26" spans="1:15" x14ac:dyDescent="0.25">
      <c r="A26" s="25">
        <v>9016</v>
      </c>
      <c r="B26" s="61">
        <v>500</v>
      </c>
      <c r="C26" s="26" t="s">
        <v>145</v>
      </c>
      <c r="D26" s="20">
        <v>9068</v>
      </c>
      <c r="E26" s="82">
        <v>400</v>
      </c>
      <c r="F26" s="21"/>
      <c r="G26" s="17"/>
      <c r="H26" s="79"/>
      <c r="I26" s="18"/>
      <c r="J26" s="65"/>
      <c r="K26" s="84"/>
      <c r="L26" s="66" t="s">
        <v>25</v>
      </c>
      <c r="M26" s="87">
        <v>9199</v>
      </c>
      <c r="N26" s="85">
        <v>800</v>
      </c>
      <c r="O26" s="23" t="s">
        <v>145</v>
      </c>
    </row>
    <row r="27" spans="1:15" x14ac:dyDescent="0.25">
      <c r="A27" s="25"/>
      <c r="B27" s="61"/>
      <c r="C27" s="26" t="s">
        <v>81</v>
      </c>
      <c r="D27" s="20">
        <v>9069</v>
      </c>
      <c r="E27" s="82">
        <v>400</v>
      </c>
      <c r="F27" s="21"/>
      <c r="G27" s="17">
        <v>9121</v>
      </c>
      <c r="H27" s="79">
        <v>800</v>
      </c>
      <c r="I27" s="18" t="s">
        <v>151</v>
      </c>
      <c r="J27" s="65">
        <v>9156</v>
      </c>
      <c r="K27" s="84">
        <v>1600</v>
      </c>
      <c r="L27" s="66" t="s">
        <v>210</v>
      </c>
      <c r="M27" s="87"/>
      <c r="N27" s="85"/>
      <c r="O27" s="43" t="s">
        <v>25</v>
      </c>
    </row>
    <row r="28" spans="1:15" x14ac:dyDescent="0.25">
      <c r="A28" s="25">
        <v>9017</v>
      </c>
      <c r="B28" s="61">
        <v>200</v>
      </c>
      <c r="C28" s="26"/>
      <c r="D28" s="20">
        <v>9070</v>
      </c>
      <c r="E28" s="82">
        <v>350</v>
      </c>
      <c r="F28" s="21"/>
      <c r="G28" s="17"/>
      <c r="H28" s="79"/>
      <c r="I28" s="18" t="s">
        <v>25</v>
      </c>
      <c r="J28" s="65"/>
      <c r="K28" s="84"/>
      <c r="L28" s="103" t="s">
        <v>211</v>
      </c>
      <c r="M28" s="87">
        <v>9200</v>
      </c>
      <c r="N28" s="85">
        <v>600</v>
      </c>
      <c r="O28" s="23" t="s">
        <v>151</v>
      </c>
    </row>
    <row r="29" spans="1:15" x14ac:dyDescent="0.25">
      <c r="A29" s="25">
        <v>9018</v>
      </c>
      <c r="B29" s="61">
        <v>320</v>
      </c>
      <c r="C29" s="26" t="s">
        <v>166</v>
      </c>
      <c r="D29" s="20">
        <v>9071</v>
      </c>
      <c r="E29" s="82">
        <v>125</v>
      </c>
      <c r="F29" s="21"/>
      <c r="G29" s="17">
        <v>9122</v>
      </c>
      <c r="H29" s="79">
        <v>400</v>
      </c>
      <c r="I29" s="18"/>
      <c r="J29" s="65">
        <v>9157</v>
      </c>
      <c r="K29" s="84">
        <v>900</v>
      </c>
      <c r="L29" s="66" t="s">
        <v>212</v>
      </c>
      <c r="M29" s="87"/>
      <c r="N29" s="85"/>
      <c r="O29" s="23" t="s">
        <v>33</v>
      </c>
    </row>
    <row r="30" spans="1:15" x14ac:dyDescent="0.25">
      <c r="A30" s="25"/>
      <c r="B30" s="61"/>
      <c r="C30" s="26" t="s">
        <v>167</v>
      </c>
      <c r="D30" s="20">
        <v>9072</v>
      </c>
      <c r="E30" s="82">
        <v>400</v>
      </c>
      <c r="F30" s="21"/>
      <c r="G30" s="17">
        <v>9123</v>
      </c>
      <c r="H30" s="79">
        <v>160</v>
      </c>
      <c r="I30" s="18" t="s">
        <v>49</v>
      </c>
      <c r="J30" s="65"/>
      <c r="K30" s="84"/>
      <c r="L30" s="66" t="s">
        <v>213</v>
      </c>
      <c r="M30" s="87">
        <v>9201</v>
      </c>
      <c r="N30" s="85">
        <v>400</v>
      </c>
      <c r="O30" s="23"/>
    </row>
    <row r="31" spans="1:15" x14ac:dyDescent="0.25">
      <c r="A31" s="25">
        <v>9019</v>
      </c>
      <c r="B31" s="61">
        <v>400</v>
      </c>
      <c r="C31" s="26"/>
      <c r="D31" s="20">
        <v>9073</v>
      </c>
      <c r="E31" s="82">
        <v>300</v>
      </c>
      <c r="F31" s="21" t="s">
        <v>114</v>
      </c>
      <c r="G31" s="17">
        <v>9124</v>
      </c>
      <c r="H31" s="79">
        <v>300</v>
      </c>
      <c r="I31" s="18"/>
      <c r="J31" s="65">
        <v>9158</v>
      </c>
      <c r="K31" s="84">
        <v>6000</v>
      </c>
      <c r="L31" s="66" t="s">
        <v>34</v>
      </c>
      <c r="M31" s="87">
        <v>9202</v>
      </c>
      <c r="N31" s="85">
        <v>200</v>
      </c>
      <c r="O31" s="23"/>
    </row>
    <row r="32" spans="1:15" x14ac:dyDescent="0.25">
      <c r="A32" s="25">
        <v>9020</v>
      </c>
      <c r="B32" s="61">
        <v>400</v>
      </c>
      <c r="C32" s="26" t="s">
        <v>151</v>
      </c>
      <c r="D32" s="20">
        <v>9074</v>
      </c>
      <c r="E32" s="82">
        <v>600</v>
      </c>
      <c r="F32" s="21" t="s">
        <v>183</v>
      </c>
      <c r="G32" s="17">
        <v>9125</v>
      </c>
      <c r="H32" s="79">
        <v>400</v>
      </c>
      <c r="I32" s="18"/>
      <c r="J32" s="65"/>
      <c r="K32" s="84"/>
      <c r="L32" s="66" t="s">
        <v>214</v>
      </c>
      <c r="M32" s="87">
        <v>9203</v>
      </c>
      <c r="N32" s="85">
        <v>700</v>
      </c>
      <c r="O32" s="23" t="s">
        <v>151</v>
      </c>
    </row>
    <row r="33" spans="1:15" x14ac:dyDescent="0.25">
      <c r="A33" s="25"/>
      <c r="B33" s="61"/>
      <c r="C33" s="26" t="s">
        <v>27</v>
      </c>
      <c r="D33" s="20"/>
      <c r="E33" s="82"/>
      <c r="F33" s="21" t="s">
        <v>128</v>
      </c>
      <c r="G33" s="17">
        <v>9126</v>
      </c>
      <c r="H33" s="79">
        <v>400</v>
      </c>
      <c r="I33" s="18"/>
      <c r="J33" s="65"/>
      <c r="K33" s="84"/>
      <c r="L33" s="66" t="s">
        <v>215</v>
      </c>
      <c r="M33" s="87"/>
      <c r="N33" s="85"/>
      <c r="O33" s="23" t="s">
        <v>161</v>
      </c>
    </row>
    <row r="34" spans="1:15" x14ac:dyDescent="0.25">
      <c r="A34" s="25">
        <v>9021</v>
      </c>
      <c r="B34" s="61">
        <v>1200</v>
      </c>
      <c r="C34" s="26" t="s">
        <v>168</v>
      </c>
      <c r="D34" s="20">
        <v>9075</v>
      </c>
      <c r="E34" s="82"/>
      <c r="F34" s="21" t="s">
        <v>73</v>
      </c>
      <c r="G34" s="17">
        <v>9127</v>
      </c>
      <c r="H34" s="79">
        <v>1200</v>
      </c>
      <c r="I34" s="18" t="s">
        <v>34</v>
      </c>
      <c r="J34" s="65">
        <v>9159</v>
      </c>
      <c r="K34" s="84">
        <v>800</v>
      </c>
      <c r="L34" s="66" t="s">
        <v>145</v>
      </c>
      <c r="M34" s="87">
        <v>9204</v>
      </c>
      <c r="N34" s="85">
        <v>800</v>
      </c>
      <c r="O34" s="43" t="s">
        <v>145</v>
      </c>
    </row>
    <row r="35" spans="1:15" x14ac:dyDescent="0.25">
      <c r="A35" s="25"/>
      <c r="B35" s="61"/>
      <c r="C35" s="26" t="s">
        <v>162</v>
      </c>
      <c r="D35" s="20">
        <v>9076</v>
      </c>
      <c r="E35" s="82">
        <v>400</v>
      </c>
      <c r="F35" s="21"/>
      <c r="G35" s="17"/>
      <c r="H35" s="79"/>
      <c r="I35" s="18" t="s">
        <v>33</v>
      </c>
      <c r="J35" s="65"/>
      <c r="K35" s="84"/>
      <c r="L35" s="66" t="s">
        <v>25</v>
      </c>
      <c r="M35" s="87"/>
      <c r="N35" s="85"/>
      <c r="O35" s="23" t="s">
        <v>25</v>
      </c>
    </row>
    <row r="36" spans="1:15" x14ac:dyDescent="0.25">
      <c r="A36" s="25">
        <v>9022</v>
      </c>
      <c r="B36" s="61">
        <v>400</v>
      </c>
      <c r="C36" s="26" t="s">
        <v>39</v>
      </c>
      <c r="D36" s="20">
        <v>9077</v>
      </c>
      <c r="E36" s="82">
        <v>200</v>
      </c>
      <c r="F36" s="21" t="s">
        <v>114</v>
      </c>
      <c r="G36" s="17">
        <v>9128</v>
      </c>
      <c r="H36" s="79">
        <v>400</v>
      </c>
      <c r="I36" s="18"/>
      <c r="J36" s="65">
        <v>9160</v>
      </c>
      <c r="K36" s="84">
        <v>800</v>
      </c>
      <c r="L36" s="66" t="s">
        <v>151</v>
      </c>
      <c r="M36" s="87">
        <v>9205</v>
      </c>
      <c r="N36" s="85">
        <v>400</v>
      </c>
      <c r="O36" s="23"/>
    </row>
    <row r="37" spans="1:15" x14ac:dyDescent="0.25">
      <c r="A37" s="25"/>
      <c r="B37" s="61"/>
      <c r="C37" s="26" t="s">
        <v>27</v>
      </c>
      <c r="D37" s="20">
        <v>9078</v>
      </c>
      <c r="E37" s="82">
        <v>800</v>
      </c>
      <c r="F37" s="21" t="s">
        <v>26</v>
      </c>
      <c r="G37" s="17">
        <v>9129</v>
      </c>
      <c r="H37" s="79">
        <v>400</v>
      </c>
      <c r="I37" s="18"/>
      <c r="J37" s="65"/>
      <c r="K37" s="84"/>
      <c r="L37" s="66" t="s">
        <v>25</v>
      </c>
      <c r="M37" s="87">
        <v>9206</v>
      </c>
      <c r="N37" s="85">
        <v>400</v>
      </c>
      <c r="O37" s="23" t="s">
        <v>222</v>
      </c>
    </row>
    <row r="38" spans="1:15" x14ac:dyDescent="0.25">
      <c r="A38" s="25">
        <v>9023</v>
      </c>
      <c r="B38" s="61">
        <v>300</v>
      </c>
      <c r="C38" s="26"/>
      <c r="D38" s="20"/>
      <c r="E38" s="82"/>
      <c r="F38" s="21" t="s">
        <v>25</v>
      </c>
      <c r="G38" s="17">
        <v>9130</v>
      </c>
      <c r="H38" s="79">
        <v>160</v>
      </c>
      <c r="I38" s="18" t="s">
        <v>23</v>
      </c>
      <c r="J38" s="65">
        <v>9161</v>
      </c>
      <c r="K38" s="84">
        <v>400</v>
      </c>
      <c r="L38" s="66"/>
      <c r="M38" s="87">
        <v>9207</v>
      </c>
      <c r="N38" s="85">
        <v>400</v>
      </c>
      <c r="O38" s="23" t="s">
        <v>222</v>
      </c>
    </row>
    <row r="39" spans="1:15" x14ac:dyDescent="0.25">
      <c r="A39" s="25">
        <v>9024</v>
      </c>
      <c r="B39" s="61">
        <v>600</v>
      </c>
      <c r="C39" s="26" t="s">
        <v>151</v>
      </c>
      <c r="D39" s="20">
        <v>9079</v>
      </c>
      <c r="E39" s="82">
        <v>800</v>
      </c>
      <c r="F39" s="21" t="s">
        <v>184</v>
      </c>
      <c r="G39" s="17"/>
      <c r="H39" s="79"/>
      <c r="I39" s="18" t="s">
        <v>198</v>
      </c>
      <c r="J39" s="65">
        <v>9162</v>
      </c>
      <c r="K39" s="84">
        <v>400</v>
      </c>
      <c r="L39" s="66"/>
      <c r="M39" s="87">
        <v>9208</v>
      </c>
      <c r="N39" s="85">
        <v>400</v>
      </c>
      <c r="O39" s="23" t="s">
        <v>222</v>
      </c>
    </row>
    <row r="40" spans="1:15" x14ac:dyDescent="0.25">
      <c r="A40" s="25"/>
      <c r="B40" s="61"/>
      <c r="C40" s="26" t="s">
        <v>33</v>
      </c>
      <c r="D40" s="20"/>
      <c r="E40" s="82"/>
      <c r="F40" s="21" t="s">
        <v>194</v>
      </c>
      <c r="G40" s="17">
        <v>9131</v>
      </c>
      <c r="H40" s="79">
        <v>160</v>
      </c>
      <c r="I40" s="18" t="s">
        <v>49</v>
      </c>
      <c r="J40" s="65">
        <v>9163</v>
      </c>
      <c r="K40" s="84">
        <v>400</v>
      </c>
      <c r="L40" s="66"/>
      <c r="M40" s="107">
        <v>9353</v>
      </c>
      <c r="N40" s="85">
        <v>400</v>
      </c>
      <c r="O40" s="23" t="s">
        <v>549</v>
      </c>
    </row>
    <row r="41" spans="1:15" x14ac:dyDescent="0.25">
      <c r="A41" s="25">
        <v>9025</v>
      </c>
      <c r="B41" s="61">
        <v>720</v>
      </c>
      <c r="C41" s="26" t="s">
        <v>169</v>
      </c>
      <c r="D41" s="20">
        <v>9080</v>
      </c>
      <c r="E41" s="82">
        <v>560</v>
      </c>
      <c r="F41" s="21" t="s">
        <v>185</v>
      </c>
      <c r="G41" s="17">
        <v>9132</v>
      </c>
      <c r="H41" s="79">
        <v>300</v>
      </c>
      <c r="I41" s="18"/>
      <c r="J41" s="65">
        <v>9164</v>
      </c>
      <c r="K41" s="84">
        <v>300</v>
      </c>
      <c r="L41" s="66"/>
      <c r="M41" s="87"/>
      <c r="N41" s="85"/>
      <c r="O41" s="23" t="s">
        <v>307</v>
      </c>
    </row>
    <row r="42" spans="1:15" x14ac:dyDescent="0.25">
      <c r="A42" s="25"/>
      <c r="B42" s="61"/>
      <c r="C42" s="26" t="s">
        <v>170</v>
      </c>
      <c r="D42" s="20">
        <v>9081</v>
      </c>
      <c r="E42" s="82">
        <v>150</v>
      </c>
      <c r="F42" s="21"/>
      <c r="G42" s="17">
        <v>9133</v>
      </c>
      <c r="H42" s="79">
        <v>400</v>
      </c>
      <c r="I42" s="18" t="s">
        <v>114</v>
      </c>
      <c r="J42" s="65">
        <v>9165</v>
      </c>
      <c r="K42" s="84">
        <v>400</v>
      </c>
      <c r="L42" s="66"/>
      <c r="M42" s="87"/>
      <c r="N42" s="85">
        <v>11000</v>
      </c>
      <c r="O42" s="23" t="s">
        <v>114</v>
      </c>
    </row>
    <row r="43" spans="1:15" x14ac:dyDescent="0.25">
      <c r="A43" s="25">
        <v>9026</v>
      </c>
      <c r="B43" s="61">
        <v>1200</v>
      </c>
      <c r="C43" s="26" t="s">
        <v>152</v>
      </c>
      <c r="D43" s="20">
        <v>9082</v>
      </c>
      <c r="E43" s="82">
        <v>900</v>
      </c>
      <c r="F43" s="21" t="s">
        <v>42</v>
      </c>
      <c r="G43" s="17">
        <v>9134</v>
      </c>
      <c r="H43" s="79">
        <v>400</v>
      </c>
      <c r="I43" s="18"/>
      <c r="J43" s="65">
        <v>9166</v>
      </c>
      <c r="K43" s="84">
        <v>160</v>
      </c>
      <c r="L43" s="66" t="s">
        <v>49</v>
      </c>
      <c r="M43" s="87"/>
      <c r="N43" s="85"/>
      <c r="O43" s="23"/>
    </row>
    <row r="44" spans="1:15" x14ac:dyDescent="0.25">
      <c r="A44" s="25"/>
      <c r="B44" s="61"/>
      <c r="C44" s="26" t="s">
        <v>162</v>
      </c>
      <c r="D44" s="20"/>
      <c r="E44" s="82"/>
      <c r="F44" s="21" t="s">
        <v>33</v>
      </c>
      <c r="G44" s="17">
        <v>9135</v>
      </c>
      <c r="H44" s="79">
        <v>300</v>
      </c>
      <c r="I44" s="18"/>
      <c r="J44" s="65">
        <v>9167</v>
      </c>
      <c r="K44" s="84">
        <v>300</v>
      </c>
      <c r="L44" s="66"/>
      <c r="M44" s="87"/>
      <c r="N44" s="85"/>
      <c r="O44" s="23"/>
    </row>
    <row r="45" spans="1:15" x14ac:dyDescent="0.25">
      <c r="A45" s="25">
        <v>9027</v>
      </c>
      <c r="B45" s="61">
        <v>800</v>
      </c>
      <c r="C45" s="26" t="s">
        <v>39</v>
      </c>
      <c r="D45" s="20">
        <v>9083</v>
      </c>
      <c r="E45" s="82">
        <v>300</v>
      </c>
      <c r="F45" s="21"/>
      <c r="G45" s="17">
        <v>9136</v>
      </c>
      <c r="H45" s="79">
        <v>1200</v>
      </c>
      <c r="I45" s="18" t="s">
        <v>42</v>
      </c>
      <c r="J45" s="65">
        <v>9168</v>
      </c>
      <c r="K45" s="84">
        <v>600</v>
      </c>
      <c r="L45" s="66" t="s">
        <v>39</v>
      </c>
      <c r="M45" s="87"/>
      <c r="N45" s="85"/>
      <c r="O45" s="23"/>
    </row>
    <row r="46" spans="1:15" x14ac:dyDescent="0.25">
      <c r="A46" s="25"/>
      <c r="B46" s="61"/>
      <c r="C46" s="26" t="s">
        <v>162</v>
      </c>
      <c r="D46" s="20">
        <v>9084</v>
      </c>
      <c r="E46" s="82">
        <v>300</v>
      </c>
      <c r="F46" s="21" t="s">
        <v>42</v>
      </c>
      <c r="G46" s="17"/>
      <c r="H46" s="79"/>
      <c r="I46" s="18" t="s">
        <v>25</v>
      </c>
      <c r="J46" s="65"/>
      <c r="K46" s="84"/>
      <c r="L46" s="66" t="s">
        <v>33</v>
      </c>
      <c r="M46" s="87"/>
      <c r="N46" s="85"/>
      <c r="O46" s="23"/>
    </row>
    <row r="47" spans="1:15" x14ac:dyDescent="0.25">
      <c r="A47" s="25">
        <v>9028</v>
      </c>
      <c r="B47" s="61">
        <v>300</v>
      </c>
      <c r="C47" s="26"/>
      <c r="D47" s="20"/>
      <c r="E47" s="82"/>
      <c r="F47" s="21" t="s">
        <v>86</v>
      </c>
      <c r="G47" s="17">
        <v>9137</v>
      </c>
      <c r="H47" s="79">
        <v>560</v>
      </c>
      <c r="I47" s="18" t="s">
        <v>199</v>
      </c>
      <c r="J47" s="65">
        <v>9169</v>
      </c>
      <c r="K47" s="84">
        <v>1500</v>
      </c>
      <c r="L47" s="66" t="s">
        <v>216</v>
      </c>
      <c r="M47" s="87"/>
      <c r="N47" s="85"/>
      <c r="O47" s="23"/>
    </row>
    <row r="48" spans="1:15" x14ac:dyDescent="0.25">
      <c r="A48" s="25">
        <v>9029</v>
      </c>
      <c r="B48" s="61">
        <v>200</v>
      </c>
      <c r="C48" s="26" t="s">
        <v>171</v>
      </c>
      <c r="D48" s="20">
        <v>9085</v>
      </c>
      <c r="E48" s="82">
        <v>400</v>
      </c>
      <c r="F48" s="21" t="s">
        <v>186</v>
      </c>
      <c r="G48" s="17">
        <v>9138</v>
      </c>
      <c r="H48" s="79">
        <v>2000</v>
      </c>
      <c r="I48" s="18" t="s">
        <v>187</v>
      </c>
      <c r="J48" s="65"/>
      <c r="K48" s="84"/>
      <c r="L48" s="66" t="s">
        <v>217</v>
      </c>
      <c r="M48" s="87"/>
      <c r="N48" s="85"/>
      <c r="O48" s="23"/>
    </row>
    <row r="49" spans="1:15" x14ac:dyDescent="0.25">
      <c r="A49" s="25">
        <v>9030</v>
      </c>
      <c r="B49" s="61">
        <v>400</v>
      </c>
      <c r="C49" s="26"/>
      <c r="D49" s="20"/>
      <c r="E49" s="82"/>
      <c r="F49" s="21" t="s">
        <v>128</v>
      </c>
      <c r="G49" s="17"/>
      <c r="H49" s="79"/>
      <c r="I49" s="18" t="s">
        <v>200</v>
      </c>
      <c r="J49" s="65"/>
      <c r="K49" s="84"/>
      <c r="L49" s="66" t="s">
        <v>76</v>
      </c>
      <c r="M49" s="87"/>
      <c r="N49" s="85"/>
      <c r="O49" s="23"/>
    </row>
    <row r="50" spans="1:15" x14ac:dyDescent="0.25">
      <c r="A50" s="25">
        <v>9031</v>
      </c>
      <c r="B50" s="61">
        <v>800</v>
      </c>
      <c r="C50" s="26" t="s">
        <v>151</v>
      </c>
      <c r="D50" s="20">
        <v>9086</v>
      </c>
      <c r="E50" s="82">
        <v>1800</v>
      </c>
      <c r="F50" s="21" t="s">
        <v>187</v>
      </c>
      <c r="G50" s="17">
        <v>9139</v>
      </c>
      <c r="H50" s="79">
        <v>200</v>
      </c>
      <c r="I50" s="18"/>
      <c r="J50" s="65">
        <v>9170</v>
      </c>
      <c r="K50" s="84"/>
      <c r="L50" s="66" t="s">
        <v>73</v>
      </c>
      <c r="M50" s="87"/>
      <c r="N50" s="85"/>
      <c r="O50" s="23"/>
    </row>
    <row r="51" spans="1:15" x14ac:dyDescent="0.25">
      <c r="A51" s="25"/>
      <c r="B51" s="61"/>
      <c r="C51" s="26" t="s">
        <v>162</v>
      </c>
      <c r="D51" s="20"/>
      <c r="E51" s="82"/>
      <c r="F51" s="21" t="s">
        <v>188</v>
      </c>
      <c r="G51" s="17">
        <v>9140</v>
      </c>
      <c r="H51" s="79">
        <v>400</v>
      </c>
      <c r="I51" s="18"/>
      <c r="J51" s="65">
        <v>9171</v>
      </c>
      <c r="K51" s="84">
        <v>800</v>
      </c>
      <c r="L51" s="66" t="s">
        <v>145</v>
      </c>
      <c r="M51" s="87"/>
      <c r="N51" s="85"/>
      <c r="O51" s="23"/>
    </row>
    <row r="52" spans="1:15" x14ac:dyDescent="0.25">
      <c r="A52" s="25">
        <v>9032</v>
      </c>
      <c r="B52" s="61">
        <v>400</v>
      </c>
      <c r="C52" s="26"/>
      <c r="D52" s="20"/>
      <c r="E52" s="82"/>
      <c r="F52" s="21" t="s">
        <v>189</v>
      </c>
      <c r="G52" s="17">
        <v>9141</v>
      </c>
      <c r="H52" s="79">
        <v>800</v>
      </c>
      <c r="I52" s="18" t="s">
        <v>145</v>
      </c>
      <c r="J52" s="65"/>
      <c r="K52" s="84"/>
      <c r="L52" s="66" t="s">
        <v>25</v>
      </c>
      <c r="M52" s="87"/>
      <c r="N52" s="85"/>
      <c r="O52" s="23"/>
    </row>
    <row r="53" spans="1:15" x14ac:dyDescent="0.25">
      <c r="A53" s="25">
        <v>9033</v>
      </c>
      <c r="B53" s="61">
        <v>400</v>
      </c>
      <c r="C53" s="26" t="s">
        <v>115</v>
      </c>
      <c r="D53" s="20">
        <v>9087</v>
      </c>
      <c r="E53" s="82">
        <v>160</v>
      </c>
      <c r="F53" s="21" t="s">
        <v>23</v>
      </c>
      <c r="G53" s="17"/>
      <c r="H53" s="79"/>
      <c r="I53" s="18" t="s">
        <v>25</v>
      </c>
      <c r="J53" s="65">
        <v>9172</v>
      </c>
      <c r="K53" s="84">
        <v>400</v>
      </c>
      <c r="L53" s="66"/>
      <c r="M53" s="87"/>
      <c r="N53" s="85"/>
      <c r="O53" s="23"/>
    </row>
    <row r="54" spans="1:15" x14ac:dyDescent="0.25">
      <c r="A54" s="25">
        <v>9034</v>
      </c>
      <c r="B54" s="61">
        <v>400</v>
      </c>
      <c r="C54" s="26"/>
      <c r="D54" s="20"/>
      <c r="E54" s="82"/>
      <c r="F54" s="81">
        <v>64716</v>
      </c>
      <c r="G54" s="17">
        <v>9142</v>
      </c>
      <c r="H54" s="79">
        <v>160</v>
      </c>
      <c r="I54" s="18" t="s">
        <v>49</v>
      </c>
      <c r="J54" s="65">
        <v>9173</v>
      </c>
      <c r="K54" s="84">
        <v>1200</v>
      </c>
      <c r="L54" s="66" t="s">
        <v>89</v>
      </c>
      <c r="M54" s="87"/>
      <c r="N54" s="85"/>
      <c r="O54" s="23"/>
    </row>
    <row r="55" spans="1:15" x14ac:dyDescent="0.25">
      <c r="A55" s="25">
        <v>9035</v>
      </c>
      <c r="B55" s="61">
        <v>400</v>
      </c>
      <c r="C55" s="26"/>
      <c r="D55" s="20">
        <v>9088</v>
      </c>
      <c r="E55" s="82">
        <v>400</v>
      </c>
      <c r="F55" s="21"/>
      <c r="G55" s="17">
        <v>9143</v>
      </c>
      <c r="H55" s="79">
        <v>800</v>
      </c>
      <c r="I55" s="18" t="s">
        <v>151</v>
      </c>
      <c r="J55" s="65"/>
      <c r="K55" s="84"/>
      <c r="L55" s="66" t="s">
        <v>25</v>
      </c>
      <c r="M55" s="87"/>
      <c r="N55" s="85"/>
      <c r="O55" s="23"/>
    </row>
    <row r="56" spans="1:15" x14ac:dyDescent="0.25">
      <c r="A56" s="25">
        <v>9036</v>
      </c>
      <c r="B56" s="61">
        <v>800</v>
      </c>
      <c r="C56" s="26" t="s">
        <v>145</v>
      </c>
      <c r="D56" s="20">
        <v>9089</v>
      </c>
      <c r="E56" s="82">
        <v>400</v>
      </c>
      <c r="F56" s="21"/>
      <c r="G56" s="17"/>
      <c r="H56" s="79"/>
      <c r="I56" s="18" t="s">
        <v>25</v>
      </c>
      <c r="J56" s="65">
        <v>9174</v>
      </c>
      <c r="K56" s="84">
        <v>400</v>
      </c>
      <c r="L56" s="66"/>
      <c r="M56" s="87"/>
      <c r="N56" s="85"/>
      <c r="O56" s="23"/>
    </row>
    <row r="57" spans="1:15" x14ac:dyDescent="0.25">
      <c r="A57" s="25"/>
      <c r="B57" s="61"/>
      <c r="C57" s="26" t="s">
        <v>162</v>
      </c>
      <c r="D57" s="20">
        <v>9090</v>
      </c>
      <c r="E57" s="82">
        <v>1200</v>
      </c>
      <c r="F57" s="21" t="s">
        <v>42</v>
      </c>
      <c r="G57" s="17">
        <v>9144</v>
      </c>
      <c r="H57" s="79"/>
      <c r="I57" s="18" t="s">
        <v>44</v>
      </c>
      <c r="J57" s="65">
        <v>9175</v>
      </c>
      <c r="K57" s="84">
        <v>300</v>
      </c>
      <c r="L57" s="66"/>
      <c r="M57" s="87"/>
      <c r="N57" s="85"/>
      <c r="O57" s="23"/>
    </row>
    <row r="58" spans="1:15" x14ac:dyDescent="0.25">
      <c r="A58" s="25">
        <v>9037</v>
      </c>
      <c r="B58" s="61">
        <v>400</v>
      </c>
      <c r="C58" s="26" t="s">
        <v>114</v>
      </c>
      <c r="D58" s="20"/>
      <c r="E58" s="82"/>
      <c r="F58" s="21" t="s">
        <v>25</v>
      </c>
      <c r="G58" s="17">
        <v>9145</v>
      </c>
      <c r="H58" s="79">
        <v>200</v>
      </c>
      <c r="I58" s="18" t="s">
        <v>114</v>
      </c>
      <c r="J58" s="65">
        <v>9176</v>
      </c>
      <c r="K58" s="84"/>
      <c r="L58" s="66" t="s">
        <v>73</v>
      </c>
      <c r="M58" s="87"/>
      <c r="N58" s="85"/>
      <c r="O58" s="23"/>
    </row>
    <row r="59" spans="1:15" x14ac:dyDescent="0.25">
      <c r="A59" s="25">
        <v>9038</v>
      </c>
      <c r="B59" s="61">
        <v>800</v>
      </c>
      <c r="C59" s="26" t="s">
        <v>39</v>
      </c>
      <c r="D59" s="20">
        <v>9091</v>
      </c>
      <c r="E59" s="82">
        <v>320</v>
      </c>
      <c r="F59" s="21" t="s">
        <v>166</v>
      </c>
      <c r="G59" s="17"/>
      <c r="H59" s="79"/>
      <c r="I59" s="18"/>
      <c r="J59" s="65">
        <v>9177</v>
      </c>
      <c r="K59" s="84">
        <v>400</v>
      </c>
      <c r="L59" s="66" t="s">
        <v>114</v>
      </c>
      <c r="M59" s="87"/>
      <c r="N59" s="85"/>
      <c r="O59" s="23"/>
    </row>
    <row r="60" spans="1:15" x14ac:dyDescent="0.25">
      <c r="A60" s="25"/>
      <c r="B60" s="61"/>
      <c r="C60" s="101" t="s">
        <v>162</v>
      </c>
      <c r="D60" s="20"/>
      <c r="E60" s="82"/>
      <c r="F60" s="21" t="s">
        <v>190</v>
      </c>
      <c r="G60" s="17"/>
      <c r="H60" s="79"/>
      <c r="I60" s="18"/>
      <c r="J60" s="65">
        <v>9178</v>
      </c>
      <c r="K60" s="84">
        <v>2980</v>
      </c>
      <c r="L60" s="66" t="s">
        <v>218</v>
      </c>
      <c r="M60" s="87"/>
      <c r="N60" s="85"/>
      <c r="O60" s="23"/>
    </row>
    <row r="61" spans="1:15" x14ac:dyDescent="0.25">
      <c r="A61" s="25">
        <v>9039</v>
      </c>
      <c r="B61" s="61">
        <v>400</v>
      </c>
      <c r="C61" s="26"/>
      <c r="D61" s="20">
        <v>9092</v>
      </c>
      <c r="E61" s="82">
        <v>400</v>
      </c>
      <c r="F61" s="21"/>
      <c r="G61" s="17"/>
      <c r="H61" s="79"/>
      <c r="I61" s="18"/>
      <c r="J61" s="65"/>
      <c r="K61" s="84"/>
      <c r="L61" s="66" t="s">
        <v>219</v>
      </c>
      <c r="M61" s="87"/>
      <c r="N61" s="85"/>
      <c r="O61" s="23"/>
    </row>
    <row r="62" spans="1:15" x14ac:dyDescent="0.25">
      <c r="A62" s="25">
        <v>9040</v>
      </c>
      <c r="B62" s="61">
        <v>800</v>
      </c>
      <c r="C62" s="26" t="s">
        <v>151</v>
      </c>
      <c r="D62" s="20">
        <v>9093</v>
      </c>
      <c r="E62" s="82">
        <v>4800</v>
      </c>
      <c r="F62" s="21" t="s">
        <v>191</v>
      </c>
      <c r="G62" s="17"/>
      <c r="H62" s="79"/>
      <c r="I62" s="18"/>
      <c r="J62" s="65"/>
      <c r="K62" s="84"/>
      <c r="L62" s="66" t="s">
        <v>220</v>
      </c>
      <c r="M62" s="87"/>
      <c r="N62" s="85"/>
      <c r="O62" s="23"/>
    </row>
    <row r="63" spans="1:15" x14ac:dyDescent="0.25">
      <c r="A63" s="25"/>
      <c r="B63" s="61"/>
      <c r="C63" s="26" t="s">
        <v>162</v>
      </c>
      <c r="D63" s="20"/>
      <c r="E63" s="82"/>
      <c r="F63" s="21" t="s">
        <v>192</v>
      </c>
      <c r="G63" s="17"/>
      <c r="H63" s="79"/>
      <c r="I63" s="18"/>
      <c r="J63" s="65"/>
      <c r="K63" s="84"/>
      <c r="L63" s="66" t="s">
        <v>221</v>
      </c>
      <c r="M63" s="87"/>
      <c r="N63" s="85"/>
      <c r="O63" s="23"/>
    </row>
    <row r="64" spans="1:15" x14ac:dyDescent="0.25">
      <c r="A64" s="25">
        <v>9041</v>
      </c>
      <c r="B64" s="61">
        <v>800</v>
      </c>
      <c r="C64" s="26" t="s">
        <v>39</v>
      </c>
      <c r="D64" s="20">
        <v>9094</v>
      </c>
      <c r="E64" s="82">
        <v>400</v>
      </c>
      <c r="F64" s="21"/>
      <c r="G64" s="17"/>
      <c r="H64" s="79"/>
      <c r="I64" s="18"/>
      <c r="J64" s="65">
        <v>9179</v>
      </c>
      <c r="K64" s="84">
        <v>400</v>
      </c>
      <c r="L64" s="66"/>
      <c r="M64" s="87"/>
      <c r="N64" s="85"/>
      <c r="O64" s="23"/>
    </row>
    <row r="65" spans="1:15" x14ac:dyDescent="0.25">
      <c r="A65" s="25"/>
      <c r="B65" s="61"/>
      <c r="C65" s="26" t="s">
        <v>162</v>
      </c>
      <c r="D65" s="20">
        <v>9095</v>
      </c>
      <c r="E65" s="82">
        <v>400</v>
      </c>
      <c r="F65" s="21"/>
      <c r="G65" s="17"/>
      <c r="H65" s="79"/>
      <c r="I65" s="18"/>
      <c r="J65" s="65">
        <v>9180</v>
      </c>
      <c r="K65" s="84">
        <v>800</v>
      </c>
      <c r="L65" s="66" t="s">
        <v>39</v>
      </c>
      <c r="M65" s="87"/>
      <c r="N65" s="85"/>
      <c r="O65" s="23"/>
    </row>
    <row r="66" spans="1:15" x14ac:dyDescent="0.25">
      <c r="A66" s="25">
        <v>9042</v>
      </c>
      <c r="B66" s="61">
        <v>200</v>
      </c>
      <c r="C66" s="26" t="s">
        <v>114</v>
      </c>
      <c r="D66" s="20">
        <v>9096</v>
      </c>
      <c r="E66" s="82">
        <v>800</v>
      </c>
      <c r="F66" s="21" t="s">
        <v>193</v>
      </c>
      <c r="G66" s="17"/>
      <c r="H66" s="79"/>
      <c r="I66" s="18"/>
      <c r="J66" s="65"/>
      <c r="K66" s="84"/>
      <c r="L66" s="66" t="s">
        <v>25</v>
      </c>
      <c r="M66" s="87"/>
      <c r="N66" s="85"/>
      <c r="O66" s="23"/>
    </row>
    <row r="67" spans="1:15" x14ac:dyDescent="0.25">
      <c r="A67" s="25">
        <v>9043</v>
      </c>
      <c r="B67" s="61">
        <v>400</v>
      </c>
      <c r="C67" s="26"/>
      <c r="D67" s="20"/>
      <c r="E67" s="82"/>
      <c r="F67" s="21" t="s">
        <v>128</v>
      </c>
      <c r="G67" s="17"/>
      <c r="H67" s="79"/>
      <c r="I67" s="18"/>
      <c r="J67" s="65">
        <v>9181</v>
      </c>
      <c r="K67" s="84">
        <v>600</v>
      </c>
      <c r="L67" s="66" t="s">
        <v>42</v>
      </c>
      <c r="M67" s="87"/>
      <c r="N67" s="85"/>
      <c r="O67" s="23"/>
    </row>
    <row r="68" spans="1:15" x14ac:dyDescent="0.25">
      <c r="A68" s="25">
        <v>9044</v>
      </c>
      <c r="B68" s="61">
        <v>400</v>
      </c>
      <c r="C68" s="26" t="s">
        <v>115</v>
      </c>
      <c r="D68" s="20">
        <v>9097</v>
      </c>
      <c r="E68" s="82">
        <v>400</v>
      </c>
      <c r="F68" s="21"/>
      <c r="G68" s="17"/>
      <c r="H68" s="79"/>
      <c r="I68" s="18"/>
      <c r="J68" s="65"/>
      <c r="K68" s="84"/>
      <c r="L68" s="66" t="s">
        <v>27</v>
      </c>
      <c r="M68" s="87"/>
      <c r="N68" s="85"/>
      <c r="O68" s="23"/>
    </row>
    <row r="69" spans="1:15" x14ac:dyDescent="0.25">
      <c r="A69" s="25">
        <v>9045</v>
      </c>
      <c r="B69" s="61">
        <v>400</v>
      </c>
      <c r="C69" s="26" t="s">
        <v>114</v>
      </c>
      <c r="D69" s="20">
        <v>9098</v>
      </c>
      <c r="E69" s="82">
        <v>400</v>
      </c>
      <c r="F69" s="21"/>
      <c r="G69" s="17"/>
      <c r="H69" s="79"/>
      <c r="I69" s="18"/>
      <c r="J69" s="65">
        <v>9182</v>
      </c>
      <c r="K69" s="84">
        <v>200</v>
      </c>
      <c r="L69" s="66"/>
      <c r="M69" s="87"/>
      <c r="N69" s="85"/>
      <c r="O69" s="23"/>
    </row>
    <row r="70" spans="1:15" x14ac:dyDescent="0.25">
      <c r="A70" s="25">
        <v>9046</v>
      </c>
      <c r="B70" s="61">
        <v>300</v>
      </c>
      <c r="C70" s="26" t="s">
        <v>114</v>
      </c>
      <c r="D70" s="20">
        <v>9099</v>
      </c>
      <c r="E70" s="82">
        <v>800</v>
      </c>
      <c r="F70" s="21" t="s">
        <v>178</v>
      </c>
      <c r="G70" s="17"/>
      <c r="H70" s="79"/>
      <c r="I70" s="18"/>
      <c r="J70" s="65">
        <v>9183</v>
      </c>
      <c r="K70" s="84">
        <v>800</v>
      </c>
      <c r="L70" s="66" t="s">
        <v>95</v>
      </c>
      <c r="M70" s="87"/>
      <c r="N70" s="85"/>
      <c r="O70" s="23"/>
    </row>
    <row r="71" spans="1:15" x14ac:dyDescent="0.25">
      <c r="A71" s="25">
        <v>9047</v>
      </c>
      <c r="B71" s="61">
        <v>400</v>
      </c>
      <c r="C71" s="26" t="s">
        <v>114</v>
      </c>
      <c r="D71" s="20"/>
      <c r="E71" s="82"/>
      <c r="F71" s="21" t="s">
        <v>128</v>
      </c>
      <c r="G71" s="17"/>
      <c r="H71" s="79"/>
      <c r="I71" s="18"/>
      <c r="J71" s="65"/>
      <c r="K71" s="84"/>
      <c r="L71" s="66" t="s">
        <v>25</v>
      </c>
      <c r="M71" s="87"/>
      <c r="N71" s="85"/>
      <c r="O71" s="23"/>
    </row>
    <row r="72" spans="1:15" x14ac:dyDescent="0.25">
      <c r="A72" s="25">
        <v>9048</v>
      </c>
      <c r="B72" s="61">
        <v>750</v>
      </c>
      <c r="C72" s="26" t="s">
        <v>124</v>
      </c>
      <c r="D72" s="20">
        <v>9100</v>
      </c>
      <c r="E72" s="82">
        <v>200</v>
      </c>
      <c r="F72" s="21" t="s">
        <v>114</v>
      </c>
      <c r="G72" s="17"/>
      <c r="H72" s="79"/>
      <c r="I72" s="18"/>
      <c r="J72" s="65">
        <v>9184</v>
      </c>
      <c r="K72" s="84">
        <v>400</v>
      </c>
      <c r="L72" s="66" t="s">
        <v>222</v>
      </c>
      <c r="M72" s="87"/>
      <c r="N72" s="85"/>
      <c r="O72" s="23"/>
    </row>
    <row r="73" spans="1:15" x14ac:dyDescent="0.25">
      <c r="A73" s="25"/>
      <c r="B73" s="61"/>
      <c r="C73" s="26" t="s">
        <v>81</v>
      </c>
      <c r="D73" s="20">
        <v>9101</v>
      </c>
      <c r="E73" s="82">
        <v>200</v>
      </c>
      <c r="F73" s="21"/>
      <c r="G73" s="17"/>
      <c r="H73" s="79"/>
      <c r="I73" s="18"/>
      <c r="J73" s="65">
        <v>9185</v>
      </c>
      <c r="K73" s="84">
        <v>800</v>
      </c>
      <c r="L73" s="66" t="s">
        <v>151</v>
      </c>
      <c r="M73" s="87"/>
      <c r="N73" s="85"/>
      <c r="O73" s="23"/>
    </row>
    <row r="74" spans="1:15" x14ac:dyDescent="0.25">
      <c r="A74" s="25">
        <v>9049</v>
      </c>
      <c r="B74" s="61">
        <v>800</v>
      </c>
      <c r="C74" s="26" t="s">
        <v>145</v>
      </c>
      <c r="D74" s="20">
        <v>9102</v>
      </c>
      <c r="E74" s="82">
        <v>400</v>
      </c>
      <c r="F74" s="21" t="s">
        <v>114</v>
      </c>
      <c r="G74" s="17"/>
      <c r="H74" s="79"/>
      <c r="I74" s="18"/>
      <c r="J74" s="65"/>
      <c r="K74" s="84"/>
      <c r="L74" s="66" t="s">
        <v>25</v>
      </c>
      <c r="M74" s="87"/>
      <c r="N74" s="85"/>
      <c r="O74" s="23"/>
    </row>
    <row r="75" spans="1:15" x14ac:dyDescent="0.25">
      <c r="A75" s="25"/>
      <c r="B75" s="61"/>
      <c r="C75" s="26" t="s">
        <v>162</v>
      </c>
      <c r="D75" s="20">
        <v>9103</v>
      </c>
      <c r="E75" s="82">
        <v>300</v>
      </c>
      <c r="F75" s="21" t="s">
        <v>115</v>
      </c>
      <c r="G75" s="17"/>
      <c r="H75" s="79"/>
      <c r="I75" s="18"/>
      <c r="J75" s="65"/>
      <c r="K75" s="84"/>
      <c r="L75" s="66"/>
      <c r="M75" s="87"/>
      <c r="N75" s="85"/>
      <c r="O75" s="23"/>
    </row>
    <row r="76" spans="1:15" x14ac:dyDescent="0.25">
      <c r="A76" s="25">
        <v>9050</v>
      </c>
      <c r="B76" s="61">
        <v>400</v>
      </c>
      <c r="C76" s="26"/>
      <c r="D76" s="20">
        <v>9104</v>
      </c>
      <c r="E76" s="82">
        <v>400</v>
      </c>
      <c r="F76" s="21"/>
      <c r="G76" s="17"/>
      <c r="H76" s="79"/>
      <c r="I76" s="18"/>
      <c r="J76" s="65"/>
      <c r="K76" s="84"/>
      <c r="L76" s="66"/>
      <c r="M76" s="87"/>
      <c r="N76" s="85"/>
      <c r="O76" s="23"/>
    </row>
    <row r="77" spans="1:15" x14ac:dyDescent="0.25">
      <c r="A77" s="25">
        <v>9051</v>
      </c>
      <c r="B77" s="61">
        <v>400</v>
      </c>
      <c r="C77" s="26"/>
      <c r="D77" s="20">
        <v>9105</v>
      </c>
      <c r="E77" s="82">
        <v>400</v>
      </c>
      <c r="F77" s="21"/>
      <c r="G77" s="17"/>
      <c r="H77" s="79"/>
      <c r="I77" s="18"/>
      <c r="J77" s="65"/>
      <c r="K77" s="84"/>
      <c r="L77" s="66"/>
      <c r="M77" s="87"/>
      <c r="N77" s="85"/>
      <c r="O77" s="23"/>
    </row>
    <row r="78" spans="1:15" x14ac:dyDescent="0.25">
      <c r="A78" s="25">
        <v>9052</v>
      </c>
      <c r="B78" s="61">
        <v>350</v>
      </c>
      <c r="C78" s="26"/>
      <c r="D78" s="20">
        <v>9106</v>
      </c>
      <c r="E78" s="82">
        <v>400</v>
      </c>
      <c r="F78" s="21"/>
      <c r="G78" s="17"/>
      <c r="H78" s="79"/>
      <c r="I78" s="18"/>
      <c r="J78" s="65"/>
      <c r="K78" s="84"/>
      <c r="L78" s="66"/>
      <c r="M78" s="87"/>
      <c r="N78" s="85"/>
      <c r="O78" s="23"/>
    </row>
    <row r="79" spans="1:15" x14ac:dyDescent="0.25">
      <c r="A79" s="25">
        <v>9053</v>
      </c>
      <c r="B79" s="61">
        <v>200</v>
      </c>
      <c r="C79" s="26"/>
      <c r="D79" s="20">
        <v>9107</v>
      </c>
      <c r="E79" s="82">
        <v>400</v>
      </c>
      <c r="F79" s="21" t="s">
        <v>114</v>
      </c>
      <c r="G79" s="17"/>
      <c r="H79" s="79"/>
      <c r="I79" s="18"/>
      <c r="J79" s="65"/>
      <c r="K79" s="84"/>
      <c r="L79" s="66"/>
      <c r="M79" s="87"/>
      <c r="N79" s="85"/>
      <c r="O79" s="23"/>
    </row>
    <row r="80" spans="1:15" x14ac:dyDescent="0.25">
      <c r="A80" s="25">
        <v>9054</v>
      </c>
      <c r="B80" s="61">
        <v>300</v>
      </c>
      <c r="C80" s="26"/>
      <c r="D80" s="20"/>
      <c r="E80" s="82"/>
      <c r="F80" s="21"/>
      <c r="G80" s="17"/>
      <c r="H80" s="79"/>
      <c r="I80" s="18"/>
      <c r="J80" s="65"/>
      <c r="K80" s="84"/>
      <c r="L80" s="66"/>
      <c r="M80" s="87"/>
      <c r="N80" s="85"/>
      <c r="O80" s="23"/>
    </row>
    <row r="81" spans="1:15" x14ac:dyDescent="0.25">
      <c r="A81" s="25">
        <v>9055</v>
      </c>
      <c r="B81" s="61">
        <v>160</v>
      </c>
      <c r="C81" s="26" t="s">
        <v>172</v>
      </c>
      <c r="D81" s="20"/>
      <c r="E81" s="82"/>
      <c r="F81" s="21"/>
      <c r="G81" s="17"/>
      <c r="H81" s="79"/>
      <c r="I81" s="18"/>
      <c r="J81" s="65"/>
      <c r="K81" s="84"/>
      <c r="L81" s="66"/>
      <c r="M81" s="87"/>
      <c r="N81" s="85"/>
      <c r="O81" s="23"/>
    </row>
    <row r="82" spans="1:15" x14ac:dyDescent="0.25">
      <c r="A82" s="25"/>
      <c r="B82" s="61"/>
      <c r="C82" s="26"/>
      <c r="D82" s="20"/>
      <c r="E82" s="82"/>
      <c r="F82" s="21"/>
      <c r="G82" s="17"/>
      <c r="H82" s="79"/>
      <c r="I82" s="18"/>
      <c r="J82" s="65"/>
      <c r="K82" s="84"/>
      <c r="L82" s="66"/>
      <c r="M82" s="87"/>
      <c r="N82" s="85"/>
      <c r="O82" s="23"/>
    </row>
    <row r="83" spans="1:15" x14ac:dyDescent="0.25">
      <c r="A83" s="37"/>
      <c r="B83" s="78"/>
      <c r="C83" s="70"/>
      <c r="D83" s="37"/>
      <c r="E83" s="86"/>
      <c r="F83" s="70"/>
      <c r="G83" s="37"/>
      <c r="H83" s="86"/>
      <c r="I83" s="70"/>
      <c r="J83" s="37"/>
      <c r="K83" s="86"/>
      <c r="L83" s="70"/>
      <c r="M83" s="37"/>
      <c r="N83" s="86"/>
      <c r="O83" s="70"/>
    </row>
    <row r="84" spans="1:15" x14ac:dyDescent="0.25">
      <c r="A84" s="37"/>
      <c r="B84" s="78"/>
      <c r="C84" s="70"/>
      <c r="D84" s="37"/>
      <c r="E84" s="86"/>
      <c r="F84" s="70"/>
      <c r="G84" s="37"/>
      <c r="H84" s="86"/>
      <c r="I84" s="70"/>
      <c r="J84" s="37"/>
      <c r="K84" s="86"/>
      <c r="L84" s="70"/>
      <c r="M84" s="37"/>
      <c r="N84" s="86"/>
      <c r="O84" s="70"/>
    </row>
    <row r="85" spans="1:15" x14ac:dyDescent="0.25">
      <c r="A85" s="37"/>
      <c r="B85" s="78"/>
      <c r="C85" s="70"/>
      <c r="D85" s="37"/>
      <c r="E85" s="86"/>
      <c r="F85" s="70"/>
      <c r="G85" s="37"/>
      <c r="H85" s="86"/>
      <c r="I85" s="70"/>
      <c r="J85" s="37"/>
      <c r="K85" s="86"/>
      <c r="L85" s="70"/>
      <c r="M85" s="37"/>
      <c r="N85" s="86"/>
      <c r="O85" s="70"/>
    </row>
    <row r="86" spans="1:15" x14ac:dyDescent="0.25">
      <c r="A86" s="37"/>
      <c r="B86" s="78"/>
      <c r="C86" s="70"/>
      <c r="D86" s="37"/>
      <c r="E86" s="86"/>
      <c r="F86" s="70"/>
      <c r="G86" s="37"/>
      <c r="H86" s="86"/>
      <c r="I86" s="70"/>
      <c r="J86" s="37"/>
      <c r="K86" s="86"/>
      <c r="L86" s="70"/>
      <c r="M86" s="37"/>
      <c r="N86" s="86"/>
      <c r="O86" s="70"/>
    </row>
    <row r="87" spans="1:15" x14ac:dyDescent="0.25">
      <c r="A87" s="37"/>
      <c r="B87" s="78"/>
      <c r="C87" s="70"/>
      <c r="D87" s="37"/>
      <c r="E87" s="86"/>
      <c r="F87" s="70"/>
      <c r="G87" s="37"/>
      <c r="H87" s="86"/>
      <c r="I87" s="70"/>
      <c r="J87" s="37"/>
      <c r="K87" s="86"/>
      <c r="L87" s="70"/>
      <c r="M87" s="37"/>
      <c r="N87" s="86"/>
      <c r="O87" s="70"/>
    </row>
    <row r="88" spans="1:15" x14ac:dyDescent="0.25">
      <c r="A88" s="37"/>
      <c r="B88" s="78"/>
      <c r="C88" s="70"/>
      <c r="D88" s="37"/>
      <c r="E88" s="86"/>
      <c r="F88" s="70"/>
      <c r="G88" s="37"/>
      <c r="H88" s="86"/>
      <c r="I88" s="70"/>
      <c r="J88" s="37"/>
      <c r="K88" s="86"/>
      <c r="L88" s="70"/>
      <c r="M88" s="37"/>
      <c r="N88" s="86"/>
      <c r="O88" s="70"/>
    </row>
    <row r="89" spans="1:15" x14ac:dyDescent="0.25">
      <c r="A89" s="37"/>
      <c r="B89" s="78"/>
      <c r="C89" s="70"/>
      <c r="D89" s="37"/>
      <c r="E89" s="86"/>
      <c r="F89" s="70"/>
      <c r="G89" s="37"/>
      <c r="H89" s="86"/>
      <c r="I89" s="70"/>
      <c r="J89" s="37"/>
      <c r="K89" s="86"/>
      <c r="L89" s="70"/>
      <c r="M89" s="37"/>
      <c r="N89" s="86"/>
      <c r="O89" s="70"/>
    </row>
    <row r="90" spans="1:15" x14ac:dyDescent="0.25">
      <c r="A90" s="37"/>
      <c r="B90" s="78"/>
      <c r="C90" s="70"/>
      <c r="D90" s="37"/>
      <c r="E90" s="86"/>
      <c r="F90" s="70"/>
      <c r="G90" s="37"/>
      <c r="H90" s="86"/>
      <c r="I90" s="70"/>
      <c r="J90" s="37"/>
      <c r="K90" s="86"/>
      <c r="L90" s="70"/>
      <c r="M90" s="37"/>
      <c r="N90" s="86"/>
      <c r="O90" s="70"/>
    </row>
    <row r="91" spans="1:15" x14ac:dyDescent="0.25">
      <c r="A91" s="37"/>
      <c r="B91" s="78"/>
      <c r="C91" s="70"/>
      <c r="D91" s="37"/>
      <c r="E91" s="86"/>
      <c r="F91" s="70"/>
      <c r="G91" s="37"/>
      <c r="H91" s="86"/>
      <c r="I91" s="70"/>
      <c r="J91" s="37"/>
      <c r="K91" s="86"/>
      <c r="L91" s="70"/>
      <c r="M91" s="37"/>
      <c r="N91" s="86"/>
      <c r="O91" s="70"/>
    </row>
    <row r="92" spans="1:15" x14ac:dyDescent="0.25">
      <c r="A92" s="37"/>
      <c r="B92" s="78"/>
      <c r="C92" s="70"/>
      <c r="D92" s="37"/>
      <c r="E92" s="86"/>
      <c r="F92" s="70"/>
      <c r="G92" s="37"/>
      <c r="H92" s="86"/>
      <c r="I92" s="70"/>
      <c r="J92" s="37"/>
      <c r="K92" s="86"/>
      <c r="L92" s="70"/>
      <c r="M92" s="37"/>
      <c r="N92" s="86"/>
      <c r="O92" s="70"/>
    </row>
    <row r="93" spans="1:15" x14ac:dyDescent="0.25">
      <c r="A93" s="37"/>
      <c r="B93" s="78"/>
      <c r="C93" s="70"/>
      <c r="D93" s="37"/>
      <c r="E93" s="86"/>
      <c r="F93" s="70"/>
      <c r="G93" s="37"/>
      <c r="H93" s="86"/>
      <c r="I93" s="70"/>
      <c r="J93" s="37"/>
      <c r="K93" s="86"/>
      <c r="L93" s="70"/>
      <c r="M93" s="37"/>
      <c r="N93" s="86"/>
      <c r="O93" s="70"/>
    </row>
    <row r="94" spans="1:15" x14ac:dyDescent="0.25">
      <c r="A94" s="37"/>
      <c r="B94" s="78"/>
      <c r="C94" s="70"/>
      <c r="D94" s="37"/>
      <c r="E94" s="86"/>
      <c r="F94" s="70"/>
      <c r="G94" s="37"/>
      <c r="H94" s="86"/>
      <c r="I94" s="70"/>
      <c r="J94" s="37"/>
      <c r="K94" s="86"/>
      <c r="L94" s="70"/>
      <c r="M94" s="37"/>
      <c r="N94" s="86"/>
      <c r="O94" s="70"/>
    </row>
    <row r="95" spans="1:15" x14ac:dyDescent="0.25">
      <c r="A95" s="37"/>
      <c r="B95" s="78"/>
      <c r="C95" s="70"/>
      <c r="D95" s="37"/>
      <c r="E95" s="86"/>
      <c r="F95" s="70"/>
      <c r="G95" s="37"/>
      <c r="H95" s="86"/>
      <c r="I95" s="70"/>
      <c r="J95" s="37"/>
      <c r="K95" s="86"/>
      <c r="L95" s="70"/>
      <c r="M95" s="37"/>
      <c r="N95" s="86"/>
      <c r="O95" s="70"/>
    </row>
    <row r="96" spans="1:15" x14ac:dyDescent="0.25">
      <c r="A96" s="37"/>
      <c r="B96" s="78"/>
      <c r="C96" s="70"/>
      <c r="D96" s="37"/>
      <c r="E96" s="86"/>
      <c r="F96" s="70"/>
      <c r="G96" s="37"/>
      <c r="H96" s="86"/>
      <c r="I96" s="70"/>
      <c r="J96" s="37"/>
      <c r="K96" s="86"/>
      <c r="L96" s="70"/>
      <c r="M96" s="37"/>
      <c r="N96" s="86"/>
      <c r="O96" s="70"/>
    </row>
    <row r="97" spans="1:15" x14ac:dyDescent="0.25">
      <c r="A97" s="37"/>
      <c r="B97" s="78"/>
      <c r="C97" s="70"/>
      <c r="D97" s="37"/>
      <c r="E97" s="86"/>
      <c r="F97" s="70"/>
      <c r="G97" s="37"/>
      <c r="H97" s="86"/>
      <c r="I97" s="70"/>
      <c r="J97" s="37"/>
      <c r="K97" s="86"/>
      <c r="L97" s="70"/>
      <c r="M97" s="37"/>
      <c r="N97" s="86"/>
      <c r="O97" s="70"/>
    </row>
    <row r="98" spans="1:15" x14ac:dyDescent="0.25">
      <c r="A98" s="37"/>
      <c r="B98" s="78"/>
      <c r="C98" s="70"/>
      <c r="D98" s="37"/>
      <c r="E98" s="86"/>
      <c r="F98" s="70"/>
      <c r="G98" s="37"/>
      <c r="H98" s="86"/>
      <c r="I98" s="70"/>
      <c r="J98" s="37"/>
      <c r="K98" s="86"/>
      <c r="L98" s="70"/>
      <c r="M98" s="37"/>
      <c r="N98" s="86"/>
      <c r="O98" s="70"/>
    </row>
    <row r="99" spans="1:15" x14ac:dyDescent="0.25">
      <c r="A99" s="37"/>
      <c r="B99" s="78"/>
      <c r="C99" s="70"/>
      <c r="D99" s="37"/>
      <c r="E99" s="86"/>
      <c r="F99" s="70"/>
      <c r="G99" s="37"/>
      <c r="H99" s="86"/>
      <c r="I99" s="70"/>
      <c r="J99" s="37"/>
      <c r="K99" s="86"/>
      <c r="L99" s="70"/>
      <c r="M99" s="37"/>
      <c r="N99" s="86"/>
      <c r="O99" s="70"/>
    </row>
    <row r="100" spans="1:15" x14ac:dyDescent="0.25">
      <c r="A100" s="37"/>
      <c r="B100" s="37"/>
      <c r="C100" s="70"/>
      <c r="D100" s="37"/>
      <c r="E100" s="70"/>
      <c r="F100" s="70"/>
      <c r="G100" s="37"/>
      <c r="H100" s="70"/>
      <c r="I100" s="70"/>
      <c r="J100" s="37"/>
      <c r="K100" s="70"/>
      <c r="L100" s="70"/>
      <c r="M100" s="70"/>
      <c r="N100" s="70"/>
      <c r="O100" s="70"/>
    </row>
    <row r="101" spans="1:15" x14ac:dyDescent="0.25">
      <c r="A101" s="37"/>
      <c r="B101" s="37"/>
      <c r="C101" s="70"/>
      <c r="D101" s="37"/>
      <c r="E101" s="70"/>
      <c r="F101" s="70"/>
      <c r="G101" s="37"/>
      <c r="H101" s="70"/>
      <c r="I101" s="70"/>
      <c r="J101" s="37"/>
      <c r="K101" s="70"/>
      <c r="L101" s="70"/>
      <c r="M101" s="70"/>
      <c r="N101" s="70"/>
      <c r="O101" s="70"/>
    </row>
    <row r="102" spans="1:15" x14ac:dyDescent="0.25">
      <c r="A102" s="37"/>
      <c r="B102" s="37"/>
      <c r="C102" s="70"/>
      <c r="D102" s="37"/>
      <c r="E102" s="70"/>
      <c r="F102" s="70"/>
      <c r="G102" s="37"/>
      <c r="H102" s="70"/>
      <c r="I102" s="70"/>
      <c r="J102" s="37"/>
      <c r="K102" s="70"/>
      <c r="L102" s="70"/>
      <c r="M102" s="70"/>
      <c r="N102" s="70"/>
      <c r="O102" s="70"/>
    </row>
    <row r="103" spans="1:15" x14ac:dyDescent="0.25">
      <c r="A103" s="37"/>
      <c r="B103" s="37"/>
      <c r="C103" s="70"/>
      <c r="D103" s="37"/>
      <c r="E103" s="70"/>
      <c r="F103" s="70"/>
      <c r="G103" s="37"/>
      <c r="H103" s="70"/>
      <c r="I103" s="70"/>
      <c r="J103" s="37"/>
      <c r="K103" s="70"/>
      <c r="L103" s="70"/>
      <c r="M103" s="70"/>
      <c r="N103" s="70"/>
      <c r="O103" s="70"/>
    </row>
    <row r="104" spans="1:15" x14ac:dyDescent="0.25">
      <c r="A104" s="37"/>
      <c r="B104" s="37"/>
      <c r="C104" s="70"/>
      <c r="D104" s="37"/>
      <c r="E104" s="70"/>
      <c r="F104" s="70"/>
      <c r="G104" s="37"/>
      <c r="H104" s="70"/>
      <c r="I104" s="70"/>
      <c r="J104" s="37"/>
      <c r="K104" s="70"/>
      <c r="L104" s="70"/>
      <c r="M104" s="70"/>
      <c r="N104" s="70"/>
      <c r="O104" s="70"/>
    </row>
    <row r="105" spans="1:15" x14ac:dyDescent="0.25">
      <c r="A105" s="37"/>
      <c r="B105" s="37"/>
      <c r="C105" s="70"/>
      <c r="D105" s="37"/>
      <c r="E105" s="70"/>
      <c r="F105" s="70"/>
      <c r="G105" s="37"/>
      <c r="H105" s="70"/>
      <c r="I105" s="70"/>
      <c r="J105" s="37"/>
      <c r="K105" s="70"/>
      <c r="L105" s="70"/>
      <c r="M105" s="70"/>
      <c r="N105" s="70"/>
      <c r="O105" s="70"/>
    </row>
    <row r="106" spans="1:15" x14ac:dyDescent="0.25">
      <c r="A106" s="37"/>
      <c r="B106" s="37"/>
      <c r="C106" s="70"/>
      <c r="D106" s="37"/>
      <c r="E106" s="70"/>
      <c r="F106" s="70"/>
      <c r="G106" s="37"/>
      <c r="H106" s="70"/>
      <c r="I106" s="70"/>
      <c r="J106" s="37"/>
      <c r="K106" s="70"/>
      <c r="L106" s="70"/>
      <c r="M106" s="70"/>
      <c r="N106" s="70"/>
      <c r="O106" s="70"/>
    </row>
    <row r="107" spans="1:15" x14ac:dyDescent="0.25">
      <c r="A107" s="37"/>
      <c r="B107" s="37"/>
      <c r="C107" s="70"/>
      <c r="D107" s="37"/>
      <c r="E107" s="70"/>
      <c r="F107" s="70"/>
      <c r="G107" s="37"/>
      <c r="H107" s="70"/>
      <c r="I107" s="70"/>
      <c r="J107" s="37"/>
      <c r="K107" s="70"/>
      <c r="L107" s="70"/>
      <c r="M107" s="70"/>
      <c r="N107" s="70"/>
      <c r="O107" s="70"/>
    </row>
    <row r="108" spans="1:15" x14ac:dyDescent="0.25">
      <c r="A108" s="37"/>
      <c r="B108" s="37"/>
      <c r="C108" s="70"/>
      <c r="D108" s="37"/>
      <c r="E108" s="70"/>
      <c r="F108" s="70"/>
      <c r="G108" s="37"/>
      <c r="H108" s="70"/>
      <c r="I108" s="70"/>
      <c r="J108" s="37"/>
      <c r="K108" s="70"/>
      <c r="L108" s="70"/>
      <c r="M108" s="70"/>
      <c r="N108" s="70"/>
      <c r="O108" s="70"/>
    </row>
    <row r="109" spans="1:15" x14ac:dyDescent="0.25">
      <c r="A109" s="37"/>
      <c r="B109" s="37"/>
      <c r="C109" s="70"/>
      <c r="D109" s="37"/>
      <c r="E109" s="70"/>
      <c r="F109" s="70"/>
      <c r="G109" s="37"/>
      <c r="H109" s="70"/>
      <c r="I109" s="70"/>
      <c r="J109" s="37"/>
      <c r="K109" s="70"/>
      <c r="L109" s="70"/>
      <c r="M109" s="70"/>
      <c r="N109" s="70"/>
      <c r="O109" s="70"/>
    </row>
    <row r="110" spans="1:15" x14ac:dyDescent="0.25">
      <c r="A110" s="37"/>
      <c r="B110" s="37"/>
      <c r="C110" s="70"/>
      <c r="D110" s="37"/>
      <c r="E110" s="70"/>
      <c r="F110" s="70"/>
      <c r="G110" s="37"/>
      <c r="H110" s="70"/>
      <c r="I110" s="70"/>
      <c r="J110" s="37"/>
      <c r="K110" s="70"/>
      <c r="L110" s="70"/>
      <c r="M110" s="70"/>
      <c r="N110" s="70"/>
      <c r="O110" s="70"/>
    </row>
    <row r="111" spans="1:15" x14ac:dyDescent="0.25">
      <c r="A111" s="37"/>
      <c r="B111" s="37"/>
      <c r="C111" s="70"/>
      <c r="D111" s="37"/>
      <c r="E111" s="70"/>
      <c r="F111" s="70"/>
      <c r="G111" s="37"/>
      <c r="H111" s="70"/>
      <c r="I111" s="70"/>
      <c r="J111" s="37"/>
      <c r="K111" s="70"/>
      <c r="L111" s="70"/>
      <c r="M111" s="70"/>
      <c r="N111" s="70"/>
      <c r="O111" s="70"/>
    </row>
    <row r="112" spans="1:15" x14ac:dyDescent="0.25">
      <c r="A112" s="37"/>
      <c r="B112" s="37"/>
      <c r="C112" s="70"/>
      <c r="D112" s="37"/>
      <c r="E112" s="70"/>
      <c r="F112" s="70"/>
      <c r="G112" s="37"/>
      <c r="H112" s="70"/>
      <c r="I112" s="70"/>
      <c r="J112" s="37"/>
      <c r="K112" s="70"/>
      <c r="L112" s="70"/>
      <c r="M112" s="70"/>
      <c r="N112" s="70"/>
      <c r="O112" s="70"/>
    </row>
    <row r="113" spans="1:15" x14ac:dyDescent="0.25">
      <c r="A113" s="37"/>
      <c r="B113" s="37"/>
      <c r="C113" s="70"/>
      <c r="D113" s="37"/>
      <c r="E113" s="70"/>
      <c r="F113" s="70"/>
      <c r="G113" s="37"/>
      <c r="H113" s="70"/>
      <c r="I113" s="70"/>
      <c r="J113" s="37"/>
      <c r="K113" s="70"/>
      <c r="L113" s="70"/>
      <c r="M113" s="70"/>
      <c r="N113" s="70"/>
      <c r="O113" s="70"/>
    </row>
    <row r="114" spans="1:15" x14ac:dyDescent="0.25">
      <c r="A114" s="37"/>
      <c r="B114" s="37"/>
      <c r="C114" s="70"/>
      <c r="D114" s="37"/>
      <c r="E114" s="70"/>
      <c r="F114" s="70"/>
      <c r="G114" s="37"/>
      <c r="H114" s="70"/>
      <c r="I114" s="70"/>
      <c r="J114" s="37"/>
      <c r="K114" s="70"/>
      <c r="L114" s="70"/>
      <c r="M114" s="70"/>
      <c r="N114" s="70"/>
      <c r="O114" s="70"/>
    </row>
    <row r="115" spans="1:15" x14ac:dyDescent="0.25">
      <c r="A115" s="37"/>
      <c r="B115" s="37"/>
      <c r="C115" s="70"/>
      <c r="D115" s="37"/>
      <c r="E115" s="70"/>
      <c r="F115" s="70"/>
      <c r="G115" s="37"/>
      <c r="H115" s="70"/>
      <c r="I115" s="70"/>
      <c r="J115" s="37"/>
      <c r="K115" s="70"/>
      <c r="L115" s="70"/>
      <c r="M115" s="70"/>
      <c r="N115" s="70"/>
      <c r="O115" s="70"/>
    </row>
    <row r="116" spans="1:15" x14ac:dyDescent="0.25">
      <c r="A116" s="37"/>
      <c r="B116" s="37"/>
      <c r="C116" s="70"/>
      <c r="D116" s="37"/>
      <c r="E116" s="70"/>
      <c r="F116" s="70"/>
      <c r="G116" s="37"/>
      <c r="H116" s="70"/>
      <c r="I116" s="70"/>
      <c r="J116" s="37"/>
      <c r="K116" s="70"/>
      <c r="L116" s="70"/>
      <c r="M116" s="70"/>
      <c r="N116" s="70"/>
      <c r="O116" s="70"/>
    </row>
    <row r="117" spans="1:15" x14ac:dyDescent="0.25">
      <c r="A117" s="37"/>
      <c r="B117" s="37"/>
      <c r="C117" s="70"/>
      <c r="D117" s="37"/>
      <c r="E117" s="70"/>
      <c r="F117" s="70"/>
      <c r="G117" s="37"/>
      <c r="H117" s="70"/>
      <c r="I117" s="70"/>
      <c r="J117" s="37"/>
      <c r="K117" s="70"/>
      <c r="L117" s="70"/>
      <c r="M117" s="70"/>
      <c r="N117" s="70"/>
      <c r="O117" s="70"/>
    </row>
    <row r="118" spans="1:15" x14ac:dyDescent="0.25">
      <c r="A118" s="37"/>
      <c r="B118" s="37"/>
      <c r="C118" s="70"/>
      <c r="D118" s="37"/>
      <c r="E118" s="70"/>
      <c r="F118" s="70"/>
      <c r="G118" s="37"/>
      <c r="H118" s="70"/>
      <c r="I118" s="70"/>
      <c r="J118" s="37"/>
      <c r="K118" s="70"/>
      <c r="L118" s="70"/>
      <c r="M118" s="70"/>
      <c r="N118" s="70"/>
      <c r="O118" s="70"/>
    </row>
    <row r="119" spans="1:15" x14ac:dyDescent="0.25">
      <c r="A119" s="37"/>
      <c r="B119" s="37"/>
      <c r="C119" s="70"/>
      <c r="D119" s="37"/>
      <c r="E119" s="70"/>
      <c r="F119" s="70"/>
      <c r="G119" s="37"/>
      <c r="H119" s="70"/>
      <c r="I119" s="70"/>
      <c r="J119" s="37"/>
      <c r="K119" s="70"/>
      <c r="L119" s="70"/>
      <c r="M119" s="70"/>
      <c r="N119" s="70"/>
      <c r="O119" s="70"/>
    </row>
    <row r="120" spans="1:15" x14ac:dyDescent="0.25">
      <c r="A120" s="37"/>
      <c r="B120" s="37"/>
      <c r="C120" s="70"/>
      <c r="D120" s="37"/>
      <c r="E120" s="70"/>
      <c r="F120" s="70"/>
      <c r="G120" s="37"/>
      <c r="H120" s="70"/>
      <c r="I120" s="70"/>
      <c r="J120" s="37"/>
      <c r="K120" s="70"/>
      <c r="L120" s="70"/>
      <c r="M120" s="70"/>
      <c r="N120" s="70"/>
      <c r="O120" s="70"/>
    </row>
    <row r="121" spans="1:15" x14ac:dyDescent="0.25">
      <c r="A121" s="37"/>
      <c r="B121" s="37"/>
      <c r="C121" s="70"/>
      <c r="D121" s="37"/>
      <c r="E121" s="70"/>
      <c r="F121" s="70"/>
      <c r="G121" s="37"/>
      <c r="H121" s="70"/>
      <c r="I121" s="70"/>
      <c r="J121" s="37"/>
      <c r="K121" s="70"/>
      <c r="L121" s="70"/>
      <c r="M121" s="70"/>
      <c r="N121" s="70"/>
      <c r="O121" s="70"/>
    </row>
    <row r="122" spans="1:15" x14ac:dyDescent="0.25">
      <c r="A122" s="37"/>
      <c r="B122" s="37"/>
      <c r="C122" s="70"/>
      <c r="D122" s="37"/>
      <c r="E122" s="70"/>
      <c r="F122" s="70"/>
      <c r="G122" s="37"/>
      <c r="H122" s="70"/>
      <c r="I122" s="70"/>
      <c r="J122" s="37"/>
      <c r="K122" s="70"/>
      <c r="L122" s="70"/>
      <c r="M122" s="70"/>
      <c r="N122" s="70"/>
      <c r="O122" s="70"/>
    </row>
    <row r="123" spans="1:15" x14ac:dyDescent="0.25">
      <c r="A123" s="37"/>
      <c r="B123" s="37"/>
      <c r="C123" s="70"/>
      <c r="D123" s="37"/>
      <c r="E123" s="70"/>
      <c r="F123" s="70"/>
      <c r="G123" s="37"/>
      <c r="H123" s="70"/>
      <c r="I123" s="70"/>
      <c r="J123" s="37"/>
      <c r="K123" s="70"/>
      <c r="L123" s="70"/>
      <c r="M123" s="70"/>
      <c r="N123" s="70"/>
      <c r="O123" s="70"/>
    </row>
    <row r="124" spans="1:15" x14ac:dyDescent="0.25">
      <c r="A124" s="37"/>
      <c r="B124" s="37"/>
      <c r="C124" s="70"/>
      <c r="D124" s="37"/>
      <c r="E124" s="70"/>
      <c r="F124" s="70"/>
      <c r="G124" s="37"/>
      <c r="H124" s="70"/>
      <c r="I124" s="70"/>
      <c r="J124" s="37"/>
      <c r="K124" s="70"/>
      <c r="L124" s="70"/>
      <c r="M124" s="70"/>
      <c r="N124" s="70"/>
      <c r="O124" s="70"/>
    </row>
    <row r="125" spans="1:15" x14ac:dyDescent="0.25">
      <c r="A125" s="37"/>
      <c r="B125" s="37"/>
      <c r="C125" s="70"/>
      <c r="D125" s="37"/>
      <c r="E125" s="70"/>
      <c r="F125" s="70"/>
      <c r="G125" s="37"/>
      <c r="H125" s="70"/>
      <c r="I125" s="70"/>
      <c r="J125" s="37"/>
      <c r="K125" s="70"/>
      <c r="L125" s="70"/>
      <c r="M125" s="70"/>
      <c r="N125" s="70"/>
      <c r="O125" s="70"/>
    </row>
    <row r="126" spans="1:15" x14ac:dyDescent="0.25">
      <c r="A126" s="37"/>
      <c r="B126" s="37"/>
      <c r="C126" s="70"/>
      <c r="D126" s="37"/>
      <c r="E126" s="70"/>
      <c r="F126" s="70"/>
      <c r="G126" s="37"/>
      <c r="H126" s="70"/>
      <c r="I126" s="70"/>
      <c r="J126" s="37"/>
      <c r="K126" s="70"/>
      <c r="L126" s="70"/>
      <c r="M126" s="70"/>
      <c r="N126" s="70"/>
      <c r="O126" s="70"/>
    </row>
    <row r="127" spans="1:15" x14ac:dyDescent="0.25">
      <c r="A127" s="37"/>
      <c r="B127" s="37"/>
      <c r="C127" s="70"/>
      <c r="D127" s="37"/>
      <c r="E127" s="70"/>
      <c r="F127" s="70"/>
      <c r="G127" s="37"/>
      <c r="H127" s="70"/>
      <c r="I127" s="70"/>
      <c r="J127" s="37"/>
      <c r="K127" s="70"/>
      <c r="L127" s="70"/>
      <c r="M127" s="70"/>
      <c r="N127" s="70"/>
      <c r="O127" s="70"/>
    </row>
    <row r="128" spans="1:15" x14ac:dyDescent="0.25">
      <c r="A128" s="37"/>
      <c r="B128" s="37"/>
      <c r="C128" s="70"/>
      <c r="D128" s="37"/>
      <c r="E128" s="70"/>
      <c r="F128" s="70"/>
      <c r="G128" s="37"/>
      <c r="H128" s="70"/>
      <c r="I128" s="70"/>
      <c r="J128" s="37"/>
      <c r="K128" s="70"/>
      <c r="L128" s="70"/>
      <c r="M128" s="70"/>
      <c r="N128" s="70"/>
      <c r="O128" s="70"/>
    </row>
    <row r="129" spans="1:15" x14ac:dyDescent="0.25">
      <c r="A129" s="37"/>
      <c r="B129" s="37"/>
      <c r="C129" s="70"/>
      <c r="D129" s="37"/>
      <c r="E129" s="70"/>
      <c r="F129" s="70"/>
      <c r="G129" s="37"/>
      <c r="H129" s="70"/>
      <c r="I129" s="70"/>
      <c r="J129" s="37"/>
      <c r="K129" s="70"/>
      <c r="L129" s="70"/>
      <c r="M129" s="70"/>
      <c r="N129" s="70"/>
      <c r="O129" s="70"/>
    </row>
    <row r="130" spans="1:15" x14ac:dyDescent="0.25">
      <c r="A130" s="37"/>
      <c r="B130" s="37"/>
      <c r="C130" s="70"/>
      <c r="D130" s="37"/>
      <c r="E130" s="70"/>
      <c r="F130" s="70"/>
      <c r="G130" s="37"/>
      <c r="H130" s="70"/>
      <c r="I130" s="70"/>
      <c r="J130" s="37"/>
      <c r="K130" s="70"/>
      <c r="L130" s="70"/>
      <c r="M130" s="70"/>
      <c r="N130" s="70"/>
      <c r="O130" s="70"/>
    </row>
    <row r="131" spans="1:15" x14ac:dyDescent="0.25">
      <c r="A131" s="37"/>
      <c r="B131" s="37"/>
      <c r="C131" s="70"/>
      <c r="D131" s="37"/>
      <c r="E131" s="70"/>
      <c r="F131" s="70"/>
      <c r="G131" s="37"/>
      <c r="H131" s="70"/>
      <c r="I131" s="70"/>
      <c r="J131" s="37"/>
      <c r="K131" s="70"/>
      <c r="L131" s="70"/>
      <c r="M131" s="70"/>
      <c r="N131" s="70"/>
      <c r="O131" s="70"/>
    </row>
    <row r="132" spans="1:15" x14ac:dyDescent="0.25">
      <c r="A132" s="37"/>
      <c r="B132" s="37"/>
      <c r="C132" s="70"/>
      <c r="D132" s="37"/>
      <c r="E132" s="70"/>
      <c r="F132" s="70"/>
      <c r="G132" s="37"/>
      <c r="H132" s="70"/>
      <c r="I132" s="70"/>
      <c r="J132" s="37"/>
      <c r="K132" s="70"/>
      <c r="L132" s="70"/>
      <c r="M132" s="70"/>
      <c r="N132" s="70"/>
      <c r="O132" s="70"/>
    </row>
    <row r="133" spans="1:15" x14ac:dyDescent="0.25">
      <c r="A133" s="37"/>
      <c r="B133" s="37"/>
      <c r="C133" s="70"/>
      <c r="D133" s="37"/>
      <c r="E133" s="70"/>
      <c r="F133" s="70"/>
      <c r="G133" s="37"/>
      <c r="H133" s="70"/>
      <c r="I133" s="70"/>
      <c r="J133" s="37"/>
      <c r="K133" s="70"/>
      <c r="L133" s="70"/>
      <c r="M133" s="70"/>
      <c r="N133" s="70"/>
      <c r="O133" s="70"/>
    </row>
    <row r="134" spans="1:15" x14ac:dyDescent="0.25">
      <c r="A134" s="37"/>
      <c r="B134" s="37"/>
      <c r="C134" s="70"/>
      <c r="D134" s="37"/>
      <c r="E134" s="70"/>
      <c r="F134" s="70"/>
      <c r="G134" s="37"/>
      <c r="H134" s="70"/>
      <c r="I134" s="70"/>
      <c r="J134" s="37"/>
      <c r="K134" s="70"/>
      <c r="L134" s="70"/>
      <c r="M134" s="70"/>
      <c r="N134" s="70"/>
      <c r="O134" s="70"/>
    </row>
    <row r="135" spans="1:15" x14ac:dyDescent="0.25">
      <c r="A135" s="37"/>
      <c r="B135" s="37"/>
      <c r="C135" s="70"/>
      <c r="D135" s="37"/>
      <c r="E135" s="70"/>
      <c r="F135" s="70"/>
      <c r="G135" s="37"/>
      <c r="H135" s="70"/>
      <c r="I135" s="70"/>
      <c r="J135" s="37"/>
      <c r="K135" s="70"/>
      <c r="L135" s="70"/>
      <c r="M135" s="70"/>
      <c r="N135" s="70"/>
      <c r="O135" s="70"/>
    </row>
    <row r="136" spans="1:15" x14ac:dyDescent="0.25">
      <c r="A136" s="37"/>
      <c r="B136" s="37"/>
      <c r="C136" s="70"/>
      <c r="D136" s="37"/>
      <c r="E136" s="70"/>
      <c r="F136" s="70"/>
      <c r="G136" s="37"/>
      <c r="H136" s="70"/>
      <c r="I136" s="70"/>
      <c r="J136" s="37"/>
      <c r="K136" s="70"/>
      <c r="L136" s="70"/>
      <c r="M136" s="70"/>
      <c r="N136" s="70"/>
      <c r="O136" s="70"/>
    </row>
    <row r="137" spans="1:15" x14ac:dyDescent="0.25">
      <c r="A137" s="37"/>
      <c r="B137" s="37"/>
      <c r="C137" s="70"/>
      <c r="D137" s="37"/>
      <c r="E137" s="70"/>
      <c r="F137" s="70"/>
      <c r="G137" s="37"/>
      <c r="H137" s="70"/>
      <c r="I137" s="70"/>
      <c r="J137" s="37"/>
      <c r="K137" s="70"/>
      <c r="L137" s="70"/>
      <c r="M137" s="70"/>
      <c r="N137" s="70"/>
      <c r="O137" s="70"/>
    </row>
    <row r="138" spans="1:15" x14ac:dyDescent="0.25">
      <c r="A138" s="37"/>
      <c r="B138" s="37"/>
      <c r="C138" s="70"/>
      <c r="D138" s="37"/>
      <c r="E138" s="70"/>
      <c r="F138" s="70"/>
      <c r="G138" s="37"/>
      <c r="H138" s="70"/>
      <c r="I138" s="70"/>
      <c r="J138" s="37"/>
      <c r="K138" s="70"/>
      <c r="L138" s="70"/>
      <c r="M138" s="70"/>
      <c r="N138" s="70"/>
      <c r="O138" s="70"/>
    </row>
    <row r="139" spans="1:15" x14ac:dyDescent="0.25">
      <c r="A139" s="37"/>
      <c r="B139" s="37"/>
      <c r="C139" s="70"/>
      <c r="D139" s="37"/>
      <c r="E139" s="70"/>
      <c r="F139" s="70"/>
      <c r="G139" s="37"/>
      <c r="H139" s="70"/>
      <c r="I139" s="70"/>
      <c r="J139" s="37"/>
      <c r="K139" s="70"/>
      <c r="L139" s="70"/>
      <c r="M139" s="70"/>
      <c r="N139" s="70"/>
      <c r="O139" s="70"/>
    </row>
    <row r="140" spans="1:15" x14ac:dyDescent="0.25">
      <c r="A140" s="37"/>
      <c r="B140" s="37"/>
      <c r="C140" s="70"/>
      <c r="D140" s="37"/>
      <c r="E140" s="70"/>
      <c r="F140" s="70"/>
      <c r="G140" s="37"/>
      <c r="H140" s="70"/>
      <c r="I140" s="70"/>
      <c r="J140" s="37"/>
      <c r="K140" s="70"/>
      <c r="L140" s="70"/>
      <c r="M140" s="70"/>
      <c r="N140" s="70"/>
      <c r="O140" s="70"/>
    </row>
    <row r="141" spans="1:15" x14ac:dyDescent="0.25">
      <c r="A141" s="37"/>
      <c r="B141" s="37"/>
      <c r="C141" s="70"/>
      <c r="D141" s="37"/>
      <c r="E141" s="70"/>
      <c r="F141" s="70"/>
      <c r="G141" s="37"/>
      <c r="H141" s="70"/>
      <c r="I141" s="70"/>
      <c r="J141" s="37"/>
      <c r="K141" s="70"/>
      <c r="L141" s="70"/>
      <c r="M141" s="70"/>
      <c r="N141" s="70"/>
      <c r="O141" s="70"/>
    </row>
    <row r="142" spans="1:15" x14ac:dyDescent="0.25">
      <c r="A142" s="37"/>
      <c r="B142" s="37"/>
      <c r="C142" s="70"/>
      <c r="D142" s="37"/>
      <c r="E142" s="70"/>
      <c r="F142" s="70"/>
      <c r="G142" s="37"/>
      <c r="H142" s="70"/>
      <c r="I142" s="70"/>
      <c r="J142" s="37"/>
      <c r="K142" s="70"/>
      <c r="L142" s="70"/>
      <c r="M142" s="70"/>
      <c r="N142" s="70"/>
      <c r="O142" s="70"/>
    </row>
    <row r="143" spans="1:15" x14ac:dyDescent="0.25">
      <c r="A143" s="37"/>
      <c r="B143" s="37"/>
      <c r="C143" s="70"/>
      <c r="D143" s="37"/>
      <c r="E143" s="70"/>
      <c r="F143" s="70"/>
      <c r="G143" s="37"/>
      <c r="H143" s="70"/>
      <c r="I143" s="70"/>
      <c r="J143" s="37"/>
      <c r="K143" s="70"/>
      <c r="L143" s="70"/>
      <c r="M143" s="70"/>
      <c r="N143" s="70"/>
      <c r="O143" s="70"/>
    </row>
    <row r="144" spans="1:15" x14ac:dyDescent="0.25">
      <c r="A144" s="37"/>
      <c r="B144" s="37"/>
      <c r="C144" s="70"/>
      <c r="D144" s="37"/>
      <c r="E144" s="70"/>
      <c r="F144" s="70"/>
      <c r="G144" s="37"/>
      <c r="H144" s="70"/>
      <c r="I144" s="70"/>
      <c r="J144" s="37"/>
      <c r="K144" s="70"/>
      <c r="L144" s="70"/>
      <c r="M144" s="70"/>
      <c r="N144" s="70"/>
      <c r="O144" s="70"/>
    </row>
    <row r="145" spans="1:15" x14ac:dyDescent="0.25">
      <c r="A145" s="37"/>
      <c r="B145" s="37"/>
      <c r="C145" s="70"/>
      <c r="D145" s="37"/>
      <c r="E145" s="70"/>
      <c r="F145" s="70"/>
      <c r="G145" s="37"/>
      <c r="H145" s="70"/>
      <c r="I145" s="70"/>
      <c r="J145" s="37"/>
      <c r="K145" s="70"/>
      <c r="L145" s="70"/>
      <c r="M145" s="70"/>
      <c r="N145" s="70"/>
      <c r="O145" s="70"/>
    </row>
    <row r="146" spans="1:15" x14ac:dyDescent="0.25">
      <c r="A146" s="37"/>
      <c r="B146" s="37"/>
      <c r="C146" s="70"/>
      <c r="D146" s="37"/>
      <c r="E146" s="70"/>
      <c r="F146" s="70"/>
      <c r="G146" s="37"/>
      <c r="H146" s="70"/>
      <c r="I146" s="70"/>
      <c r="J146" s="37"/>
      <c r="K146" s="70"/>
      <c r="L146" s="70"/>
      <c r="M146" s="70"/>
      <c r="N146" s="70"/>
      <c r="O146" s="70"/>
    </row>
    <row r="147" spans="1:15" x14ac:dyDescent="0.25">
      <c r="A147" s="37"/>
      <c r="B147" s="37"/>
      <c r="C147" s="70"/>
      <c r="D147" s="37"/>
      <c r="E147" s="70"/>
      <c r="F147" s="70"/>
      <c r="G147" s="37"/>
      <c r="H147" s="70"/>
      <c r="I147" s="70"/>
      <c r="J147" s="37"/>
      <c r="K147" s="70"/>
      <c r="L147" s="70"/>
      <c r="M147" s="70"/>
      <c r="N147" s="70"/>
      <c r="O147" s="70"/>
    </row>
    <row r="148" spans="1:15" x14ac:dyDescent="0.25">
      <c r="A148" s="37"/>
      <c r="B148" s="37"/>
      <c r="C148" s="70"/>
      <c r="D148" s="37"/>
      <c r="E148" s="70"/>
      <c r="F148" s="70"/>
      <c r="G148" s="37"/>
      <c r="H148" s="70"/>
      <c r="I148" s="70"/>
      <c r="J148" s="37"/>
      <c r="K148" s="70"/>
      <c r="L148" s="70"/>
      <c r="M148" s="70"/>
      <c r="N148" s="70"/>
      <c r="O148" s="70"/>
    </row>
    <row r="149" spans="1:15" x14ac:dyDescent="0.25">
      <c r="A149" s="37"/>
      <c r="B149" s="37"/>
      <c r="C149" s="70"/>
      <c r="D149" s="37"/>
      <c r="E149" s="70"/>
      <c r="F149" s="70"/>
      <c r="G149" s="37"/>
      <c r="H149" s="70"/>
      <c r="I149" s="70"/>
      <c r="J149" s="37"/>
      <c r="K149" s="70"/>
      <c r="L149" s="70"/>
      <c r="M149" s="70"/>
      <c r="N149" s="70"/>
      <c r="O149" s="70"/>
    </row>
    <row r="150" spans="1:15" x14ac:dyDescent="0.25">
      <c r="A150" s="37"/>
      <c r="B150" s="37"/>
      <c r="C150" s="70"/>
      <c r="D150" s="37"/>
      <c r="E150" s="70"/>
      <c r="F150" s="70"/>
      <c r="G150" s="37"/>
      <c r="H150" s="70"/>
      <c r="I150" s="70"/>
      <c r="J150" s="37"/>
      <c r="K150" s="70"/>
      <c r="L150" s="70"/>
      <c r="M150" s="70"/>
      <c r="N150" s="70"/>
      <c r="O150" s="70"/>
    </row>
    <row r="151" spans="1:15" x14ac:dyDescent="0.25">
      <c r="A151" s="37"/>
      <c r="B151" s="37"/>
      <c r="C151" s="70"/>
      <c r="D151" s="37"/>
      <c r="E151" s="70"/>
      <c r="F151" s="70"/>
      <c r="G151" s="37"/>
      <c r="H151" s="70"/>
      <c r="I151" s="70"/>
      <c r="J151" s="37"/>
      <c r="K151" s="70"/>
      <c r="L151" s="70"/>
      <c r="M151" s="70"/>
      <c r="N151" s="70"/>
      <c r="O151" s="70"/>
    </row>
    <row r="152" spans="1:15" x14ac:dyDescent="0.25">
      <c r="A152" s="37"/>
      <c r="B152" s="37"/>
      <c r="C152" s="70"/>
      <c r="D152" s="37"/>
      <c r="E152" s="70"/>
      <c r="F152" s="70"/>
      <c r="G152" s="37"/>
      <c r="H152" s="70"/>
      <c r="I152" s="70"/>
      <c r="J152" s="37"/>
      <c r="K152" s="70"/>
      <c r="L152" s="70"/>
      <c r="M152" s="70"/>
      <c r="N152" s="70"/>
      <c r="O152" s="70"/>
    </row>
    <row r="153" spans="1:15" x14ac:dyDescent="0.25">
      <c r="A153" s="37"/>
      <c r="B153" s="37"/>
      <c r="C153" s="70"/>
      <c r="D153" s="37"/>
      <c r="E153" s="70"/>
      <c r="F153" s="70"/>
      <c r="G153" s="37"/>
      <c r="H153" s="70"/>
      <c r="I153" s="70"/>
      <c r="J153" s="37"/>
      <c r="K153" s="70"/>
      <c r="L153" s="70"/>
      <c r="M153" s="70"/>
      <c r="N153" s="70"/>
      <c r="O153" s="70"/>
    </row>
    <row r="154" spans="1:15" x14ac:dyDescent="0.25">
      <c r="A154" s="37"/>
      <c r="B154" s="37"/>
      <c r="C154" s="70"/>
      <c r="D154" s="37"/>
      <c r="E154" s="70"/>
      <c r="F154" s="70"/>
      <c r="G154" s="37"/>
      <c r="H154" s="70"/>
      <c r="I154" s="70"/>
      <c r="J154" s="37"/>
      <c r="K154" s="70"/>
      <c r="L154" s="70"/>
      <c r="M154" s="70"/>
      <c r="N154" s="70"/>
      <c r="O154" s="70"/>
    </row>
    <row r="155" spans="1:15" x14ac:dyDescent="0.25">
      <c r="A155" s="37"/>
      <c r="B155" s="37"/>
      <c r="C155" s="70"/>
      <c r="D155" s="37"/>
      <c r="E155" s="70"/>
      <c r="F155" s="70"/>
      <c r="G155" s="37"/>
      <c r="H155" s="70"/>
      <c r="I155" s="70"/>
      <c r="J155" s="37"/>
      <c r="K155" s="70"/>
      <c r="L155" s="70"/>
      <c r="M155" s="70"/>
      <c r="N155" s="70"/>
      <c r="O155" s="70"/>
    </row>
    <row r="156" spans="1:15" x14ac:dyDescent="0.25">
      <c r="A156" s="37"/>
      <c r="B156" s="37"/>
      <c r="C156" s="70"/>
      <c r="D156" s="37"/>
      <c r="E156" s="70"/>
      <c r="F156" s="70"/>
      <c r="G156" s="37"/>
      <c r="H156" s="70"/>
      <c r="I156" s="70"/>
      <c r="J156" s="37"/>
      <c r="K156" s="70"/>
      <c r="L156" s="70"/>
      <c r="M156" s="70"/>
      <c r="N156" s="70"/>
      <c r="O156" s="70"/>
    </row>
    <row r="157" spans="1:15" x14ac:dyDescent="0.25">
      <c r="A157" s="37"/>
      <c r="B157" s="37"/>
      <c r="C157" s="70"/>
      <c r="D157" s="37"/>
      <c r="E157" s="70"/>
      <c r="F157" s="70"/>
      <c r="G157" s="37"/>
      <c r="H157" s="70"/>
      <c r="I157" s="70"/>
      <c r="J157" s="37"/>
      <c r="K157" s="70"/>
      <c r="L157" s="70"/>
      <c r="M157" s="70"/>
      <c r="N157" s="70"/>
      <c r="O157" s="70"/>
    </row>
    <row r="158" spans="1:15" x14ac:dyDescent="0.25">
      <c r="A158" s="37"/>
      <c r="B158" s="37"/>
      <c r="C158" s="70"/>
      <c r="D158" s="37"/>
      <c r="E158" s="70"/>
      <c r="F158" s="70"/>
      <c r="G158" s="37"/>
      <c r="H158" s="70"/>
      <c r="I158" s="70"/>
      <c r="J158" s="37"/>
      <c r="K158" s="70"/>
      <c r="L158" s="70"/>
      <c r="M158" s="70"/>
      <c r="N158" s="70"/>
      <c r="O158" s="70"/>
    </row>
    <row r="159" spans="1:15" x14ac:dyDescent="0.25">
      <c r="A159" s="37"/>
      <c r="B159" s="37"/>
      <c r="C159" s="70"/>
      <c r="D159" s="37"/>
      <c r="E159" s="70"/>
      <c r="F159" s="70"/>
      <c r="G159" s="37"/>
      <c r="H159" s="70"/>
      <c r="I159" s="70"/>
      <c r="J159" s="37"/>
      <c r="K159" s="70"/>
      <c r="L159" s="70"/>
      <c r="M159" s="70"/>
      <c r="N159" s="70"/>
      <c r="O159" s="70"/>
    </row>
    <row r="160" spans="1:15" x14ac:dyDescent="0.25">
      <c r="A160" s="37"/>
      <c r="B160" s="37"/>
      <c r="C160" s="70"/>
      <c r="D160" s="37"/>
      <c r="E160" s="70"/>
      <c r="F160" s="70"/>
      <c r="G160" s="37"/>
      <c r="H160" s="70"/>
      <c r="I160" s="70"/>
      <c r="J160" s="37"/>
      <c r="K160" s="70"/>
      <c r="L160" s="70"/>
      <c r="M160" s="70"/>
      <c r="N160" s="70"/>
      <c r="O160" s="70"/>
    </row>
    <row r="161" spans="1:15" x14ac:dyDescent="0.25">
      <c r="A161" s="37"/>
      <c r="B161" s="37"/>
      <c r="C161" s="70"/>
      <c r="D161" s="37"/>
      <c r="E161" s="70"/>
      <c r="F161" s="70"/>
      <c r="G161" s="37"/>
      <c r="H161" s="70"/>
      <c r="I161" s="70"/>
      <c r="J161" s="37"/>
      <c r="K161" s="70"/>
      <c r="L161" s="70"/>
      <c r="M161" s="70"/>
      <c r="N161" s="70"/>
      <c r="O161" s="70"/>
    </row>
    <row r="162" spans="1:15" x14ac:dyDescent="0.25">
      <c r="A162" s="37"/>
      <c r="B162" s="37"/>
      <c r="C162" s="70"/>
      <c r="D162" s="37"/>
      <c r="E162" s="70"/>
      <c r="F162" s="70"/>
      <c r="G162" s="37"/>
      <c r="H162" s="70"/>
      <c r="I162" s="70"/>
      <c r="J162" s="37"/>
      <c r="K162" s="70"/>
      <c r="L162" s="70"/>
      <c r="M162" s="70"/>
      <c r="N162" s="70"/>
      <c r="O162" s="70"/>
    </row>
    <row r="163" spans="1:15" x14ac:dyDescent="0.25">
      <c r="A163" s="37"/>
      <c r="B163" s="37"/>
      <c r="C163" s="70"/>
      <c r="D163" s="37"/>
      <c r="E163" s="70"/>
      <c r="F163" s="70"/>
      <c r="G163" s="37"/>
      <c r="H163" s="70"/>
      <c r="I163" s="70"/>
      <c r="J163" s="37"/>
      <c r="K163" s="70"/>
      <c r="L163" s="70"/>
      <c r="M163" s="70"/>
      <c r="N163" s="70"/>
      <c r="O163" s="70"/>
    </row>
    <row r="164" spans="1:15" x14ac:dyDescent="0.25">
      <c r="A164" s="37"/>
      <c r="B164" s="37"/>
      <c r="C164" s="70"/>
      <c r="D164" s="37"/>
      <c r="E164" s="70"/>
      <c r="F164" s="70"/>
      <c r="G164" s="37"/>
      <c r="H164" s="70"/>
      <c r="I164" s="70"/>
      <c r="J164" s="37"/>
      <c r="K164" s="70"/>
      <c r="L164" s="70"/>
      <c r="M164" s="70"/>
      <c r="N164" s="70"/>
      <c r="O164" s="70"/>
    </row>
    <row r="165" spans="1:15" x14ac:dyDescent="0.25">
      <c r="A165" s="37"/>
      <c r="B165" s="37"/>
      <c r="C165" s="70"/>
      <c r="D165" s="37"/>
      <c r="E165" s="70"/>
      <c r="F165" s="70"/>
      <c r="G165" s="37"/>
      <c r="H165" s="70"/>
      <c r="I165" s="70"/>
      <c r="J165" s="37"/>
      <c r="K165" s="70"/>
      <c r="L165" s="70"/>
      <c r="M165" s="70"/>
      <c r="N165" s="70"/>
      <c r="O165" s="70"/>
    </row>
    <row r="166" spans="1:15" x14ac:dyDescent="0.25">
      <c r="A166" s="37"/>
      <c r="B166" s="37"/>
      <c r="C166" s="70"/>
      <c r="D166" s="37"/>
      <c r="E166" s="70"/>
      <c r="F166" s="70"/>
      <c r="G166" s="37"/>
      <c r="H166" s="70"/>
      <c r="I166" s="70"/>
      <c r="J166" s="37"/>
      <c r="K166" s="70"/>
      <c r="L166" s="70"/>
      <c r="M166" s="70"/>
      <c r="N166" s="70"/>
      <c r="O166" s="70"/>
    </row>
    <row r="167" spans="1:15" x14ac:dyDescent="0.25">
      <c r="A167" s="37"/>
      <c r="B167" s="37"/>
      <c r="C167" s="70"/>
      <c r="D167" s="37"/>
      <c r="E167" s="70"/>
      <c r="F167" s="70"/>
      <c r="G167" s="37"/>
      <c r="H167" s="70"/>
      <c r="I167" s="70"/>
      <c r="J167" s="37"/>
      <c r="K167" s="70"/>
      <c r="L167" s="70"/>
      <c r="M167" s="70"/>
      <c r="N167" s="70"/>
      <c r="O167" s="70"/>
    </row>
    <row r="168" spans="1:15" x14ac:dyDescent="0.25">
      <c r="A168" s="37"/>
      <c r="B168" s="37"/>
      <c r="C168" s="70"/>
      <c r="D168" s="37"/>
      <c r="E168" s="70"/>
      <c r="F168" s="70"/>
      <c r="G168" s="37"/>
      <c r="H168" s="70"/>
      <c r="I168" s="70"/>
      <c r="J168" s="37"/>
      <c r="K168" s="70"/>
      <c r="L168" s="70"/>
      <c r="M168" s="70"/>
      <c r="N168" s="70"/>
      <c r="O168" s="70"/>
    </row>
    <row r="169" spans="1:15" x14ac:dyDescent="0.25">
      <c r="A169" s="37"/>
      <c r="B169" s="37"/>
      <c r="C169" s="70"/>
      <c r="D169" s="37"/>
      <c r="E169" s="70"/>
      <c r="F169" s="70"/>
      <c r="G169" s="37"/>
      <c r="H169" s="70"/>
      <c r="I169" s="70"/>
      <c r="J169" s="37"/>
      <c r="K169" s="70"/>
      <c r="L169" s="70"/>
      <c r="M169" s="70"/>
      <c r="N169" s="70"/>
      <c r="O169" s="70"/>
    </row>
    <row r="170" spans="1:15" x14ac:dyDescent="0.25">
      <c r="A170" s="37"/>
      <c r="B170" s="37"/>
      <c r="C170" s="70"/>
      <c r="D170" s="37"/>
      <c r="E170" s="70"/>
      <c r="F170" s="70"/>
      <c r="G170" s="37"/>
      <c r="H170" s="70"/>
      <c r="I170" s="70"/>
      <c r="J170" s="37"/>
      <c r="K170" s="70"/>
      <c r="L170" s="70"/>
      <c r="M170" s="70"/>
      <c r="N170" s="70"/>
      <c r="O170" s="70"/>
    </row>
    <row r="171" spans="1:15" x14ac:dyDescent="0.25">
      <c r="A171" s="37"/>
      <c r="B171" s="37"/>
      <c r="C171" s="70"/>
      <c r="D171" s="37"/>
      <c r="E171" s="70"/>
      <c r="F171" s="70"/>
      <c r="G171" s="37"/>
      <c r="H171" s="70"/>
      <c r="I171" s="70"/>
      <c r="J171" s="37"/>
      <c r="K171" s="70"/>
      <c r="L171" s="70"/>
      <c r="M171" s="70"/>
      <c r="N171" s="70"/>
      <c r="O171" s="70"/>
    </row>
    <row r="172" spans="1:15" x14ac:dyDescent="0.25">
      <c r="A172" s="37"/>
      <c r="B172" s="37"/>
      <c r="C172" s="70"/>
      <c r="D172" s="37"/>
      <c r="E172" s="70"/>
      <c r="F172" s="70"/>
      <c r="G172" s="37"/>
      <c r="H172" s="70"/>
      <c r="I172" s="70"/>
      <c r="J172" s="37"/>
      <c r="K172" s="70"/>
      <c r="L172" s="70"/>
      <c r="M172" s="70"/>
      <c r="N172" s="70"/>
      <c r="O172" s="70"/>
    </row>
    <row r="173" spans="1:15" x14ac:dyDescent="0.25">
      <c r="A173" s="37"/>
      <c r="B173" s="37"/>
      <c r="C173" s="70"/>
      <c r="D173" s="37"/>
      <c r="E173" s="70"/>
      <c r="F173" s="70"/>
      <c r="G173" s="37"/>
      <c r="H173" s="70"/>
      <c r="I173" s="70"/>
      <c r="J173" s="37"/>
      <c r="K173" s="70"/>
      <c r="L173" s="70"/>
      <c r="M173" s="70"/>
      <c r="N173" s="70"/>
      <c r="O173" s="70"/>
    </row>
    <row r="174" spans="1:15" x14ac:dyDescent="0.25">
      <c r="A174" s="37"/>
      <c r="B174" s="37"/>
      <c r="C174" s="70"/>
      <c r="D174" s="37"/>
      <c r="E174" s="70"/>
      <c r="F174" s="70"/>
      <c r="G174" s="37"/>
      <c r="H174" s="70"/>
      <c r="I174" s="70"/>
      <c r="J174" s="37"/>
      <c r="K174" s="70"/>
      <c r="L174" s="70"/>
      <c r="M174" s="70"/>
      <c r="N174" s="70"/>
      <c r="O174" s="70"/>
    </row>
    <row r="175" spans="1:15" x14ac:dyDescent="0.25">
      <c r="A175" s="37"/>
      <c r="B175" s="37"/>
      <c r="C175" s="70"/>
      <c r="D175" s="37"/>
      <c r="E175" s="70"/>
      <c r="F175" s="70"/>
      <c r="G175" s="37"/>
      <c r="H175" s="70"/>
      <c r="I175" s="70"/>
      <c r="J175" s="37"/>
      <c r="K175" s="70"/>
      <c r="L175" s="70"/>
      <c r="M175" s="70"/>
      <c r="N175" s="70"/>
      <c r="O175" s="70"/>
    </row>
    <row r="176" spans="1:15" x14ac:dyDescent="0.25">
      <c r="A176" s="37"/>
      <c r="B176" s="37"/>
      <c r="C176" s="70"/>
      <c r="D176" s="37"/>
      <c r="E176" s="70"/>
      <c r="F176" s="70"/>
      <c r="G176" s="37"/>
      <c r="H176" s="70"/>
      <c r="I176" s="70"/>
      <c r="J176" s="37"/>
      <c r="K176" s="70"/>
      <c r="L176" s="70"/>
      <c r="M176" s="70"/>
      <c r="N176" s="70"/>
      <c r="O176" s="70"/>
    </row>
    <row r="177" spans="1:15" x14ac:dyDescent="0.25">
      <c r="A177" s="37"/>
      <c r="B177" s="37"/>
      <c r="C177" s="70"/>
      <c r="D177" s="37"/>
      <c r="E177" s="70"/>
      <c r="F177" s="70"/>
      <c r="G177" s="37"/>
      <c r="H177" s="70"/>
      <c r="I177" s="70"/>
      <c r="J177" s="37"/>
      <c r="K177" s="70"/>
      <c r="L177" s="70"/>
      <c r="M177" s="70"/>
      <c r="N177" s="70"/>
      <c r="O177" s="70"/>
    </row>
    <row r="178" spans="1:15" x14ac:dyDescent="0.25">
      <c r="A178" s="37"/>
      <c r="B178" s="37"/>
      <c r="C178" s="70"/>
      <c r="D178" s="37"/>
      <c r="E178" s="70"/>
      <c r="F178" s="70"/>
      <c r="G178" s="37"/>
      <c r="H178" s="70"/>
      <c r="I178" s="70"/>
      <c r="J178" s="37"/>
      <c r="K178" s="70"/>
      <c r="L178" s="70"/>
      <c r="M178" s="70"/>
      <c r="N178" s="70"/>
      <c r="O178" s="70"/>
    </row>
    <row r="179" spans="1:15" x14ac:dyDescent="0.25">
      <c r="A179" s="37"/>
      <c r="B179" s="37"/>
      <c r="C179" s="70"/>
      <c r="D179" s="37"/>
      <c r="E179" s="70"/>
      <c r="F179" s="70"/>
      <c r="G179" s="37"/>
      <c r="H179" s="70"/>
      <c r="I179" s="70"/>
      <c r="J179" s="37"/>
      <c r="K179" s="70"/>
      <c r="L179" s="70"/>
      <c r="M179" s="70"/>
      <c r="N179" s="70"/>
      <c r="O179" s="70"/>
    </row>
    <row r="180" spans="1:15" x14ac:dyDescent="0.25">
      <c r="A180" s="37"/>
      <c r="B180" s="37"/>
      <c r="C180" s="70"/>
      <c r="D180" s="37"/>
      <c r="E180" s="70"/>
      <c r="F180" s="70"/>
      <c r="G180" s="37"/>
      <c r="H180" s="70"/>
      <c r="I180" s="70"/>
      <c r="J180" s="37"/>
      <c r="K180" s="70"/>
      <c r="L180" s="70"/>
      <c r="M180" s="70"/>
      <c r="N180" s="70"/>
      <c r="O180" s="70"/>
    </row>
    <row r="181" spans="1:15" x14ac:dyDescent="0.25">
      <c r="A181" s="37"/>
      <c r="B181" s="37"/>
      <c r="C181" s="70"/>
      <c r="D181" s="37"/>
      <c r="E181" s="70"/>
      <c r="F181" s="70"/>
      <c r="G181" s="37"/>
      <c r="H181" s="70"/>
      <c r="I181" s="70"/>
      <c r="J181" s="37"/>
      <c r="K181" s="70"/>
      <c r="L181" s="70"/>
      <c r="M181" s="70"/>
      <c r="N181" s="70"/>
      <c r="O181" s="70"/>
    </row>
    <row r="182" spans="1:15" x14ac:dyDescent="0.25">
      <c r="A182" s="37"/>
      <c r="B182" s="37"/>
      <c r="C182" s="70"/>
      <c r="D182" s="37"/>
      <c r="E182" s="70"/>
      <c r="F182" s="70"/>
      <c r="G182" s="37"/>
      <c r="H182" s="70"/>
      <c r="I182" s="70"/>
      <c r="J182" s="37"/>
      <c r="K182" s="70"/>
      <c r="L182" s="70"/>
      <c r="M182" s="70"/>
      <c r="N182" s="70"/>
      <c r="O182" s="70"/>
    </row>
    <row r="183" spans="1:15" x14ac:dyDescent="0.25">
      <c r="A183" s="37"/>
      <c r="B183" s="37"/>
      <c r="C183" s="70"/>
      <c r="D183" s="37"/>
      <c r="E183" s="70"/>
      <c r="F183" s="70"/>
      <c r="G183" s="37"/>
      <c r="H183" s="70"/>
      <c r="I183" s="70"/>
      <c r="J183" s="37"/>
      <c r="K183" s="70"/>
      <c r="L183" s="70"/>
      <c r="M183" s="70"/>
      <c r="N183" s="70"/>
      <c r="O183" s="70"/>
    </row>
    <row r="184" spans="1:15" x14ac:dyDescent="0.25">
      <c r="A184" s="37"/>
      <c r="B184" s="37"/>
      <c r="C184" s="70"/>
      <c r="D184" s="37"/>
      <c r="E184" s="70"/>
      <c r="F184" s="70"/>
      <c r="G184" s="37"/>
      <c r="H184" s="70"/>
      <c r="I184" s="70"/>
      <c r="J184" s="37"/>
      <c r="K184" s="70"/>
      <c r="L184" s="70"/>
      <c r="M184" s="70"/>
      <c r="N184" s="70"/>
      <c r="O184" s="70"/>
    </row>
    <row r="185" spans="1:15" x14ac:dyDescent="0.25">
      <c r="A185" s="37"/>
      <c r="B185" s="37"/>
      <c r="C185" s="70"/>
      <c r="D185" s="37"/>
      <c r="E185" s="70"/>
      <c r="F185" s="70"/>
      <c r="G185" s="37"/>
      <c r="H185" s="70"/>
      <c r="I185" s="70"/>
      <c r="J185" s="37"/>
      <c r="K185" s="70"/>
      <c r="L185" s="70"/>
      <c r="M185" s="70"/>
      <c r="N185" s="70"/>
      <c r="O185" s="70"/>
    </row>
    <row r="186" spans="1:15" x14ac:dyDescent="0.25">
      <c r="A186" s="37"/>
      <c r="B186" s="37"/>
      <c r="C186" s="70"/>
      <c r="D186" s="37"/>
      <c r="E186" s="70"/>
      <c r="F186" s="70"/>
      <c r="G186" s="37"/>
      <c r="H186" s="70"/>
      <c r="I186" s="70"/>
      <c r="J186" s="37"/>
      <c r="K186" s="70"/>
      <c r="L186" s="70"/>
      <c r="M186" s="70"/>
      <c r="N186" s="70"/>
      <c r="O186" s="70"/>
    </row>
    <row r="187" spans="1:15" x14ac:dyDescent="0.25">
      <c r="A187" s="37"/>
      <c r="B187" s="37"/>
      <c r="C187" s="70"/>
      <c r="D187" s="37"/>
      <c r="E187" s="70"/>
      <c r="F187" s="70"/>
      <c r="G187" s="37"/>
      <c r="H187" s="70"/>
      <c r="I187" s="70"/>
      <c r="J187" s="37"/>
      <c r="K187" s="70"/>
      <c r="L187" s="70"/>
      <c r="M187" s="70"/>
      <c r="N187" s="70"/>
      <c r="O187" s="70"/>
    </row>
    <row r="188" spans="1:15" x14ac:dyDescent="0.25">
      <c r="A188" s="37"/>
      <c r="B188" s="37"/>
      <c r="C188" s="70"/>
      <c r="D188" s="37"/>
      <c r="E188" s="70"/>
      <c r="F188" s="70"/>
      <c r="G188" s="37"/>
      <c r="H188" s="70"/>
      <c r="I188" s="70"/>
      <c r="J188" s="37"/>
      <c r="K188" s="70"/>
      <c r="L188" s="70"/>
      <c r="M188" s="70"/>
      <c r="N188" s="70"/>
      <c r="O188" s="70"/>
    </row>
    <row r="189" spans="1:15" x14ac:dyDescent="0.25">
      <c r="A189" s="37"/>
      <c r="B189" s="37"/>
      <c r="C189" s="70"/>
      <c r="D189" s="37"/>
      <c r="E189" s="70"/>
      <c r="F189" s="70"/>
      <c r="G189" s="37"/>
      <c r="H189" s="70"/>
      <c r="I189" s="70"/>
      <c r="J189" s="37"/>
      <c r="K189" s="70"/>
      <c r="L189" s="70"/>
      <c r="M189" s="70"/>
      <c r="N189" s="70"/>
      <c r="O189" s="70"/>
    </row>
    <row r="190" spans="1:15" x14ac:dyDescent="0.25">
      <c r="A190" s="37"/>
      <c r="B190" s="37"/>
      <c r="C190" s="70"/>
      <c r="D190" s="37"/>
      <c r="E190" s="70"/>
      <c r="F190" s="70"/>
      <c r="G190" s="37"/>
      <c r="H190" s="70"/>
      <c r="I190" s="70"/>
      <c r="J190" s="37"/>
      <c r="K190" s="70"/>
      <c r="L190" s="70"/>
      <c r="M190" s="70"/>
      <c r="N190" s="70"/>
      <c r="O190" s="70"/>
    </row>
    <row r="191" spans="1:15" x14ac:dyDescent="0.25">
      <c r="A191" s="37"/>
      <c r="B191" s="37"/>
      <c r="C191" s="70"/>
      <c r="D191" s="37"/>
      <c r="E191" s="70"/>
      <c r="F191" s="70"/>
      <c r="G191" s="37"/>
      <c r="H191" s="70"/>
      <c r="I191" s="70"/>
      <c r="J191" s="37"/>
      <c r="K191" s="70"/>
      <c r="L191" s="70"/>
      <c r="M191" s="70"/>
      <c r="N191" s="70"/>
      <c r="O191" s="70"/>
    </row>
    <row r="192" spans="1:15" x14ac:dyDescent="0.25">
      <c r="A192" s="37"/>
      <c r="B192" s="37"/>
      <c r="C192" s="70"/>
      <c r="D192" s="37"/>
      <c r="E192" s="70"/>
      <c r="F192" s="70"/>
      <c r="G192" s="37"/>
      <c r="H192" s="70"/>
      <c r="I192" s="70"/>
      <c r="J192" s="37"/>
      <c r="K192" s="70"/>
      <c r="L192" s="70"/>
      <c r="M192" s="70"/>
      <c r="N192" s="70"/>
      <c r="O192" s="70"/>
    </row>
    <row r="193" spans="1:15" x14ac:dyDescent="0.25">
      <c r="A193" s="37"/>
      <c r="B193" s="37"/>
      <c r="C193" s="70"/>
      <c r="D193" s="37"/>
      <c r="E193" s="70"/>
      <c r="F193" s="70"/>
      <c r="G193" s="37"/>
      <c r="H193" s="70"/>
      <c r="I193" s="70"/>
      <c r="J193" s="37"/>
      <c r="K193" s="70"/>
      <c r="L193" s="70"/>
      <c r="M193" s="70"/>
      <c r="N193" s="70"/>
      <c r="O193" s="70"/>
    </row>
    <row r="194" spans="1:15" x14ac:dyDescent="0.25">
      <c r="A194" s="37"/>
      <c r="B194" s="37"/>
      <c r="C194" s="70"/>
      <c r="D194" s="37"/>
      <c r="E194" s="70"/>
      <c r="F194" s="70"/>
      <c r="G194" s="37"/>
      <c r="H194" s="70"/>
      <c r="I194" s="70"/>
      <c r="J194" s="37"/>
      <c r="K194" s="70"/>
      <c r="L194" s="70"/>
      <c r="M194" s="70"/>
      <c r="N194" s="70"/>
      <c r="O194" s="70"/>
    </row>
    <row r="195" spans="1:15" x14ac:dyDescent="0.25">
      <c r="A195" s="37"/>
      <c r="B195" s="37"/>
      <c r="C195" s="70"/>
      <c r="D195" s="37"/>
      <c r="E195" s="70"/>
      <c r="F195" s="70"/>
      <c r="G195" s="37"/>
      <c r="H195" s="70"/>
      <c r="I195" s="70"/>
      <c r="J195" s="37"/>
      <c r="K195" s="70"/>
      <c r="L195" s="70"/>
      <c r="M195" s="70"/>
      <c r="N195" s="70"/>
      <c r="O195" s="70"/>
    </row>
    <row r="196" spans="1:15" x14ac:dyDescent="0.25">
      <c r="A196" s="37"/>
      <c r="B196" s="37"/>
      <c r="C196" s="70"/>
      <c r="D196" s="37"/>
      <c r="E196" s="70"/>
      <c r="F196" s="70"/>
      <c r="G196" s="37"/>
      <c r="H196" s="70"/>
      <c r="I196" s="70"/>
      <c r="J196" s="37"/>
      <c r="K196" s="70"/>
      <c r="L196" s="70"/>
      <c r="M196" s="70"/>
      <c r="N196" s="70"/>
      <c r="O196" s="70"/>
    </row>
    <row r="197" spans="1:15" x14ac:dyDescent="0.25">
      <c r="A197" s="37"/>
      <c r="B197" s="37"/>
      <c r="C197" s="70"/>
      <c r="D197" s="37"/>
      <c r="E197" s="70"/>
      <c r="F197" s="70"/>
      <c r="G197" s="37"/>
      <c r="H197" s="70"/>
      <c r="I197" s="70"/>
      <c r="J197" s="37"/>
      <c r="K197" s="70"/>
      <c r="L197" s="70"/>
      <c r="M197" s="70"/>
      <c r="N197" s="70"/>
      <c r="O197" s="70"/>
    </row>
    <row r="198" spans="1:15" x14ac:dyDescent="0.25">
      <c r="A198" s="37"/>
      <c r="B198" s="37"/>
      <c r="C198" s="70"/>
      <c r="D198" s="37"/>
      <c r="E198" s="70"/>
      <c r="F198" s="70"/>
      <c r="G198" s="37"/>
      <c r="H198" s="70"/>
      <c r="I198" s="70"/>
      <c r="J198" s="37"/>
      <c r="K198" s="70"/>
      <c r="L198" s="70"/>
      <c r="M198" s="70"/>
      <c r="N198" s="70"/>
      <c r="O198" s="70"/>
    </row>
    <row r="199" spans="1:15" x14ac:dyDescent="0.25">
      <c r="A199" s="37"/>
      <c r="B199" s="37"/>
      <c r="C199" s="70"/>
      <c r="D199" s="37"/>
      <c r="E199" s="70"/>
      <c r="F199" s="70"/>
      <c r="G199" s="37"/>
      <c r="H199" s="70"/>
      <c r="I199" s="70"/>
      <c r="J199" s="37"/>
      <c r="K199" s="70"/>
      <c r="L199" s="70"/>
      <c r="M199" s="70"/>
      <c r="N199" s="70"/>
      <c r="O199" s="70"/>
    </row>
    <row r="200" spans="1:15" x14ac:dyDescent="0.25">
      <c r="A200" s="37"/>
      <c r="B200" s="37"/>
      <c r="C200" s="70"/>
      <c r="D200" s="37"/>
      <c r="E200" s="70"/>
      <c r="F200" s="70"/>
      <c r="G200" s="37"/>
      <c r="H200" s="70"/>
      <c r="I200" s="70"/>
      <c r="J200" s="37"/>
      <c r="K200" s="70"/>
      <c r="L200" s="70"/>
      <c r="M200" s="70"/>
      <c r="N200" s="70"/>
      <c r="O200" s="70"/>
    </row>
    <row r="201" spans="1:15" x14ac:dyDescent="0.25">
      <c r="A201" s="37"/>
      <c r="B201" s="37"/>
      <c r="C201" s="70"/>
      <c r="D201" s="37"/>
      <c r="E201" s="70"/>
      <c r="F201" s="70"/>
      <c r="G201" s="37"/>
      <c r="H201" s="70"/>
      <c r="I201" s="70"/>
      <c r="J201" s="37"/>
      <c r="K201" s="70"/>
      <c r="L201" s="70"/>
      <c r="M201" s="70"/>
      <c r="N201" s="70"/>
      <c r="O201" s="70"/>
    </row>
    <row r="202" spans="1:15" x14ac:dyDescent="0.25">
      <c r="A202" s="37"/>
      <c r="B202" s="37"/>
      <c r="C202" s="70"/>
      <c r="D202" s="37"/>
      <c r="E202" s="70"/>
      <c r="F202" s="70"/>
      <c r="G202" s="37"/>
      <c r="H202" s="70"/>
      <c r="I202" s="70"/>
      <c r="J202" s="37"/>
      <c r="K202" s="70"/>
      <c r="L202" s="70"/>
      <c r="M202" s="70"/>
      <c r="N202" s="70"/>
      <c r="O202" s="70"/>
    </row>
    <row r="203" spans="1:15" x14ac:dyDescent="0.25">
      <c r="A203" s="37"/>
      <c r="B203" s="37"/>
      <c r="C203" s="70"/>
      <c r="D203" s="37"/>
      <c r="E203" s="70"/>
      <c r="F203" s="70"/>
      <c r="G203" s="37"/>
      <c r="H203" s="70"/>
      <c r="I203" s="70"/>
      <c r="J203" s="37"/>
      <c r="K203" s="70"/>
      <c r="L203" s="70"/>
      <c r="M203" s="70"/>
      <c r="N203" s="70"/>
      <c r="O203" s="70"/>
    </row>
    <row r="204" spans="1:15" x14ac:dyDescent="0.25">
      <c r="A204" s="37"/>
      <c r="B204" s="37"/>
      <c r="C204" s="70"/>
      <c r="D204" s="37"/>
      <c r="E204" s="70"/>
      <c r="F204" s="70"/>
      <c r="G204" s="37"/>
      <c r="H204" s="70"/>
      <c r="I204" s="70"/>
      <c r="J204" s="37"/>
      <c r="K204" s="70"/>
      <c r="L204" s="70"/>
      <c r="M204" s="70"/>
      <c r="N204" s="70"/>
      <c r="O204" s="70"/>
    </row>
    <row r="205" spans="1:15" x14ac:dyDescent="0.25">
      <c r="A205" s="37"/>
      <c r="B205" s="37"/>
      <c r="C205" s="70"/>
      <c r="D205" s="37"/>
      <c r="E205" s="70"/>
      <c r="F205" s="70"/>
      <c r="G205" s="37"/>
      <c r="H205" s="70"/>
      <c r="I205" s="70"/>
      <c r="J205" s="37"/>
      <c r="K205" s="70"/>
      <c r="L205" s="70"/>
      <c r="M205" s="70"/>
      <c r="N205" s="70"/>
      <c r="O205" s="70"/>
    </row>
    <row r="206" spans="1:15" x14ac:dyDescent="0.25">
      <c r="A206" s="37"/>
      <c r="B206" s="37"/>
      <c r="C206" s="70"/>
      <c r="D206" s="37"/>
      <c r="E206" s="70"/>
      <c r="F206" s="70"/>
      <c r="G206" s="37"/>
      <c r="H206" s="70"/>
      <c r="I206" s="70"/>
      <c r="J206" s="37"/>
      <c r="K206" s="70"/>
      <c r="L206" s="70"/>
      <c r="M206" s="70"/>
      <c r="N206" s="70"/>
      <c r="O206" s="70"/>
    </row>
    <row r="207" spans="1:15" x14ac:dyDescent="0.25">
      <c r="A207" s="37"/>
      <c r="B207" s="37"/>
      <c r="C207" s="70"/>
      <c r="D207" s="37"/>
      <c r="E207" s="70"/>
      <c r="F207" s="70"/>
      <c r="G207" s="37"/>
      <c r="H207" s="70"/>
      <c r="I207" s="70"/>
      <c r="J207" s="37"/>
      <c r="K207" s="70"/>
      <c r="L207" s="70"/>
      <c r="M207" s="70"/>
      <c r="N207" s="70"/>
      <c r="O207" s="70"/>
    </row>
    <row r="208" spans="1:15" x14ac:dyDescent="0.25">
      <c r="A208" s="37"/>
      <c r="B208" s="37"/>
      <c r="C208" s="70"/>
      <c r="D208" s="37"/>
      <c r="E208" s="70"/>
      <c r="F208" s="70"/>
      <c r="G208" s="37"/>
      <c r="H208" s="70"/>
      <c r="I208" s="70"/>
      <c r="J208" s="37"/>
      <c r="K208" s="70"/>
      <c r="L208" s="70"/>
      <c r="M208" s="70"/>
      <c r="N208" s="70"/>
      <c r="O208" s="70"/>
    </row>
    <row r="209" spans="1:15" x14ac:dyDescent="0.25">
      <c r="A209" s="37"/>
      <c r="B209" s="37"/>
      <c r="C209" s="70"/>
      <c r="D209" s="37"/>
      <c r="E209" s="70"/>
      <c r="F209" s="70"/>
      <c r="G209" s="37"/>
      <c r="H209" s="70"/>
      <c r="I209" s="70"/>
      <c r="J209" s="37"/>
      <c r="K209" s="70"/>
      <c r="L209" s="70"/>
      <c r="M209" s="70"/>
      <c r="N209" s="70"/>
      <c r="O209" s="70"/>
    </row>
    <row r="210" spans="1:15" x14ac:dyDescent="0.25">
      <c r="A210" s="37"/>
      <c r="B210" s="37"/>
      <c r="C210" s="70"/>
      <c r="D210" s="37"/>
      <c r="E210" s="70"/>
      <c r="F210" s="70"/>
      <c r="G210" s="37"/>
      <c r="H210" s="70"/>
      <c r="I210" s="70"/>
      <c r="J210" s="37"/>
      <c r="K210" s="70"/>
      <c r="L210" s="70"/>
      <c r="M210" s="70"/>
      <c r="N210" s="70"/>
      <c r="O210" s="70"/>
    </row>
    <row r="211" spans="1:15" x14ac:dyDescent="0.25">
      <c r="A211" s="37"/>
      <c r="B211" s="37"/>
      <c r="C211" s="70"/>
      <c r="D211" s="37"/>
      <c r="E211" s="70"/>
      <c r="F211" s="70"/>
      <c r="G211" s="37"/>
      <c r="H211" s="70"/>
      <c r="I211" s="70"/>
      <c r="J211" s="37"/>
      <c r="K211" s="70"/>
      <c r="L211" s="70"/>
      <c r="M211" s="70"/>
      <c r="N211" s="70"/>
      <c r="O211" s="70"/>
    </row>
    <row r="212" spans="1:15" x14ac:dyDescent="0.25">
      <c r="A212" s="37"/>
      <c r="B212" s="37"/>
      <c r="C212" s="70"/>
      <c r="D212" s="37"/>
      <c r="E212" s="70"/>
      <c r="F212" s="70"/>
      <c r="G212" s="37"/>
      <c r="H212" s="70"/>
      <c r="I212" s="70"/>
      <c r="J212" s="37"/>
      <c r="K212" s="70"/>
      <c r="L212" s="70"/>
      <c r="M212" s="70"/>
      <c r="N212" s="70"/>
      <c r="O212" s="70"/>
    </row>
    <row r="213" spans="1:15" x14ac:dyDescent="0.25">
      <c r="A213" s="37"/>
      <c r="B213" s="37"/>
      <c r="C213" s="70"/>
      <c r="D213" s="37"/>
      <c r="E213" s="70"/>
      <c r="F213" s="70"/>
      <c r="G213" s="37"/>
      <c r="H213" s="70"/>
      <c r="I213" s="70"/>
      <c r="J213" s="37"/>
      <c r="K213" s="70"/>
      <c r="L213" s="70"/>
      <c r="M213" s="70"/>
      <c r="N213" s="70"/>
      <c r="O213" s="70"/>
    </row>
    <row r="214" spans="1:15" x14ac:dyDescent="0.25">
      <c r="A214" s="37"/>
      <c r="B214" s="37"/>
      <c r="C214" s="70"/>
      <c r="D214" s="37"/>
      <c r="E214" s="70"/>
      <c r="F214" s="70"/>
      <c r="G214" s="37"/>
      <c r="H214" s="70"/>
      <c r="I214" s="70"/>
      <c r="J214" s="37"/>
      <c r="K214" s="70"/>
      <c r="L214" s="70"/>
      <c r="M214" s="70"/>
      <c r="N214" s="70"/>
      <c r="O214" s="70"/>
    </row>
    <row r="215" spans="1:15" x14ac:dyDescent="0.25">
      <c r="A215" s="37"/>
      <c r="B215" s="37"/>
      <c r="C215" s="70"/>
      <c r="D215" s="37"/>
      <c r="E215" s="70"/>
      <c r="F215" s="70"/>
      <c r="G215" s="37"/>
      <c r="H215" s="70"/>
      <c r="I215" s="70"/>
      <c r="J215" s="37"/>
      <c r="K215" s="70"/>
      <c r="L215" s="70"/>
      <c r="M215" s="70"/>
      <c r="N215" s="70"/>
      <c r="O215" s="70"/>
    </row>
    <row r="216" spans="1:15" x14ac:dyDescent="0.25">
      <c r="A216" s="37"/>
      <c r="B216" s="37"/>
      <c r="C216" s="70"/>
      <c r="D216" s="37"/>
      <c r="E216" s="70"/>
      <c r="F216" s="70"/>
      <c r="G216" s="37"/>
      <c r="H216" s="70"/>
      <c r="I216" s="70"/>
      <c r="J216" s="37"/>
      <c r="K216" s="70"/>
      <c r="L216" s="70"/>
      <c r="M216" s="70"/>
      <c r="N216" s="70"/>
      <c r="O216" s="70"/>
    </row>
    <row r="217" spans="1:15" x14ac:dyDescent="0.25">
      <c r="A217" s="37"/>
      <c r="B217" s="37"/>
      <c r="C217" s="70"/>
      <c r="D217" s="37"/>
      <c r="E217" s="70"/>
      <c r="F217" s="70"/>
      <c r="G217" s="37"/>
      <c r="H217" s="70"/>
      <c r="I217" s="70"/>
      <c r="J217" s="37"/>
      <c r="K217" s="70"/>
      <c r="L217" s="70"/>
      <c r="M217" s="70"/>
      <c r="N217" s="70"/>
      <c r="O217" s="70"/>
    </row>
    <row r="218" spans="1:15" x14ac:dyDescent="0.25">
      <c r="A218" s="37"/>
      <c r="B218" s="37"/>
      <c r="C218" s="70"/>
      <c r="D218" s="37"/>
      <c r="E218" s="70"/>
      <c r="F218" s="70"/>
      <c r="G218" s="37"/>
      <c r="H218" s="70"/>
      <c r="I218" s="70"/>
      <c r="J218" s="37"/>
      <c r="K218" s="70"/>
      <c r="L218" s="70"/>
      <c r="M218" s="70"/>
      <c r="N218" s="70"/>
      <c r="O218" s="70"/>
    </row>
    <row r="219" spans="1:15" x14ac:dyDescent="0.25">
      <c r="A219" s="37"/>
      <c r="B219" s="37"/>
      <c r="C219" s="70"/>
      <c r="D219" s="37"/>
      <c r="E219" s="70"/>
      <c r="F219" s="70"/>
      <c r="G219" s="37"/>
      <c r="H219" s="70"/>
      <c r="I219" s="70"/>
      <c r="J219" s="37"/>
      <c r="K219" s="70"/>
      <c r="L219" s="70"/>
      <c r="M219" s="70"/>
      <c r="N219" s="70"/>
      <c r="O219" s="70"/>
    </row>
    <row r="220" spans="1:15" x14ac:dyDescent="0.25">
      <c r="A220" s="37"/>
      <c r="B220" s="37"/>
      <c r="C220" s="70"/>
      <c r="D220" s="37"/>
      <c r="E220" s="70"/>
      <c r="F220" s="70"/>
      <c r="G220" s="37"/>
      <c r="H220" s="70"/>
      <c r="I220" s="70"/>
      <c r="J220" s="37"/>
      <c r="K220" s="70"/>
      <c r="L220" s="70"/>
      <c r="M220" s="70"/>
      <c r="N220" s="70"/>
      <c r="O220" s="70"/>
    </row>
    <row r="221" spans="1:15" x14ac:dyDescent="0.25">
      <c r="A221" s="37"/>
      <c r="B221" s="37"/>
      <c r="C221" s="70"/>
      <c r="D221" s="37"/>
      <c r="E221" s="70"/>
      <c r="F221" s="70"/>
      <c r="G221" s="37"/>
      <c r="H221" s="70"/>
      <c r="I221" s="70"/>
      <c r="J221" s="37"/>
      <c r="K221" s="70"/>
      <c r="L221" s="70"/>
      <c r="M221" s="70"/>
      <c r="N221" s="70"/>
      <c r="O221" s="70"/>
    </row>
    <row r="222" spans="1:15" x14ac:dyDescent="0.25">
      <c r="A222" s="37"/>
      <c r="B222" s="37"/>
      <c r="C222" s="70"/>
      <c r="D222" s="37"/>
      <c r="E222" s="70"/>
      <c r="F222" s="70"/>
      <c r="G222" s="37"/>
      <c r="H222" s="70"/>
      <c r="I222" s="70"/>
      <c r="J222" s="37"/>
      <c r="K222" s="70"/>
      <c r="L222" s="70"/>
      <c r="M222" s="70"/>
      <c r="N222" s="70"/>
      <c r="O222" s="70"/>
    </row>
    <row r="223" spans="1:15" x14ac:dyDescent="0.25">
      <c r="A223" s="37"/>
      <c r="B223" s="37"/>
      <c r="C223" s="70"/>
      <c r="D223" s="37"/>
      <c r="E223" s="70"/>
      <c r="F223" s="70"/>
      <c r="G223" s="37"/>
      <c r="H223" s="70"/>
      <c r="I223" s="70"/>
      <c r="J223" s="37"/>
      <c r="K223" s="70"/>
      <c r="L223" s="70"/>
      <c r="M223" s="70"/>
      <c r="N223" s="70"/>
      <c r="O223" s="70"/>
    </row>
    <row r="224" spans="1:15" x14ac:dyDescent="0.25">
      <c r="A224" s="37"/>
      <c r="B224" s="37"/>
      <c r="C224" s="70"/>
      <c r="D224" s="37"/>
      <c r="E224" s="70"/>
      <c r="F224" s="70"/>
      <c r="G224" s="37"/>
      <c r="H224" s="70"/>
      <c r="I224" s="70"/>
      <c r="J224" s="37"/>
      <c r="K224" s="70"/>
      <c r="L224" s="70"/>
      <c r="M224" s="70"/>
      <c r="N224" s="70"/>
      <c r="O224" s="70"/>
    </row>
    <row r="225" spans="1:15" x14ac:dyDescent="0.25">
      <c r="A225" s="37"/>
      <c r="B225" s="37"/>
      <c r="C225" s="70"/>
      <c r="D225" s="37"/>
      <c r="E225" s="70"/>
      <c r="F225" s="70"/>
      <c r="G225" s="37"/>
      <c r="H225" s="70"/>
      <c r="I225" s="70"/>
      <c r="J225" s="37"/>
      <c r="K225" s="70"/>
      <c r="L225" s="70"/>
      <c r="M225" s="70"/>
      <c r="N225" s="70"/>
      <c r="O225" s="70"/>
    </row>
    <row r="226" spans="1:15" x14ac:dyDescent="0.25">
      <c r="A226" s="37"/>
      <c r="B226" s="37"/>
      <c r="C226" s="70"/>
      <c r="D226" s="37"/>
      <c r="E226" s="70"/>
      <c r="F226" s="70"/>
      <c r="G226" s="37"/>
      <c r="H226" s="70"/>
      <c r="I226" s="70"/>
      <c r="J226" s="37"/>
      <c r="K226" s="70"/>
      <c r="L226" s="70"/>
      <c r="M226" s="70"/>
      <c r="N226" s="70"/>
      <c r="O226" s="70"/>
    </row>
    <row r="227" spans="1:15" x14ac:dyDescent="0.25">
      <c r="A227" s="37"/>
      <c r="B227" s="37"/>
      <c r="C227" s="70"/>
      <c r="D227" s="37"/>
      <c r="E227" s="70"/>
      <c r="F227" s="70"/>
      <c r="G227" s="37"/>
      <c r="H227" s="70"/>
      <c r="I227" s="70"/>
      <c r="J227" s="37"/>
      <c r="K227" s="70"/>
      <c r="L227" s="70"/>
      <c r="M227" s="70"/>
      <c r="N227" s="70"/>
      <c r="O227" s="70"/>
    </row>
    <row r="228" spans="1:15" x14ac:dyDescent="0.25">
      <c r="A228" s="37"/>
      <c r="B228" s="37"/>
      <c r="C228" s="70"/>
      <c r="D228" s="37"/>
      <c r="E228" s="70"/>
      <c r="F228" s="70"/>
      <c r="G228" s="37"/>
      <c r="H228" s="70"/>
      <c r="I228" s="70"/>
      <c r="J228" s="37"/>
      <c r="K228" s="70"/>
      <c r="L228" s="70"/>
      <c r="M228" s="70"/>
      <c r="N228" s="70"/>
      <c r="O228" s="70"/>
    </row>
    <row r="229" spans="1:15" x14ac:dyDescent="0.25">
      <c r="A229" s="37"/>
      <c r="B229" s="37"/>
      <c r="C229" s="70"/>
      <c r="D229" s="37"/>
      <c r="E229" s="70"/>
      <c r="F229" s="70"/>
      <c r="G229" s="37"/>
      <c r="H229" s="70"/>
      <c r="I229" s="70"/>
      <c r="J229" s="37"/>
      <c r="K229" s="70"/>
      <c r="L229" s="70"/>
      <c r="M229" s="70"/>
      <c r="N229" s="70"/>
      <c r="O229" s="70"/>
    </row>
    <row r="230" spans="1:15" x14ac:dyDescent="0.25">
      <c r="A230" s="37"/>
      <c r="B230" s="37"/>
      <c r="C230" s="70"/>
      <c r="D230" s="37"/>
      <c r="E230" s="70"/>
      <c r="F230" s="70"/>
      <c r="G230" s="37"/>
      <c r="H230" s="70"/>
      <c r="I230" s="70"/>
      <c r="J230" s="37"/>
      <c r="K230" s="70"/>
      <c r="L230" s="70"/>
      <c r="M230" s="70"/>
      <c r="N230" s="70"/>
      <c r="O230" s="70"/>
    </row>
    <row r="231" spans="1:15" x14ac:dyDescent="0.25">
      <c r="A231" s="37"/>
      <c r="B231" s="37"/>
      <c r="C231" s="70"/>
      <c r="D231" s="37"/>
      <c r="E231" s="70"/>
      <c r="F231" s="70"/>
      <c r="G231" s="37"/>
      <c r="H231" s="70"/>
      <c r="I231" s="70"/>
      <c r="J231" s="37"/>
      <c r="K231" s="70"/>
      <c r="L231" s="70"/>
      <c r="M231" s="70"/>
      <c r="N231" s="70"/>
      <c r="O231" s="70"/>
    </row>
    <row r="232" spans="1:15" x14ac:dyDescent="0.25">
      <c r="A232" s="37"/>
      <c r="B232" s="37"/>
      <c r="C232" s="70"/>
      <c r="D232" s="37"/>
      <c r="E232" s="70"/>
      <c r="F232" s="70"/>
      <c r="G232" s="37"/>
      <c r="H232" s="70"/>
      <c r="I232" s="70"/>
      <c r="J232" s="37"/>
      <c r="K232" s="70"/>
      <c r="L232" s="70"/>
      <c r="M232" s="70"/>
      <c r="N232" s="70"/>
      <c r="O232" s="70"/>
    </row>
    <row r="233" spans="1:15" x14ac:dyDescent="0.25">
      <c r="A233" s="37"/>
      <c r="B233" s="37"/>
      <c r="C233" s="70"/>
      <c r="D233" s="37"/>
      <c r="E233" s="70"/>
      <c r="F233" s="70"/>
      <c r="G233" s="37"/>
      <c r="H233" s="70"/>
      <c r="I233" s="70"/>
      <c r="J233" s="37"/>
      <c r="K233" s="70"/>
      <c r="L233" s="70"/>
      <c r="M233" s="70"/>
      <c r="N233" s="70"/>
      <c r="O233" s="70"/>
    </row>
    <row r="234" spans="1:15" x14ac:dyDescent="0.25">
      <c r="A234" s="37"/>
      <c r="B234" s="37"/>
      <c r="C234" s="70"/>
      <c r="D234" s="37"/>
      <c r="E234" s="70"/>
      <c r="F234" s="70"/>
      <c r="G234" s="37"/>
      <c r="H234" s="70"/>
      <c r="I234" s="70"/>
      <c r="J234" s="37"/>
      <c r="K234" s="70"/>
      <c r="L234" s="70"/>
      <c r="M234" s="70"/>
      <c r="N234" s="70"/>
      <c r="O234" s="70"/>
    </row>
    <row r="235" spans="1:15" x14ac:dyDescent="0.25">
      <c r="A235" s="37"/>
      <c r="B235" s="37"/>
      <c r="C235" s="70"/>
      <c r="D235" s="37"/>
      <c r="E235" s="70"/>
      <c r="F235" s="70"/>
      <c r="G235" s="37"/>
      <c r="H235" s="70"/>
      <c r="I235" s="70"/>
      <c r="J235" s="37"/>
      <c r="K235" s="70"/>
      <c r="L235" s="70"/>
      <c r="M235" s="70"/>
      <c r="N235" s="70"/>
      <c r="O235" s="70"/>
    </row>
    <row r="236" spans="1:15" x14ac:dyDescent="0.25">
      <c r="A236" s="37"/>
      <c r="B236" s="37"/>
      <c r="C236" s="70"/>
      <c r="D236" s="37"/>
      <c r="E236" s="70"/>
      <c r="F236" s="70"/>
      <c r="G236" s="37"/>
      <c r="H236" s="70"/>
      <c r="I236" s="70"/>
      <c r="J236" s="37"/>
      <c r="K236" s="70"/>
      <c r="L236" s="70"/>
      <c r="M236" s="70"/>
      <c r="N236" s="70"/>
      <c r="O236" s="70"/>
    </row>
    <row r="237" spans="1:15" x14ac:dyDescent="0.25">
      <c r="A237" s="37"/>
      <c r="B237" s="37"/>
      <c r="C237" s="70"/>
      <c r="D237" s="37"/>
      <c r="E237" s="70"/>
      <c r="F237" s="70"/>
      <c r="G237" s="37"/>
      <c r="H237" s="70"/>
      <c r="I237" s="70"/>
      <c r="J237" s="37"/>
      <c r="K237" s="70"/>
      <c r="L237" s="70"/>
      <c r="M237" s="70"/>
      <c r="N237" s="70"/>
      <c r="O237" s="70"/>
    </row>
    <row r="238" spans="1:15" x14ac:dyDescent="0.25">
      <c r="A238" s="37"/>
      <c r="B238" s="37"/>
      <c r="C238" s="70"/>
      <c r="D238" s="37"/>
      <c r="E238" s="70"/>
      <c r="F238" s="70"/>
      <c r="G238" s="37"/>
      <c r="H238" s="70"/>
      <c r="I238" s="70"/>
      <c r="J238" s="37"/>
      <c r="K238" s="70"/>
      <c r="L238" s="70"/>
      <c r="M238" s="70"/>
      <c r="N238" s="70"/>
      <c r="O238" s="70"/>
    </row>
    <row r="239" spans="1:15" x14ac:dyDescent="0.25">
      <c r="A239" s="37"/>
      <c r="B239" s="37"/>
      <c r="C239" s="70"/>
      <c r="D239" s="37"/>
      <c r="E239" s="70"/>
      <c r="F239" s="70"/>
      <c r="G239" s="37"/>
      <c r="H239" s="70"/>
      <c r="I239" s="70"/>
      <c r="J239" s="37"/>
      <c r="K239" s="70"/>
      <c r="L239" s="70"/>
      <c r="M239" s="70"/>
      <c r="N239" s="70"/>
      <c r="O239" s="70"/>
    </row>
    <row r="240" spans="1:15" x14ac:dyDescent="0.25">
      <c r="A240" s="37"/>
      <c r="B240" s="37"/>
      <c r="C240" s="70"/>
      <c r="D240" s="37"/>
      <c r="E240" s="70"/>
      <c r="F240" s="70"/>
      <c r="G240" s="37"/>
      <c r="H240" s="70"/>
      <c r="I240" s="70"/>
      <c r="J240" s="37"/>
      <c r="K240" s="70"/>
      <c r="L240" s="70"/>
      <c r="M240" s="70"/>
      <c r="N240" s="70"/>
      <c r="O240" s="70"/>
    </row>
    <row r="241" spans="1:15" x14ac:dyDescent="0.25">
      <c r="A241" s="37"/>
      <c r="B241" s="37"/>
      <c r="C241" s="70"/>
      <c r="D241" s="37"/>
      <c r="E241" s="70"/>
      <c r="F241" s="70"/>
      <c r="G241" s="37"/>
      <c r="H241" s="70"/>
      <c r="I241" s="70"/>
      <c r="J241" s="37"/>
      <c r="K241" s="70"/>
      <c r="L241" s="70"/>
      <c r="M241" s="70"/>
      <c r="N241" s="70"/>
      <c r="O241" s="70"/>
    </row>
    <row r="242" spans="1:15" x14ac:dyDescent="0.25">
      <c r="A242" s="37"/>
      <c r="B242" s="37"/>
      <c r="C242" s="70"/>
      <c r="D242" s="37"/>
      <c r="E242" s="70"/>
      <c r="F242" s="70"/>
      <c r="G242" s="37"/>
      <c r="H242" s="70"/>
      <c r="I242" s="70"/>
      <c r="J242" s="37"/>
      <c r="K242" s="70"/>
      <c r="L242" s="70"/>
      <c r="M242" s="70"/>
      <c r="N242" s="70"/>
      <c r="O242" s="70"/>
    </row>
    <row r="243" spans="1:15" x14ac:dyDescent="0.25">
      <c r="A243" s="37"/>
      <c r="B243" s="37"/>
      <c r="C243" s="70"/>
      <c r="D243" s="37"/>
      <c r="E243" s="70"/>
      <c r="F243" s="70"/>
      <c r="G243" s="37"/>
      <c r="H243" s="70"/>
      <c r="I243" s="70"/>
      <c r="J243" s="37"/>
      <c r="K243" s="70"/>
      <c r="L243" s="70"/>
      <c r="M243" s="70"/>
      <c r="N243" s="70"/>
      <c r="O243" s="70"/>
    </row>
    <row r="244" spans="1:15" x14ac:dyDescent="0.25">
      <c r="A244" s="37"/>
      <c r="B244" s="37"/>
      <c r="C244" s="70"/>
      <c r="D244" s="37"/>
      <c r="E244" s="70"/>
      <c r="F244" s="70"/>
      <c r="G244" s="37"/>
      <c r="H244" s="70"/>
      <c r="I244" s="70"/>
      <c r="J244" s="37"/>
      <c r="K244" s="70"/>
      <c r="L244" s="70"/>
      <c r="M244" s="70"/>
      <c r="N244" s="70"/>
      <c r="O244" s="70"/>
    </row>
    <row r="245" spans="1:15" x14ac:dyDescent="0.25">
      <c r="A245" s="37"/>
      <c r="B245" s="37"/>
      <c r="C245" s="70"/>
      <c r="D245" s="37"/>
      <c r="E245" s="70"/>
      <c r="F245" s="70"/>
      <c r="G245" s="37"/>
      <c r="H245" s="70"/>
      <c r="I245" s="70"/>
      <c r="J245" s="37"/>
      <c r="K245" s="70"/>
      <c r="L245" s="70"/>
      <c r="M245" s="70"/>
      <c r="N245" s="70"/>
      <c r="O245" s="70"/>
    </row>
    <row r="246" spans="1:15" x14ac:dyDescent="0.25">
      <c r="A246" s="37"/>
      <c r="B246" s="37"/>
      <c r="C246" s="70"/>
      <c r="D246" s="37"/>
      <c r="E246" s="70"/>
      <c r="F246" s="70"/>
      <c r="G246" s="37"/>
      <c r="H246" s="70"/>
      <c r="I246" s="70"/>
      <c r="J246" s="37"/>
      <c r="K246" s="70"/>
      <c r="L246" s="70"/>
      <c r="M246" s="70"/>
      <c r="N246" s="70"/>
      <c r="O246" s="70"/>
    </row>
    <row r="247" spans="1:15" x14ac:dyDescent="0.25">
      <c r="A247" s="37"/>
      <c r="B247" s="37"/>
      <c r="C247" s="70"/>
      <c r="D247" s="37"/>
      <c r="E247" s="70"/>
      <c r="F247" s="70"/>
      <c r="G247" s="37"/>
      <c r="H247" s="70"/>
      <c r="I247" s="70"/>
      <c r="J247" s="37"/>
      <c r="K247" s="70"/>
      <c r="L247" s="70"/>
      <c r="M247" s="70"/>
      <c r="N247" s="70"/>
      <c r="O247" s="70"/>
    </row>
    <row r="248" spans="1:15" x14ac:dyDescent="0.25">
      <c r="A248" s="37"/>
      <c r="B248" s="37"/>
      <c r="C248" s="70"/>
      <c r="D248" s="37"/>
      <c r="E248" s="70"/>
      <c r="F248" s="70"/>
      <c r="G248" s="37"/>
      <c r="H248" s="70"/>
      <c r="I248" s="70"/>
      <c r="J248" s="37"/>
      <c r="K248" s="70"/>
      <c r="L248" s="70"/>
      <c r="M248" s="70"/>
      <c r="N248" s="70"/>
      <c r="O248" s="70"/>
    </row>
    <row r="249" spans="1:15" x14ac:dyDescent="0.25">
      <c r="A249" s="37"/>
      <c r="B249" s="37"/>
      <c r="C249" s="70"/>
      <c r="D249" s="37"/>
      <c r="E249" s="70"/>
      <c r="F249" s="70"/>
      <c r="G249" s="37"/>
      <c r="H249" s="70"/>
      <c r="I249" s="70"/>
      <c r="J249" s="37"/>
      <c r="K249" s="70"/>
      <c r="L249" s="70"/>
      <c r="M249" s="70"/>
      <c r="N249" s="70"/>
      <c r="O249" s="70"/>
    </row>
    <row r="250" spans="1:15" x14ac:dyDescent="0.25">
      <c r="A250" s="37"/>
      <c r="B250" s="37"/>
      <c r="C250" s="70"/>
      <c r="D250" s="37"/>
      <c r="E250" s="70"/>
      <c r="F250" s="70"/>
      <c r="G250" s="37"/>
      <c r="H250" s="70"/>
      <c r="I250" s="70"/>
      <c r="J250" s="37"/>
      <c r="K250" s="70"/>
      <c r="L250" s="70"/>
      <c r="M250" s="70"/>
      <c r="N250" s="70"/>
      <c r="O250" s="70"/>
    </row>
    <row r="251" spans="1:15" x14ac:dyDescent="0.25">
      <c r="A251" s="37"/>
      <c r="B251" s="37"/>
      <c r="C251" s="70"/>
      <c r="D251" s="37"/>
      <c r="E251" s="70"/>
      <c r="F251" s="70"/>
      <c r="G251" s="37"/>
      <c r="H251" s="70"/>
      <c r="I251" s="70"/>
      <c r="J251" s="37"/>
      <c r="K251" s="70"/>
      <c r="L251" s="70"/>
      <c r="M251" s="70"/>
      <c r="N251" s="70"/>
      <c r="O251" s="70"/>
    </row>
    <row r="252" spans="1:15" x14ac:dyDescent="0.25">
      <c r="A252" s="37"/>
      <c r="B252" s="37"/>
      <c r="C252" s="70"/>
      <c r="D252" s="37"/>
      <c r="E252" s="70"/>
      <c r="F252" s="70"/>
      <c r="G252" s="37"/>
      <c r="H252" s="70"/>
      <c r="I252" s="70"/>
      <c r="J252" s="37"/>
      <c r="K252" s="70"/>
      <c r="L252" s="70"/>
      <c r="M252" s="70"/>
      <c r="N252" s="70"/>
      <c r="O252" s="70"/>
    </row>
    <row r="253" spans="1:15" x14ac:dyDescent="0.25">
      <c r="A253" s="37"/>
      <c r="B253" s="37"/>
      <c r="C253" s="70"/>
      <c r="D253" s="37"/>
      <c r="E253" s="70"/>
      <c r="F253" s="70"/>
      <c r="G253" s="37"/>
      <c r="H253" s="70"/>
      <c r="I253" s="70"/>
      <c r="J253" s="37"/>
      <c r="K253" s="70"/>
      <c r="L253" s="70"/>
      <c r="M253" s="70"/>
      <c r="N253" s="70"/>
      <c r="O253" s="70"/>
    </row>
    <row r="254" spans="1:15" x14ac:dyDescent="0.25">
      <c r="A254" s="37"/>
      <c r="B254" s="37"/>
      <c r="C254" s="70"/>
      <c r="D254" s="37"/>
      <c r="E254" s="70"/>
      <c r="F254" s="70"/>
      <c r="G254" s="37"/>
      <c r="H254" s="70"/>
      <c r="I254" s="70"/>
      <c r="J254" s="37"/>
      <c r="K254" s="70"/>
      <c r="L254" s="70"/>
      <c r="M254" s="70"/>
      <c r="N254" s="70"/>
      <c r="O254" s="70"/>
    </row>
    <row r="255" spans="1:15" x14ac:dyDescent="0.25">
      <c r="A255" s="37"/>
      <c r="B255" s="37"/>
      <c r="C255" s="70"/>
      <c r="D255" s="37"/>
      <c r="E255" s="70"/>
      <c r="F255" s="70"/>
      <c r="G255" s="37"/>
      <c r="H255" s="70"/>
      <c r="I255" s="70"/>
      <c r="J255" s="37"/>
      <c r="K255" s="70"/>
      <c r="L255" s="70"/>
      <c r="M255" s="70"/>
      <c r="N255" s="70"/>
      <c r="O255" s="70"/>
    </row>
    <row r="256" spans="1:15" x14ac:dyDescent="0.25">
      <c r="A256" s="37"/>
      <c r="B256" s="37"/>
      <c r="C256" s="70"/>
      <c r="D256" s="37"/>
      <c r="E256" s="70"/>
      <c r="F256" s="70"/>
      <c r="G256" s="37"/>
      <c r="H256" s="70"/>
      <c r="I256" s="70"/>
      <c r="J256" s="37"/>
      <c r="K256" s="70"/>
      <c r="L256" s="70"/>
      <c r="M256" s="70"/>
      <c r="N256" s="70"/>
      <c r="O256" s="70"/>
    </row>
    <row r="257" spans="1:15" x14ac:dyDescent="0.25">
      <c r="A257" s="37"/>
      <c r="B257" s="37"/>
      <c r="C257" s="70"/>
      <c r="D257" s="37"/>
      <c r="E257" s="70"/>
      <c r="F257" s="70"/>
      <c r="G257" s="37"/>
      <c r="H257" s="70"/>
      <c r="I257" s="70"/>
      <c r="J257" s="37"/>
      <c r="K257" s="70"/>
      <c r="L257" s="70"/>
      <c r="M257" s="70"/>
      <c r="N257" s="70"/>
      <c r="O257" s="70"/>
    </row>
    <row r="258" spans="1:15" x14ac:dyDescent="0.25">
      <c r="A258" s="37"/>
      <c r="B258" s="37"/>
      <c r="C258" s="70"/>
      <c r="D258" s="37"/>
      <c r="E258" s="70"/>
      <c r="F258" s="70"/>
      <c r="G258" s="37"/>
      <c r="H258" s="70"/>
      <c r="I258" s="70"/>
      <c r="J258" s="37"/>
      <c r="K258" s="70"/>
      <c r="L258" s="70"/>
      <c r="M258" s="70"/>
      <c r="N258" s="70"/>
      <c r="O258" s="70"/>
    </row>
    <row r="259" spans="1:15" x14ac:dyDescent="0.25">
      <c r="A259" s="37"/>
      <c r="B259" s="37"/>
      <c r="C259" s="70"/>
      <c r="D259" s="37"/>
      <c r="E259" s="70"/>
      <c r="F259" s="70"/>
      <c r="G259" s="37"/>
      <c r="H259" s="70"/>
      <c r="I259" s="70"/>
      <c r="J259" s="37"/>
      <c r="K259" s="70"/>
      <c r="L259" s="70"/>
      <c r="M259" s="70"/>
      <c r="N259" s="70"/>
      <c r="O259" s="70"/>
    </row>
    <row r="260" spans="1:15" x14ac:dyDescent="0.25">
      <c r="A260" s="37"/>
      <c r="B260" s="37"/>
      <c r="C260" s="70"/>
      <c r="D260" s="37"/>
      <c r="E260" s="70"/>
      <c r="F260" s="70"/>
      <c r="G260" s="37"/>
      <c r="H260" s="70"/>
      <c r="I260" s="70"/>
      <c r="J260" s="37"/>
      <c r="K260" s="70"/>
      <c r="L260" s="70"/>
      <c r="M260" s="70"/>
      <c r="N260" s="70"/>
      <c r="O260" s="70"/>
    </row>
    <row r="261" spans="1:15" x14ac:dyDescent="0.25">
      <c r="A261" s="37"/>
      <c r="B261" s="37"/>
      <c r="C261" s="70"/>
      <c r="D261" s="37"/>
      <c r="E261" s="70"/>
      <c r="F261" s="70"/>
      <c r="G261" s="37"/>
      <c r="H261" s="70"/>
      <c r="I261" s="70"/>
      <c r="J261" s="37"/>
      <c r="K261" s="70"/>
      <c r="L261" s="70"/>
      <c r="M261" s="70"/>
      <c r="N261" s="70"/>
      <c r="O261" s="70"/>
    </row>
    <row r="262" spans="1:15" x14ac:dyDescent="0.25">
      <c r="A262" s="37"/>
      <c r="B262" s="37"/>
      <c r="C262" s="70"/>
      <c r="D262" s="37"/>
      <c r="E262" s="70"/>
      <c r="F262" s="70"/>
      <c r="G262" s="37"/>
      <c r="H262" s="70"/>
      <c r="I262" s="70"/>
      <c r="J262" s="37"/>
      <c r="K262" s="70"/>
      <c r="L262" s="70"/>
      <c r="M262" s="70"/>
      <c r="N262" s="70"/>
      <c r="O262" s="70"/>
    </row>
    <row r="263" spans="1:15" x14ac:dyDescent="0.25">
      <c r="A263" s="37"/>
      <c r="B263" s="37"/>
      <c r="C263" s="70"/>
      <c r="D263" s="37"/>
      <c r="E263" s="70"/>
      <c r="F263" s="70"/>
      <c r="G263" s="37"/>
      <c r="H263" s="70"/>
      <c r="I263" s="70"/>
      <c r="J263" s="37"/>
      <c r="K263" s="70"/>
      <c r="L263" s="70"/>
      <c r="M263" s="70"/>
      <c r="N263" s="70"/>
      <c r="O263" s="70"/>
    </row>
    <row r="264" spans="1:15" x14ac:dyDescent="0.25">
      <c r="A264" s="37"/>
      <c r="B264" s="37"/>
      <c r="C264" s="70"/>
      <c r="D264" s="37"/>
      <c r="E264" s="70"/>
      <c r="F264" s="70"/>
      <c r="G264" s="37"/>
      <c r="H264" s="70"/>
      <c r="I264" s="70"/>
      <c r="J264" s="37"/>
      <c r="K264" s="70"/>
      <c r="L264" s="70"/>
      <c r="M264" s="70"/>
      <c r="N264" s="70"/>
      <c r="O264" s="70"/>
    </row>
    <row r="265" spans="1:15" x14ac:dyDescent="0.25">
      <c r="A265" s="37"/>
      <c r="B265" s="37"/>
      <c r="C265" s="70"/>
      <c r="D265" s="37"/>
      <c r="E265" s="70"/>
      <c r="F265" s="70"/>
      <c r="G265" s="37"/>
      <c r="H265" s="70"/>
      <c r="I265" s="70"/>
      <c r="J265" s="37"/>
      <c r="K265" s="70"/>
      <c r="L265" s="70"/>
      <c r="M265" s="70"/>
      <c r="N265" s="70"/>
      <c r="O265" s="70"/>
    </row>
    <row r="266" spans="1:15" x14ac:dyDescent="0.25">
      <c r="A266" s="37"/>
      <c r="B266" s="37"/>
      <c r="C266" s="70"/>
      <c r="D266" s="37"/>
      <c r="E266" s="70"/>
      <c r="F266" s="70"/>
      <c r="G266" s="37"/>
      <c r="H266" s="70"/>
      <c r="I266" s="70"/>
      <c r="J266" s="37"/>
      <c r="K266" s="70"/>
      <c r="L266" s="70"/>
      <c r="M266" s="70"/>
      <c r="N266" s="70"/>
      <c r="O266" s="70"/>
    </row>
    <row r="267" spans="1:15" x14ac:dyDescent="0.25">
      <c r="A267" s="37"/>
      <c r="B267" s="37"/>
      <c r="C267" s="70"/>
      <c r="D267" s="37"/>
      <c r="E267" s="70"/>
      <c r="F267" s="70"/>
      <c r="G267" s="37"/>
      <c r="H267" s="70"/>
      <c r="I267" s="70"/>
      <c r="J267" s="37"/>
      <c r="K267" s="70"/>
      <c r="L267" s="70"/>
      <c r="M267" s="70"/>
      <c r="N267" s="70"/>
      <c r="O267" s="70"/>
    </row>
    <row r="268" spans="1:15" x14ac:dyDescent="0.25">
      <c r="A268" s="37"/>
      <c r="B268" s="37"/>
      <c r="C268" s="70"/>
      <c r="D268" s="37"/>
      <c r="E268" s="70"/>
      <c r="F268" s="70"/>
      <c r="G268" s="37"/>
      <c r="H268" s="70"/>
      <c r="I268" s="70"/>
      <c r="J268" s="37"/>
      <c r="K268" s="70"/>
      <c r="L268" s="70"/>
      <c r="M268" s="70"/>
      <c r="N268" s="70"/>
      <c r="O268" s="70"/>
    </row>
    <row r="269" spans="1:15" x14ac:dyDescent="0.25">
      <c r="A269" s="37"/>
      <c r="B269" s="37"/>
      <c r="C269" s="70"/>
      <c r="D269" s="37"/>
      <c r="E269" s="70"/>
      <c r="F269" s="70"/>
      <c r="G269" s="37"/>
      <c r="H269" s="70"/>
      <c r="I269" s="70"/>
      <c r="J269" s="37"/>
      <c r="K269" s="70"/>
      <c r="L269" s="70"/>
      <c r="M269" s="70"/>
      <c r="N269" s="70"/>
      <c r="O269" s="70"/>
    </row>
    <row r="270" spans="1:15" x14ac:dyDescent="0.25">
      <c r="A270" s="37"/>
      <c r="B270" s="37"/>
      <c r="C270" s="70"/>
      <c r="D270" s="37"/>
      <c r="E270" s="70"/>
      <c r="F270" s="70"/>
      <c r="G270" s="37"/>
      <c r="H270" s="70"/>
      <c r="I270" s="70"/>
      <c r="J270" s="37"/>
      <c r="K270" s="70"/>
      <c r="L270" s="70"/>
      <c r="M270" s="70"/>
      <c r="N270" s="70"/>
      <c r="O270" s="70"/>
    </row>
    <row r="271" spans="1:15" x14ac:dyDescent="0.25">
      <c r="A271" s="37"/>
      <c r="B271" s="37"/>
      <c r="C271" s="70"/>
      <c r="D271" s="37"/>
      <c r="E271" s="70"/>
      <c r="F271" s="70"/>
      <c r="G271" s="37"/>
      <c r="H271" s="70"/>
      <c r="I271" s="70"/>
      <c r="J271" s="37"/>
      <c r="K271" s="70"/>
      <c r="L271" s="70"/>
      <c r="M271" s="70"/>
      <c r="N271" s="70"/>
      <c r="O271" s="70"/>
    </row>
    <row r="272" spans="1:15" x14ac:dyDescent="0.25">
      <c r="A272" s="37"/>
      <c r="B272" s="37"/>
      <c r="C272" s="70"/>
      <c r="D272" s="37"/>
      <c r="E272" s="70"/>
      <c r="F272" s="70"/>
      <c r="G272" s="37"/>
      <c r="H272" s="70"/>
      <c r="I272" s="70"/>
      <c r="J272" s="37"/>
      <c r="K272" s="70"/>
      <c r="L272" s="70"/>
      <c r="M272" s="70"/>
      <c r="N272" s="70"/>
      <c r="O272" s="70"/>
    </row>
    <row r="273" spans="1:15" x14ac:dyDescent="0.25">
      <c r="A273" s="37"/>
      <c r="B273" s="37"/>
      <c r="C273" s="70"/>
      <c r="D273" s="37"/>
      <c r="E273" s="70"/>
      <c r="F273" s="70"/>
      <c r="G273" s="37"/>
      <c r="H273" s="70"/>
      <c r="I273" s="70"/>
      <c r="J273" s="37"/>
      <c r="K273" s="70"/>
      <c r="L273" s="70"/>
      <c r="M273" s="70"/>
      <c r="N273" s="70"/>
      <c r="O273" s="70"/>
    </row>
    <row r="274" spans="1:15" x14ac:dyDescent="0.25">
      <c r="A274" s="37"/>
      <c r="B274" s="37"/>
      <c r="C274" s="70"/>
      <c r="D274" s="37"/>
      <c r="E274" s="70"/>
      <c r="F274" s="70"/>
      <c r="G274" s="37"/>
      <c r="H274" s="70"/>
      <c r="I274" s="70"/>
      <c r="J274" s="37"/>
      <c r="K274" s="70"/>
      <c r="L274" s="70"/>
      <c r="M274" s="70"/>
      <c r="N274" s="70"/>
      <c r="O274" s="70"/>
    </row>
    <row r="275" spans="1:15" x14ac:dyDescent="0.25">
      <c r="A275" s="37"/>
      <c r="B275" s="37"/>
      <c r="C275" s="70"/>
      <c r="D275" s="37"/>
      <c r="E275" s="70"/>
      <c r="F275" s="70"/>
      <c r="G275" s="37"/>
      <c r="H275" s="70"/>
      <c r="I275" s="70"/>
      <c r="J275" s="37"/>
      <c r="K275" s="70"/>
      <c r="L275" s="70"/>
      <c r="M275" s="70"/>
      <c r="N275" s="70"/>
      <c r="O275" s="70"/>
    </row>
    <row r="276" spans="1:15" x14ac:dyDescent="0.25">
      <c r="A276" s="37"/>
      <c r="B276" s="37"/>
      <c r="C276" s="70"/>
      <c r="D276" s="37"/>
      <c r="E276" s="70"/>
      <c r="F276" s="70"/>
      <c r="G276" s="37"/>
      <c r="H276" s="70"/>
      <c r="I276" s="70"/>
      <c r="J276" s="37"/>
      <c r="K276" s="70"/>
      <c r="L276" s="70"/>
      <c r="M276" s="70"/>
      <c r="N276" s="70"/>
      <c r="O276" s="70"/>
    </row>
    <row r="277" spans="1:15" x14ac:dyDescent="0.25">
      <c r="A277" s="37"/>
      <c r="B277" s="37"/>
      <c r="C277" s="70"/>
      <c r="D277" s="37"/>
      <c r="E277" s="70"/>
      <c r="F277" s="70"/>
      <c r="G277" s="37"/>
      <c r="H277" s="70"/>
      <c r="I277" s="70"/>
      <c r="J277" s="37"/>
      <c r="K277" s="70"/>
      <c r="L277" s="70"/>
      <c r="M277" s="70"/>
      <c r="N277" s="70"/>
      <c r="O277" s="70"/>
    </row>
    <row r="278" spans="1:15" x14ac:dyDescent="0.25">
      <c r="A278" s="37"/>
      <c r="B278" s="37"/>
      <c r="C278" s="70"/>
      <c r="D278" s="37"/>
      <c r="E278" s="70"/>
      <c r="F278" s="70"/>
      <c r="G278" s="37"/>
      <c r="H278" s="70"/>
      <c r="I278" s="70"/>
      <c r="J278" s="37"/>
      <c r="K278" s="70"/>
      <c r="L278" s="70"/>
      <c r="M278" s="70"/>
      <c r="N278" s="70"/>
      <c r="O278" s="70"/>
    </row>
    <row r="279" spans="1:15" x14ac:dyDescent="0.25">
      <c r="A279" s="37"/>
      <c r="B279" s="37"/>
      <c r="C279" s="70"/>
      <c r="D279" s="37"/>
      <c r="E279" s="70"/>
      <c r="F279" s="70"/>
      <c r="G279" s="37"/>
      <c r="H279" s="70"/>
      <c r="I279" s="70"/>
      <c r="J279" s="37"/>
      <c r="K279" s="70"/>
      <c r="L279" s="70"/>
      <c r="M279" s="70"/>
      <c r="N279" s="70"/>
      <c r="O279" s="70"/>
    </row>
    <row r="280" spans="1:15" x14ac:dyDescent="0.25">
      <c r="A280" s="37"/>
      <c r="B280" s="37"/>
      <c r="C280" s="70"/>
      <c r="D280" s="37"/>
      <c r="E280" s="70"/>
      <c r="F280" s="70"/>
      <c r="G280" s="37"/>
      <c r="H280" s="70"/>
      <c r="I280" s="70"/>
      <c r="J280" s="37"/>
      <c r="K280" s="70"/>
      <c r="L280" s="70"/>
      <c r="M280" s="70"/>
      <c r="N280" s="70"/>
      <c r="O280" s="70"/>
    </row>
    <row r="281" spans="1:15" x14ac:dyDescent="0.25">
      <c r="A281" s="37"/>
      <c r="B281" s="37"/>
      <c r="C281" s="70"/>
      <c r="D281" s="37"/>
      <c r="E281" s="70"/>
      <c r="F281" s="70"/>
      <c r="G281" s="37"/>
      <c r="H281" s="70"/>
      <c r="I281" s="70"/>
      <c r="J281" s="37"/>
      <c r="K281" s="70"/>
      <c r="L281" s="70"/>
      <c r="M281" s="70"/>
      <c r="N281" s="70"/>
      <c r="O281" s="70"/>
    </row>
    <row r="282" spans="1:15" x14ac:dyDescent="0.25">
      <c r="A282" s="37"/>
      <c r="B282" s="37"/>
      <c r="C282" s="70"/>
      <c r="D282" s="37"/>
      <c r="E282" s="70"/>
      <c r="F282" s="70"/>
      <c r="G282" s="37"/>
      <c r="H282" s="70"/>
      <c r="I282" s="70"/>
      <c r="J282" s="37"/>
      <c r="K282" s="70"/>
      <c r="L282" s="70"/>
      <c r="M282" s="70"/>
      <c r="N282" s="70"/>
      <c r="O282" s="70"/>
    </row>
    <row r="283" spans="1:15" x14ac:dyDescent="0.25">
      <c r="A283" s="37"/>
      <c r="B283" s="37"/>
      <c r="C283" s="70"/>
      <c r="D283" s="37"/>
      <c r="E283" s="70"/>
      <c r="F283" s="70"/>
      <c r="G283" s="37"/>
      <c r="H283" s="70"/>
      <c r="I283" s="70"/>
      <c r="J283" s="37"/>
      <c r="K283" s="70"/>
      <c r="L283" s="70"/>
      <c r="M283" s="70"/>
      <c r="N283" s="70"/>
      <c r="O283" s="70"/>
    </row>
    <row r="284" spans="1:15" x14ac:dyDescent="0.25">
      <c r="A284" s="37"/>
      <c r="B284" s="37"/>
      <c r="C284" s="70"/>
      <c r="D284" s="37"/>
      <c r="E284" s="70"/>
      <c r="F284" s="70"/>
      <c r="G284" s="37"/>
      <c r="H284" s="70"/>
      <c r="I284" s="70"/>
      <c r="J284" s="37"/>
      <c r="K284" s="70"/>
      <c r="L284" s="70"/>
      <c r="M284" s="70"/>
      <c r="N284" s="70"/>
      <c r="O284" s="70"/>
    </row>
    <row r="285" spans="1:15" x14ac:dyDescent="0.25">
      <c r="A285" s="37"/>
      <c r="B285" s="37"/>
      <c r="C285" s="70"/>
      <c r="D285" s="37"/>
      <c r="E285" s="70"/>
      <c r="F285" s="70"/>
      <c r="G285" s="37"/>
      <c r="H285" s="70"/>
      <c r="I285" s="70"/>
      <c r="J285" s="37"/>
      <c r="K285" s="70"/>
      <c r="L285" s="70"/>
      <c r="M285" s="70"/>
      <c r="N285" s="70"/>
      <c r="O285" s="70"/>
    </row>
    <row r="286" spans="1:15" x14ac:dyDescent="0.25">
      <c r="A286" s="37"/>
      <c r="B286" s="37"/>
      <c r="C286" s="70"/>
      <c r="D286" s="37"/>
      <c r="E286" s="70"/>
      <c r="F286" s="70"/>
      <c r="G286" s="37"/>
      <c r="H286" s="70"/>
      <c r="I286" s="70"/>
      <c r="J286" s="37"/>
      <c r="K286" s="70"/>
      <c r="L286" s="70"/>
      <c r="M286" s="70"/>
      <c r="N286" s="70"/>
      <c r="O286" s="70"/>
    </row>
    <row r="287" spans="1:15" x14ac:dyDescent="0.25">
      <c r="A287" s="37"/>
      <c r="B287" s="37"/>
      <c r="C287" s="70"/>
      <c r="D287" s="37"/>
      <c r="E287" s="70"/>
      <c r="F287" s="70"/>
      <c r="G287" s="37"/>
      <c r="H287" s="70"/>
      <c r="I287" s="70"/>
      <c r="J287" s="37"/>
      <c r="K287" s="70"/>
      <c r="L287" s="70"/>
      <c r="M287" s="70"/>
      <c r="N287" s="70"/>
      <c r="O287" s="70"/>
    </row>
    <row r="288" spans="1:15" x14ac:dyDescent="0.25">
      <c r="A288" s="37"/>
      <c r="B288" s="37"/>
      <c r="C288" s="70"/>
      <c r="D288" s="37"/>
      <c r="E288" s="70"/>
      <c r="F288" s="70"/>
      <c r="G288" s="37"/>
      <c r="H288" s="70"/>
      <c r="I288" s="70"/>
      <c r="J288" s="37"/>
      <c r="K288" s="70"/>
      <c r="L288" s="70"/>
      <c r="M288" s="70"/>
      <c r="N288" s="70"/>
      <c r="O288" s="70"/>
    </row>
    <row r="289" spans="1:15" x14ac:dyDescent="0.25">
      <c r="A289" s="37"/>
      <c r="B289" s="37"/>
      <c r="C289" s="70"/>
      <c r="D289" s="37"/>
      <c r="E289" s="70"/>
      <c r="F289" s="70"/>
      <c r="G289" s="37"/>
      <c r="H289" s="70"/>
      <c r="I289" s="70"/>
      <c r="J289" s="37"/>
      <c r="K289" s="70"/>
      <c r="L289" s="70"/>
      <c r="M289" s="70"/>
      <c r="N289" s="70"/>
      <c r="O289" s="70"/>
    </row>
    <row r="290" spans="1:15" x14ac:dyDescent="0.25">
      <c r="A290" s="37"/>
      <c r="B290" s="37"/>
      <c r="C290" s="70"/>
      <c r="D290" s="37"/>
      <c r="E290" s="70"/>
      <c r="F290" s="70"/>
      <c r="G290" s="37"/>
      <c r="H290" s="70"/>
      <c r="I290" s="70"/>
      <c r="J290" s="37"/>
      <c r="K290" s="70"/>
      <c r="L290" s="70"/>
      <c r="M290" s="70"/>
      <c r="N290" s="70"/>
      <c r="O290" s="70"/>
    </row>
    <row r="291" spans="1:15" x14ac:dyDescent="0.25">
      <c r="A291" s="37"/>
      <c r="B291" s="37"/>
      <c r="C291" s="70"/>
      <c r="D291" s="37"/>
      <c r="E291" s="70"/>
      <c r="F291" s="70"/>
      <c r="G291" s="37"/>
      <c r="H291" s="70"/>
      <c r="I291" s="70"/>
      <c r="J291" s="37"/>
      <c r="K291" s="70"/>
      <c r="L291" s="70"/>
      <c r="M291" s="70"/>
      <c r="N291" s="70"/>
      <c r="O291" s="70"/>
    </row>
    <row r="292" spans="1:15" x14ac:dyDescent="0.25">
      <c r="A292" s="37"/>
      <c r="B292" s="37"/>
      <c r="C292" s="70"/>
      <c r="D292" s="37"/>
      <c r="E292" s="70"/>
      <c r="F292" s="70"/>
      <c r="G292" s="37"/>
      <c r="H292" s="70"/>
      <c r="I292" s="70"/>
      <c r="J292" s="37"/>
      <c r="K292" s="70"/>
      <c r="L292" s="70"/>
      <c r="M292" s="70"/>
      <c r="N292" s="70"/>
      <c r="O292" s="70"/>
    </row>
    <row r="293" spans="1:15" x14ac:dyDescent="0.25">
      <c r="A293" s="37"/>
      <c r="B293" s="37"/>
      <c r="C293" s="70"/>
      <c r="D293" s="37"/>
      <c r="E293" s="70"/>
      <c r="F293" s="70"/>
      <c r="G293" s="37"/>
      <c r="H293" s="70"/>
      <c r="I293" s="70"/>
      <c r="J293" s="37"/>
      <c r="K293" s="70"/>
      <c r="L293" s="70"/>
      <c r="M293" s="70"/>
      <c r="N293" s="70"/>
      <c r="O293" s="70"/>
    </row>
    <row r="294" spans="1:15" x14ac:dyDescent="0.25">
      <c r="A294" s="37"/>
      <c r="B294" s="37"/>
      <c r="C294" s="70"/>
      <c r="D294" s="37"/>
      <c r="E294" s="70"/>
      <c r="F294" s="70"/>
      <c r="G294" s="37"/>
      <c r="H294" s="70"/>
      <c r="I294" s="70"/>
      <c r="J294" s="37"/>
      <c r="K294" s="70"/>
      <c r="L294" s="70"/>
      <c r="M294" s="70"/>
      <c r="N294" s="70"/>
      <c r="O294" s="70"/>
    </row>
    <row r="295" spans="1:15" x14ac:dyDescent="0.25">
      <c r="A295" s="37"/>
      <c r="B295" s="37"/>
      <c r="C295" s="70"/>
      <c r="D295" s="37"/>
      <c r="E295" s="70"/>
      <c r="F295" s="70"/>
      <c r="G295" s="37"/>
      <c r="H295" s="70"/>
      <c r="I295" s="70"/>
      <c r="J295" s="37"/>
      <c r="K295" s="70"/>
      <c r="L295" s="70"/>
      <c r="M295" s="70"/>
      <c r="N295" s="70"/>
      <c r="O295" s="70"/>
    </row>
    <row r="296" spans="1:15" x14ac:dyDescent="0.25">
      <c r="A296" s="37"/>
      <c r="B296" s="37"/>
      <c r="C296" s="70"/>
      <c r="D296" s="37"/>
      <c r="E296" s="70"/>
      <c r="F296" s="70"/>
      <c r="G296" s="37"/>
      <c r="H296" s="70"/>
      <c r="I296" s="70"/>
      <c r="J296" s="37"/>
      <c r="K296" s="70"/>
      <c r="L296" s="70"/>
      <c r="M296" s="70"/>
      <c r="N296" s="70"/>
      <c r="O296" s="70"/>
    </row>
    <row r="297" spans="1:15" x14ac:dyDescent="0.25">
      <c r="A297" s="37"/>
      <c r="B297" s="37"/>
      <c r="C297" s="70"/>
      <c r="D297" s="37"/>
      <c r="E297" s="70"/>
      <c r="F297" s="70"/>
      <c r="G297" s="37"/>
      <c r="H297" s="70"/>
      <c r="I297" s="70"/>
      <c r="J297" s="37"/>
      <c r="K297" s="70"/>
      <c r="L297" s="70"/>
      <c r="M297" s="70"/>
      <c r="N297" s="70"/>
      <c r="O297" s="70"/>
    </row>
    <row r="298" spans="1:15" x14ac:dyDescent="0.25">
      <c r="A298" s="37"/>
      <c r="B298" s="37"/>
      <c r="C298" s="70"/>
      <c r="D298" s="37"/>
      <c r="E298" s="70"/>
      <c r="F298" s="70"/>
      <c r="G298" s="37"/>
      <c r="H298" s="70"/>
      <c r="I298" s="70"/>
      <c r="J298" s="37"/>
      <c r="K298" s="70"/>
      <c r="L298" s="70"/>
      <c r="M298" s="70"/>
      <c r="N298" s="70"/>
      <c r="O298" s="70"/>
    </row>
    <row r="299" spans="1:15" x14ac:dyDescent="0.25">
      <c r="A299" s="37"/>
      <c r="B299" s="37"/>
      <c r="C299" s="70"/>
      <c r="D299" s="37"/>
      <c r="E299" s="70"/>
      <c r="F299" s="70"/>
      <c r="G299" s="37"/>
      <c r="H299" s="70"/>
      <c r="I299" s="70"/>
      <c r="J299" s="37"/>
      <c r="K299" s="70"/>
      <c r="L299" s="70"/>
      <c r="M299" s="70"/>
      <c r="N299" s="70"/>
      <c r="O299" s="70"/>
    </row>
    <row r="300" spans="1:15" x14ac:dyDescent="0.25">
      <c r="A300" s="37"/>
      <c r="B300" s="37"/>
      <c r="C300" s="70"/>
      <c r="D300" s="37"/>
      <c r="E300" s="70"/>
      <c r="F300" s="70"/>
      <c r="G300" s="37"/>
      <c r="H300" s="70"/>
      <c r="I300" s="70"/>
      <c r="J300" s="37"/>
      <c r="K300" s="70"/>
      <c r="L300" s="70"/>
      <c r="M300" s="70"/>
      <c r="N300" s="70"/>
      <c r="O300" s="70"/>
    </row>
    <row r="301" spans="1:15" x14ac:dyDescent="0.25">
      <c r="A301" s="37"/>
      <c r="B301" s="37"/>
      <c r="C301" s="70"/>
      <c r="D301" s="37"/>
      <c r="E301" s="70"/>
      <c r="F301" s="70"/>
      <c r="G301" s="37"/>
      <c r="H301" s="70"/>
      <c r="I301" s="70"/>
      <c r="J301" s="37"/>
      <c r="K301" s="70"/>
      <c r="L301" s="70"/>
      <c r="M301" s="70"/>
      <c r="N301" s="70"/>
      <c r="O301" s="70"/>
    </row>
    <row r="302" spans="1:15" x14ac:dyDescent="0.25">
      <c r="A302" s="37"/>
      <c r="B302" s="37"/>
      <c r="C302" s="70"/>
      <c r="D302" s="37"/>
      <c r="E302" s="70"/>
      <c r="F302" s="70"/>
      <c r="G302" s="37"/>
      <c r="H302" s="70"/>
      <c r="I302" s="70"/>
      <c r="J302" s="37"/>
      <c r="K302" s="70"/>
      <c r="L302" s="70"/>
      <c r="M302" s="70"/>
      <c r="N302" s="70"/>
      <c r="O302" s="70"/>
    </row>
    <row r="303" spans="1:15" x14ac:dyDescent="0.25">
      <c r="A303" s="37"/>
      <c r="B303" s="37"/>
      <c r="C303" s="70"/>
      <c r="D303" s="37"/>
      <c r="E303" s="70"/>
      <c r="F303" s="70"/>
      <c r="G303" s="37"/>
      <c r="H303" s="70"/>
      <c r="I303" s="70"/>
      <c r="J303" s="37"/>
      <c r="K303" s="70"/>
      <c r="L303" s="70"/>
      <c r="M303" s="70"/>
      <c r="N303" s="70"/>
      <c r="O303" s="70"/>
    </row>
    <row r="304" spans="1:15" x14ac:dyDescent="0.25">
      <c r="A304" s="37"/>
      <c r="B304" s="37"/>
      <c r="C304" s="70"/>
      <c r="D304" s="37"/>
      <c r="E304" s="70"/>
      <c r="F304" s="70"/>
      <c r="G304" s="37"/>
      <c r="H304" s="70"/>
      <c r="I304" s="70"/>
      <c r="J304" s="37"/>
      <c r="K304" s="70"/>
      <c r="L304" s="70"/>
      <c r="M304" s="70"/>
      <c r="N304" s="70"/>
      <c r="O304" s="70"/>
    </row>
    <row r="305" spans="1:15" x14ac:dyDescent="0.25">
      <c r="A305" s="37"/>
      <c r="B305" s="37"/>
      <c r="C305" s="70"/>
      <c r="D305" s="37"/>
      <c r="E305" s="70"/>
      <c r="F305" s="70"/>
      <c r="G305" s="37"/>
      <c r="H305" s="70"/>
      <c r="I305" s="70"/>
      <c r="J305" s="37"/>
      <c r="K305" s="70"/>
      <c r="L305" s="70"/>
      <c r="M305" s="70"/>
      <c r="N305" s="70"/>
      <c r="O305" s="70"/>
    </row>
    <row r="306" spans="1:15" x14ac:dyDescent="0.25">
      <c r="A306" s="37"/>
      <c r="B306" s="37"/>
      <c r="C306" s="70"/>
      <c r="D306" s="37"/>
      <c r="E306" s="70"/>
      <c r="F306" s="70"/>
      <c r="G306" s="37"/>
      <c r="H306" s="70"/>
      <c r="I306" s="70"/>
      <c r="J306" s="37"/>
      <c r="K306" s="70"/>
      <c r="L306" s="70"/>
      <c r="M306" s="70"/>
      <c r="N306" s="70"/>
      <c r="O306" s="70"/>
    </row>
    <row r="307" spans="1:15" x14ac:dyDescent="0.25">
      <c r="A307" s="37"/>
      <c r="B307" s="37"/>
      <c r="C307" s="70"/>
      <c r="D307" s="37"/>
      <c r="E307" s="70"/>
      <c r="F307" s="70"/>
      <c r="G307" s="37"/>
      <c r="H307" s="70"/>
      <c r="I307" s="70"/>
      <c r="J307" s="37"/>
      <c r="K307" s="70"/>
      <c r="L307" s="70"/>
      <c r="M307" s="70"/>
      <c r="N307" s="70"/>
      <c r="O307" s="70"/>
    </row>
    <row r="308" spans="1:15" x14ac:dyDescent="0.25">
      <c r="A308" s="37"/>
      <c r="B308" s="37"/>
      <c r="C308" s="70"/>
      <c r="D308" s="37"/>
      <c r="E308" s="70"/>
      <c r="F308" s="70"/>
      <c r="G308" s="37"/>
      <c r="H308" s="70"/>
      <c r="I308" s="70"/>
      <c r="J308" s="37"/>
      <c r="K308" s="70"/>
      <c r="L308" s="70"/>
      <c r="M308" s="70"/>
      <c r="N308" s="70"/>
      <c r="O308" s="70"/>
    </row>
    <row r="309" spans="1:15" x14ac:dyDescent="0.25">
      <c r="A309" s="37"/>
      <c r="B309" s="37"/>
      <c r="C309" s="70"/>
      <c r="D309" s="37"/>
      <c r="E309" s="70"/>
      <c r="F309" s="70"/>
      <c r="G309" s="37"/>
      <c r="H309" s="70"/>
      <c r="I309" s="70"/>
      <c r="J309" s="37"/>
      <c r="K309" s="70"/>
      <c r="L309" s="70"/>
      <c r="M309" s="70"/>
      <c r="N309" s="70"/>
      <c r="O309" s="70"/>
    </row>
    <row r="310" spans="1:15" x14ac:dyDescent="0.25">
      <c r="A310" s="37"/>
      <c r="B310" s="37"/>
      <c r="C310" s="70"/>
      <c r="D310" s="37"/>
      <c r="E310" s="70"/>
      <c r="F310" s="70"/>
      <c r="G310" s="37"/>
      <c r="H310" s="70"/>
      <c r="I310" s="70"/>
      <c r="J310" s="37"/>
      <c r="K310" s="70"/>
      <c r="L310" s="70"/>
      <c r="M310" s="70"/>
      <c r="N310" s="70"/>
      <c r="O310" s="70"/>
    </row>
    <row r="311" spans="1:15" x14ac:dyDescent="0.25">
      <c r="A311" s="37"/>
      <c r="B311" s="37"/>
      <c r="C311" s="70"/>
      <c r="D311" s="37"/>
      <c r="E311" s="70"/>
      <c r="F311" s="70"/>
      <c r="G311" s="37"/>
      <c r="H311" s="70"/>
      <c r="I311" s="70"/>
      <c r="J311" s="37"/>
      <c r="K311" s="70"/>
      <c r="L311" s="70"/>
      <c r="M311" s="70"/>
      <c r="N311" s="70"/>
      <c r="O311" s="70"/>
    </row>
    <row r="312" spans="1:15" x14ac:dyDescent="0.25">
      <c r="A312" s="37"/>
      <c r="B312" s="37"/>
      <c r="C312" s="70"/>
      <c r="D312" s="37"/>
      <c r="E312" s="70"/>
      <c r="F312" s="70"/>
      <c r="G312" s="37"/>
      <c r="H312" s="70"/>
      <c r="I312" s="70"/>
      <c r="J312" s="37"/>
      <c r="K312" s="70"/>
      <c r="L312" s="70"/>
      <c r="M312" s="70"/>
      <c r="N312" s="70"/>
      <c r="O312" s="70"/>
    </row>
    <row r="313" spans="1:15" x14ac:dyDescent="0.25">
      <c r="A313" s="37"/>
      <c r="B313" s="37"/>
      <c r="C313" s="70"/>
      <c r="D313" s="37"/>
      <c r="E313" s="70"/>
      <c r="F313" s="70"/>
      <c r="G313" s="37"/>
      <c r="H313" s="70"/>
      <c r="I313" s="70"/>
      <c r="J313" s="37"/>
      <c r="K313" s="70"/>
      <c r="L313" s="70"/>
      <c r="M313" s="70"/>
      <c r="N313" s="70"/>
      <c r="O313" s="70"/>
    </row>
    <row r="314" spans="1:15" x14ac:dyDescent="0.25">
      <c r="A314" s="37"/>
      <c r="B314" s="37"/>
      <c r="C314" s="70"/>
      <c r="D314" s="37"/>
      <c r="E314" s="70"/>
      <c r="F314" s="70"/>
      <c r="G314" s="37"/>
      <c r="H314" s="70"/>
      <c r="I314" s="70"/>
      <c r="J314" s="37"/>
      <c r="K314" s="70"/>
      <c r="L314" s="70"/>
      <c r="M314" s="70"/>
      <c r="N314" s="70"/>
      <c r="O314" s="70"/>
    </row>
    <row r="315" spans="1:15" x14ac:dyDescent="0.25">
      <c r="A315" s="37"/>
      <c r="B315" s="37"/>
      <c r="C315" s="70"/>
      <c r="D315" s="37"/>
      <c r="E315" s="70"/>
      <c r="F315" s="70"/>
      <c r="G315" s="37"/>
      <c r="H315" s="70"/>
      <c r="I315" s="70"/>
      <c r="J315" s="37"/>
      <c r="K315" s="70"/>
      <c r="L315" s="70"/>
      <c r="M315" s="70"/>
      <c r="N315" s="70"/>
      <c r="O315" s="70"/>
    </row>
    <row r="316" spans="1:15" x14ac:dyDescent="0.25">
      <c r="A316" s="37"/>
      <c r="B316" s="37"/>
      <c r="C316" s="70"/>
      <c r="D316" s="37"/>
      <c r="E316" s="70"/>
      <c r="F316" s="70"/>
      <c r="G316" s="37"/>
      <c r="H316" s="70"/>
      <c r="I316" s="70"/>
      <c r="J316" s="37"/>
      <c r="K316" s="70"/>
      <c r="L316" s="70"/>
      <c r="M316" s="70"/>
      <c r="N316" s="70"/>
      <c r="O316" s="70"/>
    </row>
    <row r="317" spans="1:15" x14ac:dyDescent="0.25">
      <c r="A317" s="37"/>
      <c r="B317" s="37"/>
      <c r="C317" s="70"/>
      <c r="D317" s="37"/>
      <c r="E317" s="70"/>
      <c r="F317" s="70"/>
      <c r="G317" s="37"/>
      <c r="H317" s="70"/>
      <c r="I317" s="70"/>
      <c r="J317" s="37"/>
      <c r="K317" s="70"/>
      <c r="L317" s="70"/>
      <c r="M317" s="70"/>
      <c r="N317" s="70"/>
      <c r="O317" s="70"/>
    </row>
    <row r="318" spans="1:15" x14ac:dyDescent="0.25">
      <c r="A318" s="37"/>
      <c r="B318" s="37"/>
      <c r="C318" s="70"/>
      <c r="D318" s="37"/>
      <c r="E318" s="70"/>
      <c r="F318" s="70"/>
      <c r="G318" s="37"/>
      <c r="H318" s="70"/>
      <c r="I318" s="70"/>
      <c r="J318" s="37"/>
      <c r="K318" s="70"/>
      <c r="L318" s="70"/>
      <c r="M318" s="70"/>
      <c r="N318" s="70"/>
      <c r="O318" s="70"/>
    </row>
    <row r="319" spans="1:15" x14ac:dyDescent="0.25">
      <c r="A319" s="37"/>
      <c r="B319" s="37"/>
      <c r="C319" s="70"/>
      <c r="D319" s="37"/>
      <c r="E319" s="70"/>
      <c r="F319" s="70"/>
      <c r="G319" s="37"/>
      <c r="H319" s="70"/>
      <c r="I319" s="70"/>
      <c r="J319" s="37"/>
      <c r="K319" s="70"/>
      <c r="L319" s="70"/>
      <c r="M319" s="70"/>
      <c r="N319" s="70"/>
      <c r="O319" s="70"/>
    </row>
    <row r="320" spans="1:15" x14ac:dyDescent="0.25">
      <c r="A320" s="37"/>
      <c r="B320" s="37"/>
      <c r="C320" s="70"/>
      <c r="D320" s="37"/>
      <c r="E320" s="70"/>
      <c r="F320" s="70"/>
      <c r="G320" s="37"/>
      <c r="H320" s="70"/>
      <c r="I320" s="70"/>
      <c r="J320" s="37"/>
      <c r="K320" s="70"/>
      <c r="L320" s="70"/>
      <c r="M320" s="70"/>
      <c r="N320" s="70"/>
      <c r="O320" s="70"/>
    </row>
    <row r="321" spans="1:15" x14ac:dyDescent="0.25">
      <c r="A321" s="37"/>
      <c r="B321" s="37"/>
      <c r="C321" s="70"/>
      <c r="D321" s="37"/>
      <c r="E321" s="70"/>
      <c r="F321" s="70"/>
      <c r="G321" s="37"/>
      <c r="H321" s="70"/>
      <c r="I321" s="70"/>
      <c r="J321" s="37"/>
      <c r="K321" s="70"/>
      <c r="L321" s="70"/>
      <c r="M321" s="70"/>
      <c r="N321" s="70"/>
      <c r="O321" s="70"/>
    </row>
    <row r="322" spans="1:15" x14ac:dyDescent="0.25">
      <c r="A322" s="37"/>
      <c r="B322" s="37"/>
      <c r="C322" s="70"/>
      <c r="D322" s="37"/>
      <c r="E322" s="70"/>
      <c r="F322" s="70"/>
      <c r="G322" s="37"/>
      <c r="H322" s="70"/>
      <c r="I322" s="70"/>
      <c r="J322" s="37"/>
      <c r="K322" s="70"/>
      <c r="L322" s="70"/>
      <c r="M322" s="70"/>
      <c r="N322" s="70"/>
      <c r="O322" s="70"/>
    </row>
    <row r="323" spans="1:15" x14ac:dyDescent="0.25">
      <c r="A323" s="37"/>
      <c r="B323" s="37"/>
      <c r="C323" s="70"/>
      <c r="D323" s="37"/>
      <c r="E323" s="70"/>
      <c r="F323" s="70"/>
      <c r="G323" s="37"/>
      <c r="H323" s="70"/>
      <c r="I323" s="70"/>
      <c r="J323" s="37"/>
      <c r="K323" s="70"/>
      <c r="L323" s="70"/>
      <c r="M323" s="70"/>
      <c r="N323" s="70"/>
      <c r="O323" s="70"/>
    </row>
    <row r="324" spans="1:15" x14ac:dyDescent="0.25">
      <c r="A324" s="37"/>
      <c r="B324" s="37"/>
      <c r="C324" s="70"/>
      <c r="D324" s="37"/>
      <c r="E324" s="70"/>
      <c r="F324" s="70"/>
      <c r="G324" s="37"/>
      <c r="H324" s="70"/>
      <c r="I324" s="70"/>
      <c r="J324" s="37"/>
      <c r="K324" s="70"/>
      <c r="L324" s="70"/>
      <c r="M324" s="70"/>
      <c r="N324" s="70"/>
      <c r="O324" s="70"/>
    </row>
    <row r="325" spans="1:15" x14ac:dyDescent="0.25">
      <c r="A325" s="37"/>
      <c r="B325" s="37"/>
      <c r="C325" s="70"/>
      <c r="D325" s="37"/>
      <c r="E325" s="70"/>
      <c r="F325" s="70"/>
      <c r="G325" s="37"/>
      <c r="H325" s="70"/>
      <c r="I325" s="70"/>
      <c r="J325" s="37"/>
      <c r="K325" s="70"/>
      <c r="L325" s="70"/>
      <c r="M325" s="70"/>
      <c r="N325" s="70"/>
      <c r="O325" s="70"/>
    </row>
    <row r="326" spans="1:15" x14ac:dyDescent="0.25">
      <c r="A326" s="37"/>
      <c r="B326" s="37"/>
      <c r="C326" s="70"/>
      <c r="D326" s="37"/>
      <c r="E326" s="70"/>
      <c r="F326" s="70"/>
      <c r="G326" s="37"/>
      <c r="H326" s="70"/>
      <c r="I326" s="70"/>
      <c r="J326" s="37"/>
      <c r="K326" s="70"/>
      <c r="L326" s="70"/>
      <c r="M326" s="70"/>
      <c r="N326" s="70"/>
      <c r="O326" s="70"/>
    </row>
    <row r="327" spans="1:15" x14ac:dyDescent="0.25">
      <c r="A327" s="37"/>
      <c r="B327" s="37"/>
      <c r="C327" s="70"/>
      <c r="D327" s="37"/>
      <c r="E327" s="70"/>
      <c r="F327" s="70"/>
      <c r="G327" s="37"/>
      <c r="H327" s="70"/>
      <c r="I327" s="70"/>
      <c r="J327" s="37"/>
      <c r="K327" s="70"/>
      <c r="L327" s="70"/>
      <c r="M327" s="70"/>
      <c r="N327" s="70"/>
      <c r="O327" s="70"/>
    </row>
    <row r="328" spans="1:15" x14ac:dyDescent="0.25">
      <c r="A328" s="37"/>
      <c r="B328" s="37"/>
      <c r="C328" s="70"/>
      <c r="D328" s="37"/>
      <c r="E328" s="70"/>
      <c r="F328" s="70"/>
      <c r="G328" s="37"/>
      <c r="H328" s="70"/>
      <c r="I328" s="70"/>
      <c r="J328" s="37"/>
      <c r="K328" s="70"/>
      <c r="L328" s="70"/>
      <c r="M328" s="70"/>
      <c r="N328" s="70"/>
      <c r="O328" s="70"/>
    </row>
    <row r="329" spans="1:15" x14ac:dyDescent="0.25">
      <c r="A329" s="37"/>
      <c r="B329" s="37"/>
      <c r="C329" s="70"/>
      <c r="D329" s="37"/>
      <c r="E329" s="70"/>
      <c r="F329" s="70"/>
      <c r="G329" s="37"/>
      <c r="H329" s="70"/>
      <c r="I329" s="70"/>
      <c r="J329" s="37"/>
      <c r="K329" s="70"/>
      <c r="L329" s="70"/>
      <c r="M329" s="70"/>
      <c r="N329" s="70"/>
      <c r="O329" s="70"/>
    </row>
    <row r="330" spans="1:15" x14ac:dyDescent="0.25">
      <c r="A330" s="37"/>
      <c r="B330" s="37"/>
      <c r="C330" s="70"/>
      <c r="D330" s="37"/>
      <c r="E330" s="70"/>
      <c r="F330" s="70"/>
      <c r="G330" s="37"/>
      <c r="H330" s="70"/>
      <c r="I330" s="70"/>
      <c r="J330" s="37"/>
      <c r="K330" s="70"/>
      <c r="L330" s="70"/>
      <c r="M330" s="70"/>
      <c r="N330" s="70"/>
      <c r="O330" s="70"/>
    </row>
    <row r="331" spans="1:15" x14ac:dyDescent="0.25">
      <c r="A331" s="37"/>
      <c r="B331" s="37"/>
      <c r="C331" s="70"/>
      <c r="D331" s="37"/>
      <c r="E331" s="70"/>
      <c r="F331" s="70"/>
      <c r="G331" s="37"/>
      <c r="H331" s="70"/>
      <c r="I331" s="70"/>
      <c r="J331" s="37"/>
      <c r="K331" s="70"/>
      <c r="L331" s="70"/>
      <c r="M331" s="70"/>
      <c r="N331" s="70"/>
      <c r="O331" s="70"/>
    </row>
    <row r="332" spans="1:15" x14ac:dyDescent="0.25">
      <c r="A332" s="37"/>
      <c r="B332" s="37"/>
      <c r="C332" s="70"/>
      <c r="D332" s="37"/>
      <c r="E332" s="70"/>
      <c r="F332" s="70"/>
      <c r="G332" s="37"/>
      <c r="H332" s="70"/>
      <c r="I332" s="70"/>
      <c r="J332" s="37"/>
      <c r="K332" s="70"/>
      <c r="L332" s="70"/>
      <c r="M332" s="70"/>
      <c r="N332" s="70"/>
      <c r="O332" s="70"/>
    </row>
    <row r="333" spans="1:15" x14ac:dyDescent="0.25">
      <c r="A333" s="37"/>
      <c r="B333" s="37"/>
      <c r="C333" s="70"/>
      <c r="D333" s="37"/>
      <c r="E333" s="70"/>
      <c r="F333" s="70"/>
      <c r="G333" s="37"/>
      <c r="H333" s="70"/>
      <c r="I333" s="70"/>
      <c r="J333" s="37"/>
      <c r="K333" s="70"/>
      <c r="L333" s="70"/>
      <c r="M333" s="70"/>
      <c r="N333" s="70"/>
      <c r="O333" s="70"/>
    </row>
    <row r="334" spans="1:15" x14ac:dyDescent="0.25">
      <c r="A334" s="37"/>
      <c r="B334" s="37"/>
      <c r="C334" s="70"/>
      <c r="D334" s="37"/>
      <c r="E334" s="70"/>
      <c r="F334" s="70"/>
      <c r="G334" s="37"/>
      <c r="H334" s="70"/>
      <c r="I334" s="70"/>
      <c r="J334" s="37"/>
      <c r="K334" s="70"/>
      <c r="L334" s="70"/>
      <c r="M334" s="70"/>
      <c r="N334" s="70"/>
      <c r="O334" s="70"/>
    </row>
    <row r="335" spans="1:15" x14ac:dyDescent="0.25">
      <c r="A335" s="37"/>
      <c r="B335" s="37"/>
      <c r="C335" s="70"/>
      <c r="D335" s="37"/>
      <c r="E335" s="70"/>
      <c r="F335" s="70"/>
      <c r="G335" s="37"/>
      <c r="H335" s="70"/>
      <c r="I335" s="70"/>
      <c r="J335" s="37"/>
      <c r="K335" s="70"/>
      <c r="L335" s="70"/>
      <c r="M335" s="70"/>
      <c r="N335" s="70"/>
      <c r="O335" s="70"/>
    </row>
    <row r="336" spans="1:15" x14ac:dyDescent="0.25">
      <c r="A336" s="37"/>
      <c r="B336" s="37"/>
      <c r="C336" s="70"/>
      <c r="D336" s="37"/>
      <c r="E336" s="70"/>
      <c r="F336" s="70"/>
      <c r="G336" s="37"/>
      <c r="H336" s="70"/>
      <c r="I336" s="70"/>
      <c r="J336" s="37"/>
      <c r="K336" s="70"/>
      <c r="L336" s="70"/>
      <c r="M336" s="70"/>
      <c r="N336" s="70"/>
      <c r="O336" s="70"/>
    </row>
    <row r="337" spans="1:15" x14ac:dyDescent="0.25">
      <c r="A337" s="37"/>
      <c r="B337" s="37"/>
      <c r="C337" s="70"/>
      <c r="D337" s="37"/>
      <c r="E337" s="70"/>
      <c r="F337" s="70"/>
      <c r="G337" s="37"/>
      <c r="H337" s="70"/>
      <c r="I337" s="70"/>
      <c r="J337" s="37"/>
      <c r="K337" s="70"/>
      <c r="L337" s="70"/>
      <c r="M337" s="70"/>
      <c r="N337" s="70"/>
      <c r="O337" s="70"/>
    </row>
    <row r="338" spans="1:15" x14ac:dyDescent="0.25">
      <c r="A338" s="37"/>
      <c r="B338" s="37"/>
      <c r="C338" s="70"/>
      <c r="D338" s="37"/>
      <c r="E338" s="70"/>
      <c r="F338" s="70"/>
      <c r="G338" s="37"/>
      <c r="H338" s="70"/>
      <c r="I338" s="70"/>
      <c r="J338" s="37"/>
      <c r="K338" s="70"/>
      <c r="L338" s="70"/>
      <c r="M338" s="70"/>
      <c r="N338" s="70"/>
      <c r="O338" s="70"/>
    </row>
    <row r="339" spans="1:15" x14ac:dyDescent="0.25">
      <c r="A339" s="37"/>
      <c r="B339" s="37"/>
      <c r="C339" s="70"/>
      <c r="D339" s="37"/>
      <c r="E339" s="70"/>
      <c r="F339" s="70"/>
      <c r="G339" s="37"/>
      <c r="H339" s="70"/>
      <c r="I339" s="70"/>
      <c r="J339" s="37"/>
      <c r="K339" s="70"/>
      <c r="L339" s="70"/>
      <c r="M339" s="70"/>
      <c r="N339" s="70"/>
      <c r="O339" s="70"/>
    </row>
    <row r="340" spans="1:15" x14ac:dyDescent="0.25">
      <c r="A340" s="37"/>
      <c r="B340" s="37"/>
      <c r="C340" s="70"/>
      <c r="D340" s="37"/>
      <c r="E340" s="70"/>
      <c r="F340" s="70"/>
      <c r="G340" s="37"/>
      <c r="H340" s="70"/>
      <c r="I340" s="70"/>
      <c r="J340" s="37"/>
      <c r="K340" s="70"/>
      <c r="L340" s="70"/>
      <c r="M340" s="70"/>
      <c r="N340" s="70"/>
      <c r="O340" s="70"/>
    </row>
    <row r="341" spans="1:15" x14ac:dyDescent="0.25">
      <c r="A341" s="37"/>
      <c r="B341" s="37"/>
      <c r="C341" s="70"/>
      <c r="D341" s="37"/>
      <c r="E341" s="70"/>
      <c r="F341" s="70"/>
      <c r="G341" s="37"/>
      <c r="H341" s="70"/>
      <c r="I341" s="70"/>
      <c r="J341" s="37"/>
      <c r="K341" s="70"/>
      <c r="L341" s="70"/>
      <c r="M341" s="70"/>
      <c r="N341" s="70"/>
      <c r="O341" s="70"/>
    </row>
    <row r="342" spans="1:15" x14ac:dyDescent="0.25">
      <c r="A342" s="37"/>
      <c r="B342" s="37"/>
      <c r="C342" s="70"/>
      <c r="D342" s="37"/>
      <c r="E342" s="70"/>
      <c r="F342" s="70"/>
      <c r="G342" s="37"/>
      <c r="H342" s="70"/>
      <c r="I342" s="70"/>
      <c r="J342" s="37"/>
      <c r="K342" s="70"/>
      <c r="L342" s="70"/>
      <c r="M342" s="70"/>
      <c r="N342" s="70"/>
      <c r="O342" s="70"/>
    </row>
    <row r="343" spans="1:15" x14ac:dyDescent="0.25">
      <c r="A343" s="37"/>
      <c r="B343" s="37"/>
      <c r="C343" s="70"/>
      <c r="D343" s="37"/>
      <c r="E343" s="70"/>
      <c r="F343" s="70"/>
      <c r="G343" s="37"/>
      <c r="H343" s="70"/>
      <c r="I343" s="70"/>
      <c r="J343" s="37"/>
      <c r="K343" s="70"/>
      <c r="L343" s="70"/>
      <c r="M343" s="70"/>
      <c r="N343" s="70"/>
      <c r="O343" s="70"/>
    </row>
    <row r="344" spans="1:15" x14ac:dyDescent="0.25">
      <c r="A344" s="37"/>
      <c r="B344" s="37"/>
      <c r="C344" s="70"/>
      <c r="D344" s="37"/>
      <c r="E344" s="70"/>
      <c r="F344" s="70"/>
      <c r="G344" s="37"/>
      <c r="H344" s="70"/>
      <c r="I344" s="70"/>
      <c r="J344" s="37"/>
      <c r="K344" s="70"/>
      <c r="L344" s="70"/>
      <c r="M344" s="70"/>
      <c r="N344" s="70"/>
      <c r="O344" s="70"/>
    </row>
    <row r="345" spans="1:15" x14ac:dyDescent="0.25">
      <c r="A345" s="37"/>
      <c r="B345" s="37"/>
      <c r="C345" s="70"/>
      <c r="D345" s="37"/>
      <c r="E345" s="70"/>
      <c r="F345" s="70"/>
      <c r="G345" s="37"/>
      <c r="H345" s="70"/>
      <c r="I345" s="70"/>
      <c r="J345" s="37"/>
      <c r="K345" s="70"/>
      <c r="L345" s="70"/>
      <c r="M345" s="70"/>
      <c r="N345" s="70"/>
      <c r="O345" s="70"/>
    </row>
    <row r="346" spans="1:15" x14ac:dyDescent="0.25">
      <c r="A346" s="37"/>
      <c r="B346" s="37"/>
      <c r="C346" s="70"/>
      <c r="D346" s="37"/>
      <c r="E346" s="70"/>
      <c r="F346" s="70"/>
      <c r="G346" s="37"/>
      <c r="H346" s="70"/>
      <c r="I346" s="70"/>
      <c r="J346" s="37"/>
      <c r="K346" s="70"/>
      <c r="L346" s="70"/>
      <c r="M346" s="70"/>
      <c r="N346" s="70"/>
      <c r="O346" s="70"/>
    </row>
    <row r="347" spans="1:15" x14ac:dyDescent="0.25">
      <c r="A347" s="37"/>
      <c r="B347" s="37"/>
      <c r="C347" s="70"/>
      <c r="D347" s="37"/>
      <c r="E347" s="70"/>
      <c r="F347" s="70"/>
      <c r="G347" s="37"/>
      <c r="H347" s="70"/>
      <c r="I347" s="70"/>
      <c r="J347" s="37"/>
      <c r="K347" s="70"/>
      <c r="L347" s="70"/>
      <c r="M347" s="70"/>
      <c r="N347" s="70"/>
      <c r="O347" s="70"/>
    </row>
    <row r="348" spans="1:15" x14ac:dyDescent="0.25">
      <c r="A348" s="37"/>
      <c r="B348" s="37"/>
      <c r="C348" s="70"/>
      <c r="D348" s="37"/>
      <c r="E348" s="70"/>
      <c r="F348" s="70"/>
      <c r="G348" s="37"/>
      <c r="H348" s="70"/>
      <c r="I348" s="70"/>
      <c r="J348" s="37"/>
      <c r="K348" s="70"/>
      <c r="L348" s="70"/>
      <c r="M348" s="70"/>
      <c r="N348" s="70"/>
      <c r="O348" s="70"/>
    </row>
    <row r="349" spans="1:15" x14ac:dyDescent="0.25">
      <c r="A349" s="37"/>
      <c r="B349" s="37"/>
      <c r="C349" s="70"/>
      <c r="D349" s="37"/>
      <c r="E349" s="70"/>
      <c r="F349" s="70"/>
      <c r="G349" s="37"/>
      <c r="H349" s="70"/>
      <c r="I349" s="70"/>
      <c r="J349" s="37"/>
      <c r="K349" s="70"/>
      <c r="L349" s="70"/>
      <c r="M349" s="70"/>
      <c r="N349" s="70"/>
      <c r="O349" s="70"/>
    </row>
    <row r="350" spans="1:15" x14ac:dyDescent="0.25">
      <c r="A350" s="37"/>
      <c r="B350" s="37"/>
      <c r="C350" s="70"/>
      <c r="D350" s="37"/>
      <c r="E350" s="70"/>
      <c r="F350" s="70"/>
      <c r="G350" s="37"/>
      <c r="H350" s="70"/>
      <c r="I350" s="70"/>
      <c r="J350" s="37"/>
      <c r="K350" s="70"/>
      <c r="L350" s="70"/>
      <c r="M350" s="70"/>
      <c r="N350" s="70"/>
      <c r="O350" s="70"/>
    </row>
    <row r="351" spans="1:15" x14ac:dyDescent="0.25">
      <c r="A351" s="37"/>
      <c r="B351" s="37"/>
      <c r="C351" s="70"/>
      <c r="D351" s="37"/>
      <c r="E351" s="70"/>
      <c r="F351" s="70"/>
      <c r="G351" s="37"/>
      <c r="H351" s="70"/>
      <c r="I351" s="70"/>
      <c r="J351" s="37"/>
      <c r="K351" s="70"/>
      <c r="L351" s="70"/>
      <c r="M351" s="70"/>
      <c r="N351" s="70"/>
      <c r="O351" s="70"/>
    </row>
    <row r="352" spans="1:15" x14ac:dyDescent="0.25">
      <c r="A352" s="37"/>
      <c r="B352" s="37"/>
      <c r="C352" s="70"/>
      <c r="D352" s="37"/>
      <c r="E352" s="70"/>
      <c r="F352" s="70"/>
      <c r="G352" s="37"/>
      <c r="H352" s="70"/>
      <c r="I352" s="70"/>
      <c r="J352" s="37"/>
      <c r="K352" s="70"/>
      <c r="L352" s="70"/>
      <c r="M352" s="70"/>
      <c r="N352" s="70"/>
      <c r="O352" s="70"/>
    </row>
    <row r="353" spans="1:15" x14ac:dyDescent="0.25">
      <c r="A353" s="37"/>
      <c r="B353" s="37"/>
      <c r="C353" s="70"/>
      <c r="D353" s="37"/>
      <c r="E353" s="70"/>
      <c r="F353" s="70"/>
      <c r="G353" s="37"/>
      <c r="H353" s="70"/>
      <c r="I353" s="70"/>
      <c r="J353" s="37"/>
      <c r="K353" s="70"/>
      <c r="L353" s="70"/>
      <c r="M353" s="70"/>
      <c r="N353" s="70"/>
      <c r="O353" s="70"/>
    </row>
    <row r="354" spans="1:15" x14ac:dyDescent="0.25">
      <c r="A354" s="37"/>
      <c r="B354" s="37"/>
      <c r="C354" s="70"/>
      <c r="D354" s="37"/>
      <c r="E354" s="70"/>
      <c r="F354" s="70"/>
      <c r="G354" s="37"/>
      <c r="H354" s="70"/>
      <c r="I354" s="70"/>
      <c r="J354" s="37"/>
      <c r="K354" s="70"/>
      <c r="L354" s="70"/>
      <c r="M354" s="70"/>
      <c r="N354" s="70"/>
      <c r="O354" s="70"/>
    </row>
    <row r="355" spans="1:15" x14ac:dyDescent="0.25">
      <c r="A355" s="37"/>
      <c r="B355" s="37"/>
      <c r="C355" s="70"/>
      <c r="D355" s="37"/>
      <c r="E355" s="70"/>
      <c r="F355" s="70"/>
      <c r="G355" s="37"/>
      <c r="H355" s="70"/>
      <c r="I355" s="70"/>
      <c r="J355" s="37"/>
      <c r="K355" s="70"/>
      <c r="L355" s="70"/>
      <c r="M355" s="70"/>
      <c r="N355" s="70"/>
      <c r="O355" s="70"/>
    </row>
    <row r="356" spans="1:15" x14ac:dyDescent="0.25">
      <c r="A356" s="37"/>
      <c r="B356" s="37"/>
      <c r="C356" s="70"/>
      <c r="D356" s="37"/>
      <c r="E356" s="70"/>
      <c r="F356" s="70"/>
      <c r="G356" s="37"/>
      <c r="H356" s="70"/>
      <c r="I356" s="70"/>
      <c r="J356" s="37"/>
      <c r="K356" s="70"/>
      <c r="L356" s="70"/>
      <c r="M356" s="70"/>
      <c r="N356" s="70"/>
      <c r="O356" s="70"/>
    </row>
    <row r="357" spans="1:15" x14ac:dyDescent="0.25">
      <c r="A357" s="37"/>
      <c r="B357" s="37"/>
      <c r="C357" s="70"/>
      <c r="D357" s="37"/>
      <c r="E357" s="70"/>
      <c r="F357" s="70"/>
      <c r="G357" s="37"/>
      <c r="H357" s="70"/>
      <c r="I357" s="70"/>
      <c r="J357" s="37"/>
      <c r="K357" s="70"/>
      <c r="L357" s="70"/>
      <c r="M357" s="70"/>
      <c r="N357" s="70"/>
      <c r="O357" s="70"/>
    </row>
    <row r="358" spans="1:15" x14ac:dyDescent="0.25">
      <c r="A358" s="37"/>
      <c r="B358" s="37"/>
      <c r="C358" s="70"/>
      <c r="D358" s="37"/>
      <c r="E358" s="70"/>
      <c r="F358" s="70"/>
      <c r="G358" s="37"/>
      <c r="H358" s="70"/>
      <c r="I358" s="70"/>
      <c r="J358" s="37"/>
      <c r="K358" s="70"/>
      <c r="L358" s="70"/>
      <c r="M358" s="70"/>
      <c r="N358" s="70"/>
      <c r="O358" s="70"/>
    </row>
    <row r="359" spans="1:15" x14ac:dyDescent="0.25">
      <c r="A359" s="37"/>
      <c r="B359" s="37"/>
      <c r="C359" s="70"/>
      <c r="D359" s="37"/>
      <c r="E359" s="70"/>
      <c r="F359" s="70"/>
      <c r="G359" s="37"/>
      <c r="H359" s="70"/>
      <c r="I359" s="70"/>
      <c r="J359" s="37"/>
      <c r="K359" s="70"/>
      <c r="L359" s="70"/>
      <c r="M359" s="70"/>
      <c r="N359" s="70"/>
      <c r="O359" s="70"/>
    </row>
    <row r="360" spans="1:15" x14ac:dyDescent="0.25">
      <c r="A360" s="37"/>
      <c r="B360" s="37"/>
      <c r="C360" s="70"/>
      <c r="D360" s="37"/>
      <c r="E360" s="70"/>
      <c r="F360" s="70"/>
      <c r="G360" s="37"/>
      <c r="H360" s="70"/>
      <c r="I360" s="70"/>
      <c r="J360" s="37"/>
      <c r="K360" s="70"/>
      <c r="L360" s="70"/>
      <c r="M360" s="70"/>
      <c r="N360" s="70"/>
      <c r="O360" s="70"/>
    </row>
    <row r="361" spans="1:15" x14ac:dyDescent="0.25">
      <c r="A361" s="37"/>
      <c r="B361" s="37"/>
      <c r="C361" s="70"/>
      <c r="D361" s="37"/>
      <c r="E361" s="70"/>
      <c r="F361" s="70"/>
      <c r="G361" s="37"/>
      <c r="H361" s="70"/>
      <c r="I361" s="70"/>
      <c r="J361" s="37"/>
      <c r="K361" s="70"/>
      <c r="L361" s="70"/>
      <c r="M361" s="70"/>
      <c r="N361" s="70"/>
      <c r="O361" s="70"/>
    </row>
    <row r="362" spans="1:15" x14ac:dyDescent="0.25">
      <c r="A362" s="37"/>
      <c r="B362" s="37"/>
      <c r="C362" s="70"/>
      <c r="D362" s="37"/>
      <c r="E362" s="70"/>
      <c r="F362" s="70"/>
      <c r="G362" s="37"/>
      <c r="H362" s="70"/>
      <c r="I362" s="70"/>
      <c r="J362" s="37"/>
      <c r="K362" s="70"/>
      <c r="L362" s="70"/>
      <c r="M362" s="70"/>
      <c r="N362" s="70"/>
      <c r="O362" s="70"/>
    </row>
    <row r="363" spans="1:15" x14ac:dyDescent="0.25">
      <c r="A363" s="37"/>
      <c r="B363" s="37"/>
      <c r="C363" s="70"/>
      <c r="D363" s="37"/>
      <c r="E363" s="70"/>
      <c r="F363" s="70"/>
      <c r="G363" s="37"/>
      <c r="H363" s="70"/>
      <c r="I363" s="70"/>
      <c r="J363" s="37"/>
      <c r="K363" s="70"/>
      <c r="L363" s="70"/>
      <c r="M363" s="70"/>
      <c r="N363" s="70"/>
      <c r="O363" s="70"/>
    </row>
    <row r="364" spans="1:15" x14ac:dyDescent="0.25">
      <c r="A364" s="37"/>
      <c r="B364" s="37"/>
      <c r="C364" s="70"/>
      <c r="D364" s="37"/>
      <c r="E364" s="70"/>
      <c r="F364" s="70"/>
      <c r="G364" s="37"/>
      <c r="H364" s="70"/>
      <c r="I364" s="70"/>
      <c r="J364" s="37"/>
      <c r="K364" s="70"/>
      <c r="L364" s="70"/>
      <c r="M364" s="70"/>
      <c r="N364" s="70"/>
      <c r="O364" s="70"/>
    </row>
    <row r="365" spans="1:15" x14ac:dyDescent="0.25">
      <c r="A365" s="37"/>
      <c r="B365" s="37"/>
      <c r="C365" s="70"/>
      <c r="D365" s="37"/>
      <c r="E365" s="70"/>
      <c r="F365" s="70"/>
      <c r="G365" s="37"/>
      <c r="H365" s="70"/>
      <c r="I365" s="70"/>
      <c r="J365" s="37"/>
      <c r="K365" s="70"/>
      <c r="L365" s="70"/>
      <c r="M365" s="70"/>
      <c r="N365" s="70"/>
      <c r="O365" s="70"/>
    </row>
    <row r="366" spans="1:15" x14ac:dyDescent="0.25">
      <c r="A366" s="37"/>
      <c r="B366" s="37"/>
      <c r="C366" s="70"/>
      <c r="D366" s="37"/>
      <c r="E366" s="70"/>
      <c r="F366" s="70"/>
      <c r="G366" s="37"/>
      <c r="H366" s="70"/>
      <c r="I366" s="70"/>
      <c r="J366" s="37"/>
      <c r="K366" s="70"/>
      <c r="L366" s="70"/>
      <c r="M366" s="70"/>
      <c r="N366" s="70"/>
      <c r="O366" s="70"/>
    </row>
    <row r="367" spans="1:15" x14ac:dyDescent="0.25">
      <c r="A367" s="37"/>
      <c r="B367" s="37"/>
      <c r="C367" s="70"/>
      <c r="D367" s="37"/>
      <c r="E367" s="70"/>
      <c r="F367" s="70"/>
      <c r="G367" s="37"/>
      <c r="H367" s="70"/>
      <c r="I367" s="70"/>
      <c r="J367" s="37"/>
      <c r="K367" s="70"/>
      <c r="L367" s="70"/>
      <c r="M367" s="70"/>
      <c r="N367" s="70"/>
      <c r="O367" s="70"/>
    </row>
    <row r="368" spans="1:15" x14ac:dyDescent="0.25">
      <c r="A368" s="37"/>
      <c r="B368" s="37"/>
      <c r="C368" s="70"/>
      <c r="D368" s="37"/>
      <c r="E368" s="70"/>
      <c r="F368" s="70"/>
      <c r="G368" s="37"/>
      <c r="H368" s="70"/>
      <c r="I368" s="70"/>
      <c r="J368" s="37"/>
      <c r="K368" s="70"/>
      <c r="L368" s="70"/>
      <c r="M368" s="70"/>
      <c r="N368" s="70"/>
      <c r="O368" s="70"/>
    </row>
    <row r="369" spans="1:15" x14ac:dyDescent="0.25">
      <c r="A369" s="37"/>
      <c r="B369" s="37"/>
      <c r="C369" s="70"/>
      <c r="D369" s="37"/>
      <c r="E369" s="70"/>
      <c r="F369" s="70"/>
      <c r="G369" s="37"/>
      <c r="H369" s="70"/>
      <c r="I369" s="70"/>
      <c r="J369" s="37"/>
      <c r="K369" s="70"/>
      <c r="L369" s="70"/>
      <c r="M369" s="70"/>
      <c r="N369" s="70"/>
      <c r="O369" s="70"/>
    </row>
    <row r="370" spans="1:15" x14ac:dyDescent="0.25">
      <c r="A370" s="37"/>
      <c r="B370" s="37"/>
      <c r="C370" s="70"/>
      <c r="D370" s="37"/>
      <c r="E370" s="70"/>
      <c r="F370" s="70"/>
      <c r="G370" s="37"/>
      <c r="H370" s="70"/>
      <c r="I370" s="70"/>
      <c r="J370" s="37"/>
      <c r="K370" s="70"/>
      <c r="L370" s="70"/>
      <c r="M370" s="70"/>
      <c r="N370" s="70"/>
      <c r="O370" s="70"/>
    </row>
    <row r="371" spans="1:15" x14ac:dyDescent="0.25">
      <c r="A371" s="37"/>
      <c r="B371" s="37"/>
      <c r="C371" s="70"/>
      <c r="D371" s="37"/>
      <c r="E371" s="70"/>
      <c r="F371" s="70"/>
      <c r="G371" s="37"/>
      <c r="H371" s="70"/>
      <c r="I371" s="70"/>
      <c r="J371" s="37"/>
      <c r="K371" s="70"/>
      <c r="L371" s="70"/>
      <c r="M371" s="70"/>
      <c r="N371" s="70"/>
      <c r="O371" s="70"/>
    </row>
    <row r="372" spans="1:15" x14ac:dyDescent="0.25">
      <c r="A372" s="37"/>
      <c r="B372" s="37"/>
      <c r="C372" s="70"/>
      <c r="D372" s="37"/>
      <c r="E372" s="70"/>
      <c r="F372" s="70"/>
      <c r="G372" s="37"/>
      <c r="H372" s="70"/>
      <c r="I372" s="70"/>
      <c r="J372" s="37"/>
      <c r="K372" s="70"/>
      <c r="L372" s="70"/>
      <c r="M372" s="70"/>
      <c r="N372" s="70"/>
      <c r="O372" s="70"/>
    </row>
    <row r="373" spans="1:15" x14ac:dyDescent="0.25">
      <c r="A373" s="37"/>
      <c r="B373" s="37"/>
      <c r="C373" s="70"/>
      <c r="D373" s="37"/>
      <c r="E373" s="70"/>
      <c r="F373" s="70"/>
      <c r="G373" s="37"/>
      <c r="H373" s="70"/>
      <c r="I373" s="70"/>
      <c r="J373" s="37"/>
      <c r="K373" s="70"/>
      <c r="L373" s="70"/>
      <c r="M373" s="70"/>
      <c r="N373" s="70"/>
      <c r="O373" s="70"/>
    </row>
    <row r="374" spans="1:15" x14ac:dyDescent="0.25">
      <c r="A374" s="37"/>
      <c r="B374" s="37"/>
      <c r="C374" s="70"/>
      <c r="D374" s="37"/>
      <c r="E374" s="70"/>
      <c r="F374" s="70"/>
      <c r="G374" s="37"/>
      <c r="H374" s="70"/>
      <c r="I374" s="70"/>
      <c r="J374" s="37"/>
      <c r="K374" s="70"/>
      <c r="L374" s="70"/>
      <c r="M374" s="70"/>
      <c r="N374" s="70"/>
      <c r="O374" s="70"/>
    </row>
    <row r="375" spans="1:15" x14ac:dyDescent="0.25">
      <c r="A375" s="37"/>
      <c r="B375" s="37"/>
      <c r="C375" s="70"/>
      <c r="D375" s="37"/>
      <c r="E375" s="70"/>
      <c r="F375" s="70"/>
      <c r="G375" s="37"/>
      <c r="H375" s="70"/>
      <c r="I375" s="70"/>
      <c r="J375" s="37"/>
      <c r="K375" s="70"/>
      <c r="L375" s="70"/>
      <c r="M375" s="70"/>
      <c r="N375" s="70"/>
      <c r="O375" s="70"/>
    </row>
    <row r="376" spans="1:15" x14ac:dyDescent="0.25">
      <c r="A376" s="37"/>
      <c r="B376" s="37"/>
      <c r="C376" s="70"/>
      <c r="D376" s="37"/>
      <c r="E376" s="70"/>
      <c r="F376" s="70"/>
      <c r="G376" s="37"/>
      <c r="H376" s="70"/>
      <c r="I376" s="70"/>
      <c r="J376" s="37"/>
      <c r="K376" s="70"/>
      <c r="L376" s="70"/>
      <c r="M376" s="70"/>
      <c r="N376" s="70"/>
      <c r="O376" s="70"/>
    </row>
    <row r="377" spans="1:15" x14ac:dyDescent="0.25">
      <c r="A377" s="37"/>
      <c r="B377" s="37"/>
      <c r="C377" s="70"/>
      <c r="D377" s="37"/>
      <c r="E377" s="70"/>
      <c r="F377" s="70"/>
      <c r="G377" s="37"/>
      <c r="H377" s="70"/>
      <c r="I377" s="70"/>
      <c r="J377" s="37"/>
      <c r="K377" s="70"/>
      <c r="L377" s="70"/>
      <c r="M377" s="70"/>
      <c r="N377" s="70"/>
      <c r="O377" s="70"/>
    </row>
    <row r="378" spans="1:15" x14ac:dyDescent="0.25">
      <c r="A378" s="37"/>
      <c r="B378" s="37"/>
      <c r="C378" s="70"/>
      <c r="D378" s="37"/>
      <c r="E378" s="70"/>
      <c r="F378" s="70"/>
      <c r="G378" s="37"/>
      <c r="H378" s="70"/>
      <c r="I378" s="70"/>
      <c r="J378" s="37"/>
      <c r="K378" s="70"/>
      <c r="L378" s="70"/>
      <c r="M378" s="70"/>
      <c r="N378" s="70"/>
      <c r="O378" s="70"/>
    </row>
    <row r="379" spans="1:15" x14ac:dyDescent="0.25">
      <c r="A379" s="37"/>
      <c r="B379" s="37"/>
      <c r="C379" s="70"/>
      <c r="D379" s="37"/>
      <c r="E379" s="70"/>
      <c r="F379" s="70"/>
      <c r="G379" s="37"/>
      <c r="H379" s="70"/>
      <c r="I379" s="70"/>
      <c r="J379" s="37"/>
      <c r="K379" s="70"/>
      <c r="L379" s="70"/>
      <c r="M379" s="70"/>
      <c r="N379" s="70"/>
      <c r="O379" s="70"/>
    </row>
    <row r="380" spans="1:15" x14ac:dyDescent="0.25">
      <c r="A380" s="37"/>
      <c r="B380" s="37"/>
      <c r="C380" s="70"/>
      <c r="D380" s="37"/>
      <c r="E380" s="70"/>
      <c r="F380" s="70"/>
      <c r="G380" s="37"/>
      <c r="H380" s="70"/>
      <c r="I380" s="70"/>
      <c r="J380" s="37"/>
      <c r="K380" s="70"/>
      <c r="L380" s="70"/>
      <c r="M380" s="70"/>
      <c r="N380" s="70"/>
      <c r="O380" s="70"/>
    </row>
    <row r="381" spans="1:15" x14ac:dyDescent="0.25">
      <c r="A381" s="37"/>
      <c r="B381" s="37"/>
      <c r="C381" s="70"/>
      <c r="D381" s="37"/>
      <c r="E381" s="70"/>
      <c r="F381" s="70"/>
      <c r="G381" s="37"/>
      <c r="H381" s="70"/>
      <c r="I381" s="70"/>
      <c r="J381" s="37"/>
      <c r="K381" s="70"/>
      <c r="L381" s="70"/>
      <c r="M381" s="70"/>
      <c r="N381" s="70"/>
      <c r="O381" s="70"/>
    </row>
    <row r="382" spans="1:15" x14ac:dyDescent="0.25">
      <c r="A382" s="37"/>
      <c r="B382" s="37"/>
      <c r="C382" s="70"/>
      <c r="D382" s="37"/>
      <c r="E382" s="70"/>
      <c r="F382" s="70"/>
      <c r="G382" s="37"/>
      <c r="H382" s="70"/>
      <c r="I382" s="70"/>
      <c r="J382" s="37"/>
      <c r="K382" s="70"/>
      <c r="L382" s="70"/>
      <c r="M382" s="70"/>
      <c r="N382" s="70"/>
      <c r="O382" s="70"/>
    </row>
    <row r="383" spans="1:15" x14ac:dyDescent="0.25">
      <c r="A383" s="37"/>
      <c r="B383" s="37"/>
      <c r="C383" s="70"/>
      <c r="D383" s="37"/>
      <c r="E383" s="70"/>
      <c r="F383" s="70"/>
      <c r="G383" s="37"/>
      <c r="H383" s="70"/>
      <c r="I383" s="70"/>
      <c r="J383" s="37"/>
      <c r="K383" s="70"/>
      <c r="L383" s="70"/>
      <c r="M383" s="70"/>
      <c r="N383" s="70"/>
      <c r="O383" s="70"/>
    </row>
    <row r="384" spans="1:15" x14ac:dyDescent="0.25">
      <c r="A384" s="37"/>
      <c r="B384" s="37"/>
      <c r="C384" s="70"/>
      <c r="D384" s="37"/>
      <c r="E384" s="70"/>
      <c r="F384" s="70"/>
      <c r="G384" s="37"/>
      <c r="H384" s="70"/>
      <c r="I384" s="70"/>
      <c r="J384" s="37"/>
      <c r="K384" s="70"/>
      <c r="L384" s="70"/>
      <c r="M384" s="70"/>
      <c r="N384" s="70"/>
      <c r="O384" s="70"/>
    </row>
    <row r="385" spans="1:15" x14ac:dyDescent="0.25">
      <c r="A385" s="37"/>
      <c r="B385" s="37"/>
      <c r="C385" s="70"/>
      <c r="D385" s="37"/>
      <c r="E385" s="70"/>
      <c r="F385" s="70"/>
      <c r="G385" s="37"/>
      <c r="H385" s="70"/>
      <c r="I385" s="70"/>
      <c r="J385" s="37"/>
      <c r="K385" s="70"/>
      <c r="L385" s="70"/>
      <c r="M385" s="70"/>
      <c r="N385" s="70"/>
      <c r="O385" s="70"/>
    </row>
    <row r="386" spans="1:15" x14ac:dyDescent="0.25">
      <c r="A386" s="37"/>
      <c r="B386" s="37"/>
      <c r="C386" s="70"/>
      <c r="D386" s="37"/>
      <c r="E386" s="70"/>
      <c r="F386" s="70"/>
      <c r="G386" s="37"/>
      <c r="H386" s="70"/>
      <c r="I386" s="70"/>
      <c r="J386" s="37"/>
      <c r="K386" s="70"/>
      <c r="L386" s="70"/>
      <c r="M386" s="70"/>
      <c r="N386" s="70"/>
      <c r="O386" s="70"/>
    </row>
    <row r="387" spans="1:15" x14ac:dyDescent="0.25">
      <c r="A387" s="37"/>
      <c r="B387" s="37"/>
      <c r="C387" s="70"/>
      <c r="D387" s="37"/>
      <c r="E387" s="70"/>
      <c r="F387" s="70"/>
      <c r="G387" s="37"/>
      <c r="H387" s="70"/>
      <c r="I387" s="70"/>
      <c r="J387" s="37"/>
      <c r="K387" s="70"/>
      <c r="L387" s="70"/>
      <c r="M387" s="70"/>
      <c r="N387" s="70"/>
      <c r="O387" s="70"/>
    </row>
    <row r="388" spans="1:15" x14ac:dyDescent="0.25">
      <c r="A388" s="37"/>
      <c r="B388" s="37"/>
      <c r="C388" s="70"/>
      <c r="D388" s="37"/>
      <c r="E388" s="70"/>
      <c r="F388" s="70"/>
      <c r="G388" s="37"/>
      <c r="H388" s="70"/>
      <c r="I388" s="70"/>
      <c r="J388" s="37"/>
      <c r="K388" s="70"/>
      <c r="L388" s="70"/>
      <c r="M388" s="70"/>
      <c r="N388" s="70"/>
      <c r="O388" s="70"/>
    </row>
    <row r="389" spans="1:15" x14ac:dyDescent="0.25">
      <c r="A389" s="37"/>
      <c r="B389" s="37"/>
      <c r="C389" s="70"/>
      <c r="D389" s="37"/>
      <c r="E389" s="70"/>
      <c r="F389" s="70"/>
      <c r="G389" s="37"/>
      <c r="H389" s="70"/>
      <c r="I389" s="70"/>
      <c r="J389" s="37"/>
      <c r="K389" s="70"/>
      <c r="L389" s="70"/>
      <c r="M389" s="70"/>
      <c r="N389" s="70"/>
      <c r="O389" s="70"/>
    </row>
    <row r="390" spans="1:15" x14ac:dyDescent="0.25">
      <c r="A390" s="37"/>
      <c r="B390" s="37"/>
      <c r="C390" s="70"/>
      <c r="D390" s="37"/>
      <c r="E390" s="70"/>
      <c r="F390" s="70"/>
      <c r="G390" s="37"/>
      <c r="H390" s="70"/>
      <c r="I390" s="70"/>
      <c r="J390" s="37"/>
      <c r="K390" s="70"/>
      <c r="L390" s="70"/>
      <c r="M390" s="70"/>
      <c r="N390" s="70"/>
      <c r="O390" s="70"/>
    </row>
    <row r="391" spans="1:15" x14ac:dyDescent="0.25">
      <c r="A391" s="37"/>
      <c r="B391" s="37"/>
      <c r="C391" s="70"/>
      <c r="D391" s="37"/>
      <c r="E391" s="70"/>
      <c r="F391" s="70"/>
      <c r="G391" s="37"/>
      <c r="H391" s="70"/>
      <c r="I391" s="70"/>
      <c r="J391" s="37"/>
      <c r="K391" s="70"/>
      <c r="L391" s="70"/>
      <c r="M391" s="70"/>
      <c r="N391" s="70"/>
      <c r="O391" s="70"/>
    </row>
    <row r="392" spans="1:15" x14ac:dyDescent="0.25">
      <c r="A392" s="37"/>
      <c r="B392" s="37"/>
      <c r="C392" s="70"/>
      <c r="D392" s="37"/>
      <c r="E392" s="70"/>
      <c r="F392" s="70"/>
      <c r="G392" s="37"/>
      <c r="H392" s="70"/>
      <c r="I392" s="70"/>
      <c r="J392" s="37"/>
      <c r="K392" s="70"/>
      <c r="L392" s="70"/>
      <c r="M392" s="70"/>
      <c r="N392" s="70"/>
      <c r="O392" s="70"/>
    </row>
    <row r="393" spans="1:15" x14ac:dyDescent="0.25">
      <c r="A393" s="37"/>
      <c r="B393" s="37"/>
      <c r="C393" s="70"/>
      <c r="D393" s="37"/>
      <c r="E393" s="70"/>
      <c r="F393" s="70"/>
      <c r="G393" s="37"/>
      <c r="H393" s="70"/>
      <c r="I393" s="70"/>
      <c r="J393" s="37"/>
      <c r="K393" s="70"/>
      <c r="L393" s="70"/>
      <c r="M393" s="70"/>
      <c r="N393" s="70"/>
      <c r="O393" s="70"/>
    </row>
    <row r="394" spans="1:15" x14ac:dyDescent="0.25">
      <c r="A394" s="37"/>
      <c r="B394" s="37"/>
      <c r="C394" s="70"/>
      <c r="D394" s="37"/>
      <c r="E394" s="70"/>
      <c r="F394" s="70"/>
      <c r="G394" s="37"/>
      <c r="H394" s="70"/>
      <c r="I394" s="70"/>
      <c r="J394" s="37"/>
      <c r="K394" s="70"/>
      <c r="L394" s="70"/>
      <c r="M394" s="70"/>
      <c r="N394" s="70"/>
      <c r="O394" s="70"/>
    </row>
    <row r="395" spans="1:15" x14ac:dyDescent="0.25">
      <c r="A395" s="37"/>
      <c r="B395" s="37"/>
      <c r="C395" s="70"/>
      <c r="D395" s="37"/>
      <c r="E395" s="70"/>
      <c r="F395" s="70"/>
      <c r="G395" s="37"/>
      <c r="H395" s="70"/>
      <c r="I395" s="70"/>
      <c r="J395" s="37"/>
      <c r="K395" s="70"/>
      <c r="L395" s="70"/>
      <c r="M395" s="70"/>
      <c r="N395" s="70"/>
      <c r="O395" s="70"/>
    </row>
    <row r="396" spans="1:15" x14ac:dyDescent="0.25">
      <c r="A396" s="37"/>
      <c r="B396" s="37"/>
      <c r="C396" s="70"/>
      <c r="D396" s="37"/>
      <c r="E396" s="70"/>
      <c r="F396" s="70"/>
      <c r="G396" s="37"/>
      <c r="H396" s="70"/>
      <c r="I396" s="70"/>
      <c r="J396" s="37"/>
      <c r="K396" s="70"/>
      <c r="L396" s="70"/>
      <c r="M396" s="70"/>
      <c r="N396" s="70"/>
      <c r="O396" s="70"/>
    </row>
    <row r="397" spans="1:15" x14ac:dyDescent="0.25">
      <c r="A397" s="37"/>
      <c r="B397" s="37"/>
      <c r="C397" s="70"/>
      <c r="D397" s="37"/>
      <c r="E397" s="70"/>
      <c r="F397" s="70"/>
      <c r="G397" s="37"/>
      <c r="H397" s="70"/>
      <c r="I397" s="70"/>
      <c r="J397" s="37"/>
      <c r="K397" s="70"/>
      <c r="L397" s="70"/>
      <c r="M397" s="70"/>
      <c r="N397" s="70"/>
      <c r="O397" s="70"/>
    </row>
    <row r="398" spans="1:15" x14ac:dyDescent="0.25">
      <c r="A398" s="37"/>
      <c r="B398" s="37"/>
      <c r="C398" s="70"/>
      <c r="D398" s="37"/>
      <c r="E398" s="70"/>
      <c r="F398" s="70"/>
      <c r="G398" s="37"/>
      <c r="H398" s="70"/>
      <c r="I398" s="70"/>
      <c r="J398" s="37"/>
      <c r="K398" s="70"/>
      <c r="L398" s="70"/>
      <c r="M398" s="70"/>
      <c r="N398" s="70"/>
      <c r="O398" s="70"/>
    </row>
    <row r="399" spans="1:15" x14ac:dyDescent="0.25">
      <c r="A399" s="37"/>
      <c r="B399" s="37"/>
      <c r="C399" s="70"/>
      <c r="D399" s="37"/>
      <c r="E399" s="70"/>
      <c r="F399" s="70"/>
      <c r="G399" s="37"/>
      <c r="H399" s="70"/>
      <c r="I399" s="70"/>
      <c r="J399" s="37"/>
      <c r="K399" s="70"/>
      <c r="L399" s="70"/>
      <c r="M399" s="70"/>
      <c r="N399" s="70"/>
      <c r="O399" s="70"/>
    </row>
    <row r="400" spans="1:15" x14ac:dyDescent="0.25">
      <c r="A400" s="37"/>
      <c r="B400" s="37"/>
      <c r="C400" s="70"/>
      <c r="D400" s="37"/>
      <c r="E400" s="70"/>
      <c r="F400" s="70"/>
      <c r="G400" s="37"/>
      <c r="H400" s="70"/>
      <c r="I400" s="70"/>
      <c r="J400" s="37"/>
      <c r="K400" s="70"/>
      <c r="L400" s="70"/>
      <c r="M400" s="70"/>
      <c r="N400" s="70"/>
      <c r="O400" s="70"/>
    </row>
    <row r="401" spans="1:15" x14ac:dyDescent="0.25">
      <c r="A401" s="37"/>
      <c r="B401" s="37"/>
      <c r="C401" s="70"/>
      <c r="D401" s="37"/>
      <c r="E401" s="70"/>
      <c r="F401" s="70"/>
      <c r="G401" s="37"/>
      <c r="H401" s="70"/>
      <c r="I401" s="70"/>
      <c r="J401" s="37"/>
      <c r="K401" s="70"/>
      <c r="L401" s="70"/>
      <c r="M401" s="70"/>
      <c r="N401" s="70"/>
      <c r="O401" s="70"/>
    </row>
    <row r="402" spans="1:15" x14ac:dyDescent="0.25">
      <c r="A402" s="37"/>
      <c r="B402" s="37"/>
      <c r="C402" s="70"/>
      <c r="D402" s="37"/>
      <c r="E402" s="70"/>
      <c r="F402" s="70"/>
      <c r="G402" s="37"/>
      <c r="H402" s="70"/>
      <c r="I402" s="70"/>
      <c r="J402" s="37"/>
      <c r="K402" s="70"/>
      <c r="L402" s="70"/>
      <c r="M402" s="70"/>
      <c r="N402" s="70"/>
      <c r="O402" s="70"/>
    </row>
    <row r="403" spans="1:15" x14ac:dyDescent="0.25">
      <c r="A403" s="37"/>
      <c r="B403" s="37"/>
      <c r="C403" s="70"/>
      <c r="D403" s="37"/>
      <c r="E403" s="70"/>
      <c r="F403" s="70"/>
      <c r="G403" s="37"/>
      <c r="H403" s="70"/>
      <c r="I403" s="70"/>
      <c r="J403" s="37"/>
      <c r="K403" s="70"/>
      <c r="L403" s="70"/>
      <c r="M403" s="70"/>
      <c r="N403" s="70"/>
      <c r="O403" s="70"/>
    </row>
    <row r="404" spans="1:15" x14ac:dyDescent="0.25">
      <c r="A404" s="37"/>
      <c r="B404" s="37"/>
      <c r="C404" s="70"/>
      <c r="D404" s="37"/>
      <c r="E404" s="70"/>
      <c r="F404" s="70"/>
      <c r="G404" s="37"/>
      <c r="H404" s="70"/>
      <c r="I404" s="70"/>
      <c r="J404" s="37"/>
      <c r="K404" s="70"/>
      <c r="L404" s="70"/>
      <c r="M404" s="70"/>
      <c r="N404" s="70"/>
      <c r="O404" s="70"/>
    </row>
    <row r="405" spans="1:15" x14ac:dyDescent="0.25">
      <c r="A405" s="37"/>
      <c r="B405" s="37"/>
      <c r="C405" s="70"/>
      <c r="D405" s="37"/>
      <c r="E405" s="70"/>
      <c r="F405" s="70"/>
      <c r="G405" s="37"/>
      <c r="H405" s="70"/>
      <c r="I405" s="70"/>
      <c r="J405" s="37"/>
      <c r="K405" s="70"/>
      <c r="L405" s="70"/>
      <c r="M405" s="70"/>
      <c r="N405" s="70"/>
      <c r="O405" s="70"/>
    </row>
    <row r="406" spans="1:15" x14ac:dyDescent="0.25">
      <c r="A406" s="37"/>
      <c r="B406" s="37"/>
      <c r="C406" s="70"/>
      <c r="D406" s="37"/>
      <c r="E406" s="70"/>
      <c r="F406" s="70"/>
      <c r="G406" s="37"/>
      <c r="H406" s="70"/>
      <c r="I406" s="70"/>
      <c r="J406" s="37"/>
      <c r="K406" s="70"/>
      <c r="L406" s="70"/>
      <c r="M406" s="70"/>
      <c r="N406" s="70"/>
      <c r="O406" s="70"/>
    </row>
    <row r="407" spans="1:15" x14ac:dyDescent="0.25">
      <c r="A407" s="37"/>
      <c r="B407" s="37"/>
      <c r="C407" s="70"/>
      <c r="D407" s="37"/>
      <c r="E407" s="70"/>
      <c r="F407" s="70"/>
      <c r="G407" s="37"/>
      <c r="H407" s="70"/>
      <c r="I407" s="70"/>
      <c r="J407" s="37"/>
      <c r="K407" s="70"/>
      <c r="L407" s="70"/>
      <c r="M407" s="70"/>
      <c r="N407" s="70"/>
      <c r="O407" s="70"/>
    </row>
    <row r="408" spans="1:15" x14ac:dyDescent="0.25">
      <c r="A408" s="37"/>
      <c r="B408" s="37"/>
      <c r="C408" s="70"/>
      <c r="D408" s="37"/>
      <c r="E408" s="70"/>
      <c r="F408" s="70"/>
      <c r="G408" s="37"/>
      <c r="H408" s="70"/>
      <c r="I408" s="70"/>
      <c r="J408" s="37"/>
      <c r="K408" s="70"/>
      <c r="L408" s="70"/>
      <c r="M408" s="70"/>
      <c r="N408" s="70"/>
      <c r="O408" s="70"/>
    </row>
    <row r="409" spans="1:15" x14ac:dyDescent="0.25">
      <c r="A409" s="37"/>
      <c r="B409" s="37"/>
      <c r="C409" s="70"/>
      <c r="D409" s="37"/>
      <c r="E409" s="70"/>
      <c r="F409" s="70"/>
      <c r="G409" s="37"/>
      <c r="H409" s="70"/>
      <c r="I409" s="70"/>
      <c r="J409" s="37"/>
      <c r="K409" s="70"/>
      <c r="L409" s="70"/>
      <c r="M409" s="70"/>
      <c r="N409" s="70"/>
      <c r="O409" s="70"/>
    </row>
    <row r="410" spans="1:15" x14ac:dyDescent="0.25">
      <c r="A410" s="37"/>
      <c r="B410" s="37"/>
      <c r="C410" s="70"/>
      <c r="D410" s="37"/>
      <c r="E410" s="70"/>
      <c r="F410" s="70"/>
      <c r="G410" s="37"/>
      <c r="H410" s="70"/>
      <c r="I410" s="70"/>
      <c r="J410" s="37"/>
      <c r="K410" s="70"/>
      <c r="L410" s="70"/>
      <c r="M410" s="70"/>
      <c r="N410" s="70"/>
      <c r="O410" s="70"/>
    </row>
    <row r="411" spans="1:15" x14ac:dyDescent="0.25">
      <c r="A411" s="37"/>
      <c r="B411" s="37"/>
      <c r="C411" s="70"/>
      <c r="D411" s="37"/>
      <c r="E411" s="70"/>
      <c r="F411" s="70"/>
      <c r="G411" s="37"/>
      <c r="H411" s="70"/>
      <c r="I411" s="70"/>
      <c r="J411" s="37"/>
      <c r="K411" s="70"/>
      <c r="L411" s="70"/>
      <c r="M411" s="70"/>
      <c r="N411" s="70"/>
      <c r="O411" s="70"/>
    </row>
    <row r="412" spans="1:15" x14ac:dyDescent="0.25">
      <c r="A412" s="37"/>
      <c r="B412" s="37"/>
      <c r="C412" s="70"/>
      <c r="D412" s="37"/>
      <c r="E412" s="70"/>
      <c r="F412" s="70"/>
      <c r="G412" s="37"/>
      <c r="H412" s="70"/>
      <c r="I412" s="70"/>
      <c r="J412" s="37"/>
      <c r="K412" s="70"/>
      <c r="L412" s="70"/>
      <c r="M412" s="70"/>
      <c r="N412" s="70"/>
      <c r="O412" s="70"/>
    </row>
    <row r="413" spans="1:15" x14ac:dyDescent="0.25">
      <c r="A413" s="37"/>
      <c r="B413" s="37"/>
      <c r="C413" s="70"/>
      <c r="D413" s="37"/>
      <c r="E413" s="70"/>
      <c r="F413" s="70"/>
      <c r="G413" s="37"/>
      <c r="H413" s="70"/>
      <c r="I413" s="70"/>
      <c r="J413" s="37"/>
      <c r="K413" s="70"/>
      <c r="L413" s="70"/>
      <c r="M413" s="70"/>
      <c r="N413" s="70"/>
      <c r="O413" s="70"/>
    </row>
    <row r="414" spans="1:15" x14ac:dyDescent="0.25">
      <c r="A414" s="37"/>
      <c r="B414" s="37"/>
      <c r="C414" s="70"/>
      <c r="D414" s="37"/>
      <c r="E414" s="70"/>
      <c r="F414" s="70"/>
      <c r="G414" s="37"/>
      <c r="H414" s="70"/>
      <c r="I414" s="70"/>
      <c r="J414" s="37"/>
      <c r="K414" s="70"/>
      <c r="L414" s="70"/>
      <c r="M414" s="70"/>
      <c r="N414" s="70"/>
      <c r="O414" s="70"/>
    </row>
    <row r="415" spans="1:15" x14ac:dyDescent="0.25">
      <c r="A415" s="37"/>
      <c r="B415" s="37"/>
      <c r="C415" s="70"/>
      <c r="D415" s="37"/>
      <c r="E415" s="70"/>
      <c r="F415" s="70"/>
      <c r="G415" s="37"/>
      <c r="H415" s="70"/>
      <c r="I415" s="70"/>
      <c r="J415" s="37"/>
      <c r="K415" s="70"/>
      <c r="L415" s="70"/>
      <c r="M415" s="70"/>
      <c r="N415" s="70"/>
      <c r="O415" s="70"/>
    </row>
    <row r="416" spans="1:15" x14ac:dyDescent="0.25">
      <c r="A416" s="37"/>
      <c r="B416" s="37"/>
      <c r="C416" s="70"/>
      <c r="D416" s="37"/>
      <c r="E416" s="70"/>
      <c r="F416" s="70"/>
      <c r="G416" s="37"/>
      <c r="H416" s="70"/>
      <c r="I416" s="70"/>
      <c r="J416" s="37"/>
      <c r="K416" s="70"/>
      <c r="L416" s="70"/>
      <c r="M416" s="70"/>
      <c r="N416" s="70"/>
      <c r="O416" s="70"/>
    </row>
    <row r="417" spans="1:15" x14ac:dyDescent="0.25">
      <c r="A417" s="37"/>
      <c r="B417" s="37"/>
      <c r="C417" s="70"/>
      <c r="D417" s="37"/>
      <c r="E417" s="70"/>
      <c r="F417" s="70"/>
      <c r="G417" s="37"/>
      <c r="H417" s="70"/>
      <c r="I417" s="70"/>
      <c r="J417" s="37"/>
      <c r="K417" s="70"/>
      <c r="L417" s="70"/>
      <c r="M417" s="70"/>
      <c r="N417" s="70"/>
      <c r="O417" s="70"/>
    </row>
    <row r="418" spans="1:15" x14ac:dyDescent="0.25">
      <c r="A418" s="37"/>
      <c r="B418" s="37"/>
      <c r="C418" s="70"/>
      <c r="D418" s="37"/>
      <c r="E418" s="70"/>
      <c r="F418" s="70"/>
      <c r="G418" s="37"/>
      <c r="H418" s="70"/>
      <c r="I418" s="70"/>
      <c r="J418" s="37"/>
      <c r="K418" s="70"/>
      <c r="L418" s="70"/>
      <c r="M418" s="70"/>
      <c r="N418" s="70"/>
      <c r="O418" s="70"/>
    </row>
    <row r="419" spans="1:15" x14ac:dyDescent="0.25">
      <c r="A419" s="37"/>
      <c r="B419" s="37"/>
      <c r="C419" s="70"/>
      <c r="D419" s="37"/>
      <c r="E419" s="70"/>
      <c r="F419" s="70"/>
      <c r="G419" s="37"/>
      <c r="H419" s="70"/>
      <c r="I419" s="70"/>
      <c r="J419" s="37"/>
      <c r="K419" s="70"/>
      <c r="L419" s="70"/>
      <c r="M419" s="70"/>
      <c r="N419" s="70"/>
      <c r="O419" s="70"/>
    </row>
    <row r="420" spans="1:15" x14ac:dyDescent="0.25">
      <c r="A420" s="37"/>
      <c r="B420" s="37"/>
      <c r="C420" s="70"/>
      <c r="D420" s="37"/>
      <c r="E420" s="70"/>
      <c r="F420" s="70"/>
      <c r="G420" s="37"/>
      <c r="H420" s="70"/>
      <c r="I420" s="70"/>
      <c r="J420" s="37"/>
      <c r="K420" s="70"/>
      <c r="L420" s="70"/>
      <c r="M420" s="70"/>
      <c r="N420" s="70"/>
      <c r="O420" s="70"/>
    </row>
    <row r="421" spans="1:15" x14ac:dyDescent="0.25">
      <c r="A421" s="37"/>
      <c r="B421" s="37"/>
      <c r="C421" s="70"/>
      <c r="D421" s="37"/>
      <c r="E421" s="70"/>
      <c r="F421" s="70"/>
      <c r="G421" s="37"/>
      <c r="H421" s="70"/>
      <c r="I421" s="70"/>
      <c r="J421" s="37"/>
      <c r="K421" s="70"/>
      <c r="L421" s="70"/>
      <c r="M421" s="70"/>
      <c r="N421" s="70"/>
      <c r="O421" s="70"/>
    </row>
    <row r="422" spans="1:15" x14ac:dyDescent="0.25">
      <c r="A422" s="37"/>
      <c r="B422" s="37"/>
      <c r="C422" s="70"/>
      <c r="D422" s="37"/>
      <c r="E422" s="70"/>
      <c r="F422" s="70"/>
      <c r="G422" s="37"/>
      <c r="H422" s="70"/>
      <c r="I422" s="70"/>
      <c r="J422" s="37"/>
      <c r="K422" s="70"/>
      <c r="L422" s="70"/>
      <c r="M422" s="70"/>
      <c r="N422" s="70"/>
      <c r="O422" s="70"/>
    </row>
    <row r="423" spans="1:15" x14ac:dyDescent="0.25">
      <c r="A423" s="37"/>
      <c r="B423" s="37"/>
      <c r="C423" s="70"/>
      <c r="D423" s="37"/>
      <c r="E423" s="70"/>
      <c r="F423" s="70"/>
      <c r="G423" s="37"/>
      <c r="H423" s="70"/>
      <c r="I423" s="70"/>
      <c r="J423" s="37"/>
      <c r="K423" s="70"/>
      <c r="L423" s="70"/>
      <c r="M423" s="70"/>
      <c r="N423" s="70"/>
      <c r="O423" s="70"/>
    </row>
    <row r="424" spans="1:15" x14ac:dyDescent="0.25">
      <c r="A424" s="37"/>
      <c r="B424" s="37"/>
      <c r="C424" s="70"/>
      <c r="D424" s="37"/>
      <c r="E424" s="70"/>
      <c r="F424" s="70"/>
      <c r="G424" s="37"/>
      <c r="H424" s="70"/>
      <c r="I424" s="70"/>
      <c r="J424" s="37"/>
      <c r="K424" s="70"/>
      <c r="L424" s="70"/>
      <c r="M424" s="70"/>
      <c r="N424" s="70"/>
      <c r="O424" s="70"/>
    </row>
    <row r="425" spans="1:15" x14ac:dyDescent="0.25">
      <c r="A425" s="37"/>
      <c r="B425" s="37"/>
      <c r="C425" s="70"/>
      <c r="D425" s="37"/>
      <c r="E425" s="70"/>
      <c r="F425" s="70"/>
      <c r="G425" s="37"/>
      <c r="H425" s="70"/>
      <c r="I425" s="70"/>
      <c r="J425" s="37"/>
      <c r="K425" s="70"/>
      <c r="L425" s="70"/>
      <c r="M425" s="70"/>
      <c r="N425" s="70"/>
      <c r="O425" s="70"/>
    </row>
    <row r="426" spans="1:15" x14ac:dyDescent="0.25">
      <c r="A426" s="37"/>
      <c r="B426" s="37"/>
      <c r="C426" s="70"/>
      <c r="D426" s="37"/>
      <c r="E426" s="70"/>
      <c r="F426" s="70"/>
      <c r="G426" s="37"/>
      <c r="H426" s="70"/>
      <c r="I426" s="70"/>
      <c r="J426" s="37"/>
      <c r="K426" s="70"/>
      <c r="L426" s="70"/>
      <c r="M426" s="70"/>
      <c r="N426" s="70"/>
      <c r="O426" s="70"/>
    </row>
    <row r="427" spans="1:15" x14ac:dyDescent="0.25">
      <c r="A427" s="37"/>
      <c r="B427" s="37"/>
      <c r="C427" s="70"/>
      <c r="D427" s="37"/>
      <c r="E427" s="70"/>
      <c r="F427" s="70"/>
      <c r="G427" s="37"/>
      <c r="H427" s="70"/>
      <c r="I427" s="70"/>
      <c r="J427" s="37"/>
      <c r="K427" s="70"/>
      <c r="L427" s="70"/>
      <c r="M427" s="70"/>
      <c r="N427" s="70"/>
      <c r="O427" s="70"/>
    </row>
    <row r="428" spans="1:15" x14ac:dyDescent="0.25">
      <c r="A428" s="37"/>
      <c r="B428" s="37"/>
      <c r="C428" s="70"/>
      <c r="D428" s="37"/>
      <c r="E428" s="70"/>
      <c r="F428" s="70"/>
      <c r="G428" s="37"/>
      <c r="H428" s="70"/>
      <c r="I428" s="70"/>
      <c r="J428" s="37"/>
      <c r="K428" s="70"/>
      <c r="L428" s="70"/>
      <c r="M428" s="70"/>
      <c r="N428" s="70"/>
      <c r="O428" s="70"/>
    </row>
    <row r="429" spans="1:15" x14ac:dyDescent="0.25">
      <c r="A429" s="37"/>
      <c r="B429" s="37"/>
      <c r="C429" s="70"/>
      <c r="D429" s="37"/>
      <c r="E429" s="70"/>
      <c r="F429" s="70"/>
      <c r="G429" s="37"/>
      <c r="H429" s="70"/>
      <c r="I429" s="70"/>
      <c r="J429" s="37"/>
      <c r="K429" s="70"/>
      <c r="L429" s="70"/>
      <c r="M429" s="70"/>
      <c r="N429" s="70"/>
      <c r="O429" s="70"/>
    </row>
    <row r="430" spans="1:15" x14ac:dyDescent="0.25">
      <c r="A430" s="37"/>
      <c r="B430" s="37"/>
      <c r="C430" s="70"/>
      <c r="D430" s="37"/>
      <c r="E430" s="70"/>
      <c r="F430" s="70"/>
      <c r="G430" s="37"/>
      <c r="H430" s="70"/>
      <c r="I430" s="70"/>
      <c r="J430" s="37"/>
      <c r="K430" s="70"/>
      <c r="L430" s="70"/>
      <c r="M430" s="70"/>
      <c r="N430" s="70"/>
      <c r="O430" s="70"/>
    </row>
    <row r="431" spans="1:15" x14ac:dyDescent="0.25">
      <c r="A431" s="37"/>
      <c r="B431" s="37"/>
      <c r="C431" s="70"/>
      <c r="D431" s="37"/>
      <c r="E431" s="70"/>
      <c r="F431" s="70"/>
      <c r="G431" s="37"/>
      <c r="H431" s="70"/>
      <c r="I431" s="70"/>
      <c r="J431" s="37"/>
      <c r="K431" s="70"/>
      <c r="L431" s="70"/>
      <c r="M431" s="70"/>
      <c r="N431" s="70"/>
      <c r="O431" s="70"/>
    </row>
    <row r="432" spans="1:15" x14ac:dyDescent="0.25">
      <c r="A432" s="37"/>
      <c r="B432" s="37"/>
      <c r="C432" s="70"/>
      <c r="D432" s="37"/>
      <c r="E432" s="70"/>
      <c r="F432" s="70"/>
      <c r="G432" s="37"/>
      <c r="H432" s="70"/>
      <c r="I432" s="70"/>
      <c r="J432" s="37"/>
      <c r="K432" s="70"/>
      <c r="L432" s="70"/>
      <c r="M432" s="70"/>
      <c r="N432" s="70"/>
      <c r="O432" s="70"/>
    </row>
    <row r="433" spans="1:15" x14ac:dyDescent="0.25">
      <c r="A433" s="37"/>
      <c r="B433" s="37"/>
      <c r="C433" s="70"/>
      <c r="D433" s="37"/>
      <c r="E433" s="70"/>
      <c r="F433" s="70"/>
      <c r="G433" s="37"/>
      <c r="H433" s="70"/>
      <c r="I433" s="70"/>
      <c r="J433" s="37"/>
      <c r="K433" s="70"/>
      <c r="L433" s="70"/>
      <c r="M433" s="70"/>
      <c r="N433" s="70"/>
      <c r="O433" s="70"/>
    </row>
    <row r="434" spans="1:15" x14ac:dyDescent="0.25">
      <c r="A434" s="37"/>
      <c r="B434" s="37"/>
      <c r="C434" s="70"/>
      <c r="D434" s="37"/>
      <c r="E434" s="70"/>
      <c r="F434" s="70"/>
      <c r="G434" s="37"/>
      <c r="H434" s="70"/>
      <c r="I434" s="70"/>
      <c r="J434" s="37"/>
      <c r="K434" s="70"/>
      <c r="L434" s="70"/>
      <c r="M434" s="70"/>
      <c r="N434" s="70"/>
      <c r="O434" s="70"/>
    </row>
    <row r="435" spans="1:15" x14ac:dyDescent="0.25">
      <c r="A435" s="37"/>
      <c r="B435" s="37"/>
      <c r="C435" s="70"/>
      <c r="D435" s="37"/>
      <c r="E435" s="70"/>
      <c r="F435" s="70"/>
      <c r="G435" s="37"/>
      <c r="H435" s="70"/>
      <c r="I435" s="70"/>
      <c r="J435" s="37"/>
      <c r="K435" s="70"/>
      <c r="L435" s="70"/>
      <c r="M435" s="70"/>
      <c r="N435" s="70"/>
      <c r="O435" s="70"/>
    </row>
    <row r="436" spans="1:15" x14ac:dyDescent="0.25">
      <c r="A436" s="37"/>
      <c r="B436" s="37"/>
      <c r="C436" s="70"/>
      <c r="D436" s="37"/>
      <c r="E436" s="70"/>
      <c r="F436" s="70"/>
      <c r="G436" s="37"/>
      <c r="H436" s="70"/>
      <c r="I436" s="70"/>
      <c r="J436" s="37"/>
      <c r="K436" s="70"/>
      <c r="L436" s="70"/>
      <c r="M436" s="70"/>
      <c r="N436" s="70"/>
      <c r="O436" s="70"/>
    </row>
    <row r="437" spans="1:15" x14ac:dyDescent="0.25">
      <c r="A437" s="37"/>
      <c r="B437" s="37"/>
      <c r="C437" s="70"/>
      <c r="D437" s="37"/>
      <c r="E437" s="70"/>
      <c r="F437" s="70"/>
      <c r="G437" s="37"/>
      <c r="H437" s="70"/>
      <c r="I437" s="70"/>
      <c r="J437" s="37"/>
      <c r="K437" s="70"/>
      <c r="L437" s="70"/>
      <c r="M437" s="70"/>
      <c r="N437" s="70"/>
      <c r="O437" s="70"/>
    </row>
    <row r="438" spans="1:15" x14ac:dyDescent="0.25">
      <c r="A438" s="37"/>
      <c r="B438" s="37"/>
      <c r="C438" s="70"/>
      <c r="D438" s="37"/>
      <c r="E438" s="70"/>
      <c r="F438" s="70"/>
      <c r="G438" s="37"/>
      <c r="H438" s="70"/>
      <c r="I438" s="70"/>
      <c r="J438" s="37"/>
      <c r="K438" s="70"/>
      <c r="L438" s="70"/>
      <c r="M438" s="70"/>
      <c r="N438" s="70"/>
      <c r="O438" s="70"/>
    </row>
    <row r="439" spans="1:15" x14ac:dyDescent="0.25">
      <c r="A439" s="37"/>
      <c r="B439" s="37"/>
      <c r="C439" s="70"/>
      <c r="D439" s="37"/>
      <c r="E439" s="70"/>
      <c r="F439" s="70"/>
      <c r="G439" s="37"/>
      <c r="H439" s="70"/>
      <c r="I439" s="70"/>
      <c r="J439" s="37"/>
      <c r="K439" s="70"/>
      <c r="L439" s="70"/>
      <c r="M439" s="70"/>
      <c r="N439" s="70"/>
      <c r="O439" s="70"/>
    </row>
    <row r="440" spans="1:15" x14ac:dyDescent="0.25">
      <c r="A440" s="37"/>
      <c r="B440" s="37"/>
      <c r="C440" s="70"/>
      <c r="D440" s="37"/>
      <c r="E440" s="70"/>
      <c r="F440" s="70"/>
      <c r="G440" s="37"/>
      <c r="H440" s="70"/>
      <c r="I440" s="70"/>
      <c r="J440" s="37"/>
      <c r="K440" s="70"/>
      <c r="L440" s="70"/>
      <c r="M440" s="70"/>
      <c r="N440" s="70"/>
      <c r="O440" s="70"/>
    </row>
    <row r="441" spans="1:15" x14ac:dyDescent="0.25">
      <c r="A441" s="37"/>
      <c r="B441" s="37"/>
      <c r="C441" s="70"/>
      <c r="D441" s="37"/>
      <c r="E441" s="70"/>
      <c r="F441" s="70"/>
      <c r="G441" s="37"/>
      <c r="H441" s="70"/>
      <c r="I441" s="70"/>
      <c r="J441" s="37"/>
      <c r="K441" s="70"/>
      <c r="L441" s="70"/>
      <c r="M441" s="70"/>
      <c r="N441" s="70"/>
      <c r="O441" s="70"/>
    </row>
    <row r="442" spans="1:15" x14ac:dyDescent="0.25">
      <c r="A442" s="37"/>
      <c r="B442" s="37"/>
      <c r="C442" s="70"/>
      <c r="D442" s="37"/>
      <c r="E442" s="70"/>
      <c r="F442" s="70"/>
      <c r="G442" s="37"/>
      <c r="H442" s="70"/>
      <c r="I442" s="70"/>
      <c r="J442" s="37"/>
      <c r="K442" s="70"/>
      <c r="L442" s="70"/>
      <c r="M442" s="70"/>
      <c r="N442" s="70"/>
      <c r="O442" s="70"/>
    </row>
    <row r="443" spans="1:15" x14ac:dyDescent="0.25">
      <c r="A443" s="37"/>
      <c r="B443" s="37"/>
      <c r="C443" s="70"/>
      <c r="D443" s="37"/>
      <c r="E443" s="70"/>
      <c r="F443" s="70"/>
      <c r="G443" s="37"/>
      <c r="H443" s="70"/>
      <c r="I443" s="70"/>
      <c r="J443" s="37"/>
      <c r="K443" s="70"/>
      <c r="L443" s="70"/>
      <c r="M443" s="70"/>
      <c r="N443" s="70"/>
      <c r="O443" s="70"/>
    </row>
    <row r="444" spans="1:15" x14ac:dyDescent="0.25">
      <c r="A444" s="37"/>
      <c r="B444" s="37"/>
      <c r="C444" s="70"/>
      <c r="D444" s="37"/>
      <c r="E444" s="70"/>
      <c r="F444" s="70"/>
      <c r="G444" s="37"/>
      <c r="H444" s="70"/>
      <c r="I444" s="70"/>
      <c r="J444" s="37"/>
      <c r="K444" s="70"/>
      <c r="L444" s="70"/>
      <c r="M444" s="70"/>
      <c r="N444" s="70"/>
      <c r="O444" s="70"/>
    </row>
    <row r="445" spans="1:15" x14ac:dyDescent="0.25">
      <c r="A445" s="37"/>
      <c r="B445" s="37"/>
      <c r="C445" s="70"/>
      <c r="D445" s="37"/>
      <c r="E445" s="70"/>
      <c r="F445" s="70"/>
      <c r="G445" s="37"/>
      <c r="H445" s="70"/>
      <c r="I445" s="70"/>
      <c r="J445" s="37"/>
      <c r="K445" s="70"/>
      <c r="L445" s="70"/>
      <c r="M445" s="70"/>
      <c r="N445" s="70"/>
      <c r="O445" s="70"/>
    </row>
    <row r="446" spans="1:15" x14ac:dyDescent="0.25">
      <c r="A446" s="37"/>
      <c r="B446" s="37"/>
      <c r="C446" s="70"/>
      <c r="D446" s="37"/>
      <c r="E446" s="70"/>
      <c r="F446" s="70"/>
      <c r="G446" s="37"/>
      <c r="H446" s="70"/>
      <c r="I446" s="70"/>
      <c r="J446" s="37"/>
      <c r="K446" s="70"/>
      <c r="L446" s="70"/>
      <c r="M446" s="70"/>
      <c r="N446" s="70"/>
      <c r="O446" s="70"/>
    </row>
    <row r="447" spans="1:15" x14ac:dyDescent="0.25">
      <c r="A447" s="37"/>
      <c r="B447" s="37"/>
      <c r="C447" s="70"/>
      <c r="D447" s="37"/>
      <c r="E447" s="70"/>
      <c r="F447" s="70"/>
      <c r="G447" s="37"/>
      <c r="H447" s="70"/>
      <c r="I447" s="70"/>
      <c r="J447" s="37"/>
      <c r="K447" s="70"/>
      <c r="L447" s="70"/>
      <c r="M447" s="70"/>
      <c r="N447" s="70"/>
      <c r="O447" s="70"/>
    </row>
    <row r="448" spans="1:15" x14ac:dyDescent="0.25">
      <c r="A448" s="37"/>
      <c r="B448" s="37"/>
      <c r="C448" s="70"/>
      <c r="D448" s="37"/>
      <c r="E448" s="70"/>
      <c r="F448" s="70"/>
      <c r="G448" s="37"/>
      <c r="H448" s="70"/>
      <c r="I448" s="70"/>
      <c r="J448" s="37"/>
      <c r="K448" s="70"/>
      <c r="L448" s="70"/>
      <c r="M448" s="70"/>
      <c r="N448" s="70"/>
      <c r="O448" s="70"/>
    </row>
    <row r="449" spans="1:15" x14ac:dyDescent="0.25">
      <c r="A449" s="37"/>
      <c r="B449" s="37"/>
      <c r="C449" s="70"/>
      <c r="D449" s="37"/>
      <c r="E449" s="70"/>
      <c r="F449" s="70"/>
      <c r="G449" s="37"/>
      <c r="H449" s="70"/>
      <c r="I449" s="70"/>
      <c r="J449" s="37"/>
      <c r="K449" s="70"/>
      <c r="L449" s="70"/>
      <c r="M449" s="70"/>
      <c r="N449" s="70"/>
      <c r="O449" s="70"/>
    </row>
    <row r="450" spans="1:15" x14ac:dyDescent="0.25">
      <c r="A450" s="37"/>
      <c r="B450" s="37"/>
      <c r="C450" s="70"/>
      <c r="D450" s="37"/>
      <c r="E450" s="70"/>
      <c r="F450" s="70"/>
      <c r="G450" s="37"/>
      <c r="H450" s="70"/>
      <c r="I450" s="70"/>
      <c r="J450" s="37"/>
      <c r="K450" s="70"/>
      <c r="L450" s="70"/>
      <c r="M450" s="70"/>
      <c r="N450" s="70"/>
      <c r="O450" s="70"/>
    </row>
    <row r="451" spans="1:15" x14ac:dyDescent="0.25">
      <c r="A451" s="37"/>
      <c r="B451" s="37"/>
      <c r="C451" s="70"/>
      <c r="D451" s="37"/>
      <c r="E451" s="70"/>
      <c r="F451" s="70"/>
      <c r="G451" s="37"/>
      <c r="H451" s="70"/>
      <c r="I451" s="70"/>
      <c r="J451" s="37"/>
      <c r="K451" s="70"/>
      <c r="L451" s="70"/>
      <c r="M451" s="70"/>
      <c r="N451" s="70"/>
      <c r="O451" s="70"/>
    </row>
    <row r="452" spans="1:15" x14ac:dyDescent="0.25">
      <c r="A452" s="37"/>
      <c r="B452" s="37"/>
      <c r="C452" s="70"/>
      <c r="D452" s="37"/>
      <c r="E452" s="70"/>
      <c r="F452" s="70"/>
      <c r="G452" s="37"/>
      <c r="H452" s="70"/>
      <c r="I452" s="70"/>
      <c r="J452" s="37"/>
      <c r="K452" s="70"/>
      <c r="L452" s="70"/>
      <c r="M452" s="70"/>
      <c r="N452" s="70"/>
      <c r="O452" s="70"/>
    </row>
    <row r="453" spans="1:15" x14ac:dyDescent="0.25">
      <c r="A453" s="37"/>
      <c r="B453" s="37"/>
      <c r="C453" s="70"/>
      <c r="D453" s="37"/>
      <c r="E453" s="70"/>
      <c r="F453" s="70"/>
      <c r="G453" s="37"/>
      <c r="H453" s="70"/>
      <c r="I453" s="70"/>
      <c r="J453" s="37"/>
      <c r="K453" s="70"/>
      <c r="L453" s="70"/>
      <c r="M453" s="70"/>
      <c r="N453" s="70"/>
      <c r="O453" s="70"/>
    </row>
    <row r="454" spans="1:15" x14ac:dyDescent="0.25">
      <c r="A454" s="37"/>
      <c r="B454" s="37"/>
      <c r="C454" s="70"/>
      <c r="D454" s="37"/>
      <c r="E454" s="70"/>
      <c r="F454" s="70"/>
      <c r="G454" s="37"/>
      <c r="H454" s="70"/>
      <c r="I454" s="70"/>
      <c r="J454" s="37"/>
      <c r="K454" s="70"/>
      <c r="L454" s="70"/>
      <c r="M454" s="70"/>
      <c r="N454" s="70"/>
      <c r="O454" s="70"/>
    </row>
    <row r="455" spans="1:15" x14ac:dyDescent="0.25">
      <c r="A455" s="37"/>
      <c r="B455" s="37"/>
      <c r="C455" s="70"/>
      <c r="D455" s="37"/>
      <c r="E455" s="70"/>
      <c r="F455" s="70"/>
      <c r="G455" s="37"/>
      <c r="H455" s="70"/>
      <c r="I455" s="70"/>
      <c r="J455" s="37"/>
      <c r="K455" s="70"/>
      <c r="L455" s="70"/>
      <c r="M455" s="70"/>
      <c r="N455" s="70"/>
      <c r="O455" s="70"/>
    </row>
    <row r="456" spans="1:15" x14ac:dyDescent="0.25">
      <c r="A456" s="37"/>
      <c r="B456" s="37"/>
      <c r="C456" s="70"/>
      <c r="D456" s="37"/>
      <c r="E456" s="70"/>
      <c r="F456" s="70"/>
      <c r="G456" s="37"/>
      <c r="H456" s="70"/>
      <c r="I456" s="70"/>
      <c r="J456" s="37"/>
      <c r="K456" s="70"/>
      <c r="L456" s="70"/>
      <c r="M456" s="70"/>
      <c r="N456" s="70"/>
      <c r="O456" s="70"/>
    </row>
    <row r="457" spans="1:15" x14ac:dyDescent="0.25">
      <c r="A457" s="37"/>
      <c r="B457" s="37"/>
      <c r="C457" s="70"/>
      <c r="D457" s="37"/>
      <c r="E457" s="70"/>
      <c r="F457" s="70"/>
      <c r="G457" s="37"/>
      <c r="H457" s="70"/>
      <c r="I457" s="70"/>
      <c r="J457" s="37"/>
      <c r="K457" s="70"/>
      <c r="L457" s="70"/>
      <c r="M457" s="70"/>
      <c r="N457" s="70"/>
      <c r="O457" s="70"/>
    </row>
    <row r="458" spans="1:15" x14ac:dyDescent="0.25">
      <c r="A458" s="37"/>
      <c r="B458" s="37"/>
      <c r="C458" s="70"/>
      <c r="D458" s="37"/>
      <c r="E458" s="70"/>
      <c r="F458" s="70"/>
      <c r="G458" s="37"/>
      <c r="H458" s="70"/>
      <c r="I458" s="70"/>
      <c r="J458" s="37"/>
      <c r="K458" s="70"/>
      <c r="L458" s="70"/>
      <c r="M458" s="70"/>
      <c r="N458" s="70"/>
      <c r="O458" s="70"/>
    </row>
    <row r="459" spans="1:15" x14ac:dyDescent="0.25">
      <c r="A459" s="37"/>
      <c r="B459" s="37"/>
      <c r="C459" s="70"/>
      <c r="D459" s="37"/>
      <c r="E459" s="70"/>
      <c r="F459" s="70"/>
      <c r="G459" s="37"/>
      <c r="H459" s="70"/>
      <c r="I459" s="70"/>
      <c r="J459" s="37"/>
      <c r="K459" s="70"/>
      <c r="L459" s="70"/>
      <c r="M459" s="70"/>
      <c r="N459" s="70"/>
      <c r="O459" s="70"/>
    </row>
    <row r="460" spans="1:15" x14ac:dyDescent="0.25">
      <c r="A460" s="37"/>
      <c r="B460" s="37"/>
      <c r="C460" s="70"/>
      <c r="D460" s="37"/>
      <c r="E460" s="70"/>
      <c r="F460" s="70"/>
      <c r="G460" s="37"/>
      <c r="H460" s="70"/>
      <c r="I460" s="70"/>
      <c r="J460" s="37"/>
      <c r="K460" s="70"/>
      <c r="L460" s="70"/>
      <c r="M460" s="70"/>
      <c r="N460" s="70"/>
      <c r="O460" s="70"/>
    </row>
    <row r="461" spans="1:15" x14ac:dyDescent="0.25">
      <c r="A461" s="37"/>
      <c r="B461" s="37"/>
      <c r="C461" s="70"/>
      <c r="D461" s="37"/>
      <c r="E461" s="70"/>
      <c r="F461" s="70"/>
      <c r="G461" s="37"/>
      <c r="H461" s="70"/>
      <c r="I461" s="70"/>
      <c r="J461" s="37"/>
      <c r="K461" s="70"/>
      <c r="L461" s="70"/>
      <c r="M461" s="70"/>
      <c r="N461" s="70"/>
      <c r="O461" s="70"/>
    </row>
    <row r="462" spans="1:15" x14ac:dyDescent="0.25">
      <c r="A462" s="37"/>
      <c r="B462" s="37"/>
      <c r="C462" s="70"/>
      <c r="D462" s="37"/>
      <c r="E462" s="70"/>
      <c r="F462" s="70"/>
      <c r="G462" s="37"/>
      <c r="H462" s="70"/>
      <c r="I462" s="70"/>
      <c r="J462" s="37"/>
      <c r="K462" s="70"/>
      <c r="L462" s="70"/>
      <c r="M462" s="70"/>
      <c r="N462" s="70"/>
      <c r="O462" s="70"/>
    </row>
    <row r="463" spans="1:15" x14ac:dyDescent="0.25">
      <c r="A463" s="37"/>
      <c r="B463" s="37"/>
      <c r="C463" s="70"/>
      <c r="D463" s="37"/>
      <c r="E463" s="70"/>
      <c r="F463" s="70"/>
      <c r="G463" s="37"/>
      <c r="H463" s="70"/>
      <c r="I463" s="70"/>
      <c r="J463" s="37"/>
      <c r="K463" s="70"/>
      <c r="L463" s="70"/>
      <c r="M463" s="70"/>
      <c r="N463" s="70"/>
      <c r="O463" s="70"/>
    </row>
    <row r="464" spans="1:15" x14ac:dyDescent="0.25">
      <c r="A464" s="37"/>
      <c r="B464" s="37"/>
      <c r="C464" s="70"/>
      <c r="D464" s="37"/>
      <c r="E464" s="70"/>
      <c r="F464" s="70"/>
      <c r="G464" s="37"/>
      <c r="H464" s="70"/>
      <c r="I464" s="70"/>
      <c r="J464" s="37"/>
      <c r="K464" s="70"/>
      <c r="L464" s="70"/>
      <c r="M464" s="70"/>
      <c r="N464" s="70"/>
      <c r="O464" s="70"/>
    </row>
    <row r="465" spans="1:15" x14ac:dyDescent="0.25">
      <c r="A465" s="37"/>
      <c r="B465" s="37"/>
      <c r="C465" s="70"/>
      <c r="D465" s="37"/>
      <c r="E465" s="70"/>
      <c r="F465" s="70"/>
      <c r="G465" s="37"/>
      <c r="H465" s="70"/>
      <c r="I465" s="70"/>
      <c r="J465" s="37"/>
      <c r="K465" s="70"/>
      <c r="L465" s="70"/>
      <c r="M465" s="70"/>
      <c r="N465" s="70"/>
      <c r="O465" s="70"/>
    </row>
    <row r="466" spans="1:15" x14ac:dyDescent="0.25">
      <c r="A466" s="37"/>
      <c r="B466" s="37"/>
      <c r="C466" s="70"/>
      <c r="D466" s="37"/>
      <c r="E466" s="70"/>
      <c r="F466" s="70"/>
      <c r="G466" s="37"/>
      <c r="H466" s="70"/>
      <c r="I466" s="70"/>
      <c r="J466" s="37"/>
      <c r="K466" s="70"/>
      <c r="L466" s="70"/>
      <c r="M466" s="70"/>
      <c r="N466" s="70"/>
      <c r="O466" s="70"/>
    </row>
    <row r="467" spans="1:15" x14ac:dyDescent="0.25">
      <c r="A467" s="37"/>
      <c r="B467" s="37"/>
      <c r="C467" s="70"/>
      <c r="D467" s="37"/>
      <c r="E467" s="70"/>
      <c r="F467" s="70"/>
      <c r="G467" s="37"/>
      <c r="H467" s="70"/>
      <c r="I467" s="70"/>
      <c r="J467" s="37"/>
      <c r="K467" s="70"/>
      <c r="L467" s="70"/>
      <c r="M467" s="70"/>
      <c r="N467" s="70"/>
      <c r="O467" s="70"/>
    </row>
    <row r="468" spans="1:15" x14ac:dyDescent="0.25">
      <c r="A468" s="37"/>
      <c r="B468" s="37"/>
      <c r="C468" s="70"/>
      <c r="D468" s="37"/>
      <c r="E468" s="70"/>
      <c r="F468" s="70"/>
      <c r="G468" s="37"/>
      <c r="H468" s="70"/>
      <c r="I468" s="70"/>
      <c r="J468" s="37"/>
      <c r="K468" s="70"/>
      <c r="L468" s="70"/>
      <c r="M468" s="70"/>
      <c r="N468" s="70"/>
      <c r="O468" s="70"/>
    </row>
    <row r="469" spans="1:15" x14ac:dyDescent="0.25">
      <c r="A469" s="37"/>
      <c r="B469" s="37"/>
      <c r="C469" s="70"/>
      <c r="D469" s="37"/>
      <c r="E469" s="70"/>
      <c r="F469" s="70"/>
      <c r="G469" s="37"/>
      <c r="H469" s="70"/>
      <c r="I469" s="70"/>
      <c r="J469" s="37"/>
      <c r="K469" s="70"/>
      <c r="L469" s="70"/>
      <c r="M469" s="70"/>
      <c r="N469" s="70"/>
      <c r="O469" s="70"/>
    </row>
    <row r="470" spans="1:15" x14ac:dyDescent="0.25">
      <c r="A470" s="37"/>
      <c r="B470" s="37"/>
      <c r="C470" s="70"/>
      <c r="D470" s="37"/>
      <c r="E470" s="70"/>
      <c r="F470" s="70"/>
      <c r="G470" s="37"/>
      <c r="H470" s="70"/>
      <c r="I470" s="70"/>
      <c r="J470" s="37"/>
      <c r="K470" s="70"/>
      <c r="L470" s="70"/>
      <c r="M470" s="70"/>
      <c r="N470" s="70"/>
      <c r="O470" s="70"/>
    </row>
    <row r="471" spans="1:15" x14ac:dyDescent="0.25">
      <c r="A471" s="37"/>
      <c r="B471" s="37"/>
      <c r="C471" s="70"/>
      <c r="D471" s="37"/>
      <c r="E471" s="70"/>
      <c r="F471" s="70"/>
      <c r="G471" s="37"/>
      <c r="H471" s="70"/>
      <c r="I471" s="70"/>
      <c r="J471" s="37"/>
      <c r="K471" s="70"/>
      <c r="L471" s="70"/>
      <c r="M471" s="70"/>
      <c r="N471" s="70"/>
      <c r="O471" s="70"/>
    </row>
    <row r="472" spans="1:15" x14ac:dyDescent="0.25">
      <c r="A472" s="37"/>
      <c r="B472" s="37"/>
      <c r="C472" s="70"/>
      <c r="D472" s="37"/>
      <c r="E472" s="70"/>
      <c r="F472" s="70"/>
      <c r="G472" s="37"/>
      <c r="H472" s="70"/>
      <c r="I472" s="70"/>
      <c r="J472" s="37"/>
      <c r="K472" s="70"/>
      <c r="L472" s="70"/>
      <c r="M472" s="70"/>
      <c r="N472" s="70"/>
      <c r="O472" s="70"/>
    </row>
    <row r="473" spans="1:15" x14ac:dyDescent="0.25">
      <c r="A473" s="37"/>
      <c r="B473" s="37"/>
      <c r="C473" s="70"/>
      <c r="D473" s="37"/>
      <c r="E473" s="70"/>
      <c r="F473" s="70"/>
      <c r="G473" s="37"/>
      <c r="H473" s="70"/>
      <c r="I473" s="70"/>
      <c r="J473" s="37"/>
      <c r="K473" s="70"/>
      <c r="L473" s="70"/>
      <c r="M473" s="70"/>
      <c r="N473" s="70"/>
      <c r="O473" s="70"/>
    </row>
    <row r="474" spans="1:15" x14ac:dyDescent="0.25">
      <c r="A474" s="37"/>
      <c r="B474" s="37"/>
      <c r="C474" s="70"/>
      <c r="D474" s="37"/>
      <c r="E474" s="70"/>
      <c r="F474" s="70"/>
      <c r="G474" s="37"/>
      <c r="H474" s="70"/>
      <c r="I474" s="70"/>
      <c r="J474" s="37"/>
      <c r="K474" s="70"/>
      <c r="L474" s="70"/>
      <c r="M474" s="70"/>
      <c r="N474" s="70"/>
      <c r="O474" s="70"/>
    </row>
    <row r="475" spans="1:15" x14ac:dyDescent="0.25">
      <c r="A475" s="37"/>
      <c r="B475" s="37"/>
      <c r="C475" s="70"/>
      <c r="D475" s="37"/>
      <c r="E475" s="70"/>
      <c r="F475" s="70"/>
      <c r="G475" s="37"/>
      <c r="H475" s="70"/>
      <c r="I475" s="70"/>
      <c r="J475" s="37"/>
      <c r="K475" s="70"/>
      <c r="L475" s="70"/>
      <c r="M475" s="70"/>
      <c r="N475" s="70"/>
      <c r="O475" s="70"/>
    </row>
    <row r="476" spans="1:15" x14ac:dyDescent="0.25">
      <c r="A476" s="37"/>
      <c r="B476" s="37"/>
      <c r="C476" s="70"/>
      <c r="D476" s="37"/>
      <c r="E476" s="70"/>
      <c r="F476" s="70"/>
      <c r="G476" s="37"/>
      <c r="H476" s="70"/>
      <c r="I476" s="70"/>
      <c r="J476" s="37"/>
      <c r="K476" s="70"/>
      <c r="L476" s="70"/>
      <c r="M476" s="70"/>
      <c r="N476" s="70"/>
      <c r="O476" s="70"/>
    </row>
    <row r="477" spans="1:15" x14ac:dyDescent="0.25">
      <c r="A477" s="37"/>
      <c r="B477" s="37"/>
      <c r="C477" s="70"/>
      <c r="D477" s="37"/>
      <c r="E477" s="70"/>
      <c r="F477" s="70"/>
      <c r="G477" s="37"/>
      <c r="H477" s="70"/>
      <c r="I477" s="70"/>
      <c r="J477" s="37"/>
      <c r="K477" s="70"/>
      <c r="L477" s="70"/>
      <c r="M477" s="70"/>
      <c r="N477" s="70"/>
      <c r="O477" s="70"/>
    </row>
    <row r="478" spans="1:15" x14ac:dyDescent="0.25">
      <c r="A478" s="37"/>
      <c r="B478" s="37"/>
      <c r="C478" s="70"/>
      <c r="D478" s="37"/>
      <c r="E478" s="70"/>
      <c r="F478" s="70"/>
      <c r="G478" s="37"/>
      <c r="H478" s="70"/>
      <c r="I478" s="70"/>
      <c r="J478" s="37"/>
      <c r="K478" s="70"/>
      <c r="L478" s="70"/>
      <c r="M478" s="70"/>
      <c r="N478" s="70"/>
      <c r="O478" s="70"/>
    </row>
    <row r="479" spans="1:15" x14ac:dyDescent="0.25">
      <c r="A479" s="37"/>
      <c r="B479" s="37"/>
      <c r="C479" s="70"/>
      <c r="D479" s="37"/>
      <c r="E479" s="70"/>
      <c r="F479" s="70"/>
      <c r="G479" s="37"/>
      <c r="H479" s="70"/>
      <c r="I479" s="70"/>
      <c r="J479" s="37"/>
      <c r="K479" s="70"/>
      <c r="L479" s="70"/>
      <c r="M479" s="70"/>
      <c r="N479" s="70"/>
      <c r="O479" s="70"/>
    </row>
    <row r="480" spans="1:15" x14ac:dyDescent="0.25">
      <c r="A480" s="37"/>
      <c r="B480" s="37"/>
      <c r="C480" s="70"/>
      <c r="D480" s="37"/>
      <c r="E480" s="70"/>
      <c r="F480" s="70"/>
      <c r="G480" s="37"/>
      <c r="H480" s="70"/>
      <c r="I480" s="70"/>
      <c r="J480" s="37"/>
      <c r="K480" s="70"/>
      <c r="L480" s="70"/>
      <c r="M480" s="70"/>
      <c r="N480" s="70"/>
      <c r="O480" s="70"/>
    </row>
    <row r="481" spans="1:15" x14ac:dyDescent="0.25">
      <c r="A481" s="37"/>
      <c r="B481" s="37"/>
      <c r="C481" s="70"/>
      <c r="D481" s="37"/>
      <c r="E481" s="70"/>
      <c r="F481" s="70"/>
      <c r="G481" s="37"/>
      <c r="H481" s="70"/>
      <c r="I481" s="70"/>
      <c r="J481" s="37"/>
      <c r="K481" s="70"/>
      <c r="L481" s="70"/>
      <c r="M481" s="70"/>
      <c r="N481" s="70"/>
      <c r="O481" s="70"/>
    </row>
    <row r="482" spans="1:15" x14ac:dyDescent="0.25">
      <c r="A482" s="37"/>
      <c r="B482" s="37"/>
      <c r="C482" s="70"/>
      <c r="D482" s="37"/>
      <c r="E482" s="70"/>
      <c r="F482" s="70"/>
      <c r="G482" s="37"/>
      <c r="H482" s="70"/>
      <c r="I482" s="70"/>
      <c r="J482" s="37"/>
      <c r="K482" s="70"/>
      <c r="L482" s="70"/>
      <c r="M482" s="70"/>
      <c r="N482" s="70"/>
      <c r="O482" s="70"/>
    </row>
    <row r="483" spans="1:15" x14ac:dyDescent="0.25">
      <c r="A483" s="37"/>
      <c r="B483" s="37"/>
      <c r="C483" s="70"/>
      <c r="D483" s="37"/>
      <c r="E483" s="70"/>
      <c r="F483" s="70"/>
      <c r="G483" s="37"/>
      <c r="H483" s="70"/>
      <c r="I483" s="70"/>
      <c r="J483" s="37"/>
      <c r="K483" s="70"/>
      <c r="L483" s="70"/>
      <c r="M483" s="70"/>
      <c r="N483" s="70"/>
      <c r="O483" s="70"/>
    </row>
    <row r="484" spans="1:15" x14ac:dyDescent="0.25">
      <c r="A484" s="37"/>
      <c r="B484" s="37"/>
      <c r="C484" s="70"/>
      <c r="D484" s="37"/>
      <c r="E484" s="70"/>
      <c r="F484" s="70"/>
      <c r="G484" s="37"/>
      <c r="H484" s="70"/>
      <c r="I484" s="70"/>
      <c r="J484" s="37"/>
      <c r="K484" s="70"/>
      <c r="L484" s="70"/>
      <c r="M484" s="70"/>
      <c r="N484" s="70"/>
      <c r="O484" s="70"/>
    </row>
    <row r="485" spans="1:15" x14ac:dyDescent="0.25">
      <c r="A485" s="37"/>
      <c r="B485" s="37"/>
      <c r="C485" s="70"/>
      <c r="D485" s="37"/>
      <c r="E485" s="70"/>
      <c r="F485" s="70"/>
      <c r="G485" s="37"/>
      <c r="H485" s="70"/>
      <c r="I485" s="70"/>
      <c r="J485" s="37"/>
      <c r="K485" s="70"/>
      <c r="L485" s="70"/>
      <c r="M485" s="70"/>
      <c r="N485" s="70"/>
      <c r="O485" s="70"/>
    </row>
    <row r="486" spans="1:15" x14ac:dyDescent="0.25">
      <c r="A486" s="37"/>
      <c r="B486" s="37"/>
      <c r="C486" s="70"/>
      <c r="D486" s="37"/>
      <c r="E486" s="70"/>
      <c r="F486" s="70"/>
      <c r="G486" s="37"/>
      <c r="H486" s="70"/>
      <c r="I486" s="70"/>
      <c r="J486" s="37"/>
      <c r="K486" s="70"/>
      <c r="L486" s="70"/>
      <c r="M486" s="70"/>
      <c r="N486" s="70"/>
      <c r="O486" s="70"/>
    </row>
    <row r="487" spans="1:15" x14ac:dyDescent="0.25">
      <c r="A487" s="37"/>
      <c r="B487" s="37"/>
      <c r="C487" s="70"/>
      <c r="D487" s="37"/>
      <c r="E487" s="70"/>
      <c r="F487" s="70"/>
      <c r="G487" s="37"/>
      <c r="H487" s="70"/>
      <c r="I487" s="70"/>
      <c r="J487" s="37"/>
      <c r="K487" s="70"/>
      <c r="L487" s="70"/>
      <c r="M487" s="70"/>
      <c r="N487" s="70"/>
      <c r="O487" s="70"/>
    </row>
    <row r="488" spans="1:15" x14ac:dyDescent="0.25">
      <c r="A488" s="37"/>
      <c r="B488" s="37"/>
      <c r="C488" s="70"/>
      <c r="D488" s="37"/>
      <c r="E488" s="70"/>
      <c r="F488" s="70"/>
      <c r="G488" s="37"/>
      <c r="H488" s="70"/>
      <c r="I488" s="70"/>
      <c r="J488" s="37"/>
      <c r="K488" s="70"/>
      <c r="L488" s="70"/>
      <c r="M488" s="70"/>
      <c r="N488" s="70"/>
      <c r="O488" s="70"/>
    </row>
    <row r="489" spans="1:15" x14ac:dyDescent="0.25">
      <c r="A489" s="37"/>
      <c r="B489" s="37"/>
      <c r="C489" s="70"/>
      <c r="D489" s="37"/>
      <c r="E489" s="70"/>
      <c r="F489" s="70"/>
      <c r="G489" s="37"/>
      <c r="H489" s="70"/>
      <c r="I489" s="70"/>
      <c r="J489" s="37"/>
      <c r="K489" s="70"/>
      <c r="L489" s="70"/>
      <c r="M489" s="70"/>
      <c r="N489" s="70"/>
      <c r="O489" s="70"/>
    </row>
    <row r="490" spans="1:15" x14ac:dyDescent="0.25">
      <c r="A490" s="37"/>
      <c r="B490" s="37"/>
      <c r="C490" s="70"/>
      <c r="D490" s="37"/>
      <c r="E490" s="70"/>
      <c r="F490" s="70"/>
      <c r="G490" s="37"/>
      <c r="H490" s="70"/>
      <c r="I490" s="70"/>
      <c r="J490" s="37"/>
      <c r="K490" s="70"/>
      <c r="L490" s="70"/>
      <c r="M490" s="70"/>
      <c r="N490" s="70"/>
      <c r="O490" s="70"/>
    </row>
    <row r="491" spans="1:15" x14ac:dyDescent="0.25">
      <c r="A491" s="37"/>
      <c r="B491" s="37"/>
      <c r="C491" s="70"/>
      <c r="D491" s="37"/>
      <c r="E491" s="70"/>
      <c r="F491" s="70"/>
      <c r="G491" s="37"/>
      <c r="H491" s="70"/>
      <c r="I491" s="70"/>
      <c r="J491" s="37"/>
      <c r="K491" s="70"/>
      <c r="L491" s="70"/>
      <c r="M491" s="70"/>
      <c r="N491" s="70"/>
      <c r="O491" s="70"/>
    </row>
    <row r="492" spans="1:15" x14ac:dyDescent="0.25">
      <c r="A492" s="37"/>
      <c r="B492" s="37"/>
      <c r="C492" s="70"/>
      <c r="D492" s="37"/>
      <c r="E492" s="70"/>
      <c r="F492" s="70"/>
      <c r="G492" s="37"/>
      <c r="H492" s="70"/>
      <c r="I492" s="70"/>
      <c r="J492" s="37"/>
      <c r="K492" s="70"/>
      <c r="L492" s="70"/>
      <c r="M492" s="70"/>
      <c r="N492" s="70"/>
      <c r="O492" s="70"/>
    </row>
    <row r="493" spans="1:15" x14ac:dyDescent="0.25">
      <c r="A493" s="37"/>
      <c r="B493" s="37"/>
      <c r="C493" s="70"/>
      <c r="D493" s="37"/>
      <c r="E493" s="70"/>
      <c r="F493" s="70"/>
      <c r="G493" s="37"/>
      <c r="H493" s="70"/>
      <c r="I493" s="70"/>
      <c r="J493" s="37"/>
      <c r="K493" s="70"/>
      <c r="L493" s="70"/>
      <c r="M493" s="70"/>
      <c r="N493" s="70"/>
      <c r="O493" s="70"/>
    </row>
    <row r="494" spans="1:15" x14ac:dyDescent="0.25">
      <c r="A494" s="37"/>
      <c r="B494" s="37"/>
      <c r="C494" s="70"/>
      <c r="D494" s="37"/>
      <c r="E494" s="70"/>
      <c r="F494" s="70"/>
      <c r="G494" s="37"/>
      <c r="H494" s="70"/>
      <c r="I494" s="70"/>
      <c r="J494" s="37"/>
      <c r="K494" s="70"/>
      <c r="L494" s="70"/>
      <c r="M494" s="70"/>
      <c r="N494" s="70"/>
      <c r="O494" s="70"/>
    </row>
    <row r="495" spans="1:15" x14ac:dyDescent="0.25">
      <c r="A495" s="37"/>
      <c r="B495" s="37"/>
      <c r="C495" s="70"/>
      <c r="D495" s="37"/>
      <c r="E495" s="70"/>
      <c r="F495" s="70"/>
      <c r="G495" s="37"/>
      <c r="H495" s="70"/>
      <c r="I495" s="70"/>
      <c r="J495" s="37"/>
      <c r="K495" s="70"/>
      <c r="L495" s="70"/>
      <c r="M495" s="70"/>
      <c r="N495" s="70"/>
      <c r="O495" s="70"/>
    </row>
    <row r="496" spans="1:15" x14ac:dyDescent="0.25">
      <c r="A496" s="37"/>
      <c r="B496" s="37"/>
      <c r="C496" s="70"/>
      <c r="D496" s="37"/>
      <c r="E496" s="70"/>
      <c r="F496" s="70"/>
      <c r="G496" s="37"/>
      <c r="H496" s="70"/>
      <c r="I496" s="70"/>
      <c r="J496" s="37"/>
      <c r="K496" s="70"/>
      <c r="L496" s="70"/>
      <c r="M496" s="70"/>
      <c r="N496" s="70"/>
      <c r="O496" s="70"/>
    </row>
    <row r="497" spans="1:15" x14ac:dyDescent="0.25">
      <c r="A497" s="37"/>
      <c r="B497" s="37"/>
      <c r="C497" s="70"/>
      <c r="D497" s="37"/>
      <c r="E497" s="70"/>
      <c r="F497" s="70"/>
      <c r="G497" s="37"/>
      <c r="H497" s="70"/>
      <c r="I497" s="70"/>
      <c r="J497" s="37"/>
      <c r="K497" s="70"/>
      <c r="L497" s="70"/>
      <c r="M497" s="70"/>
      <c r="N497" s="70"/>
      <c r="O497" s="70"/>
    </row>
    <row r="498" spans="1:15" x14ac:dyDescent="0.25">
      <c r="A498" s="37"/>
      <c r="B498" s="37"/>
      <c r="C498" s="70"/>
      <c r="D498" s="37"/>
      <c r="E498" s="70"/>
      <c r="F498" s="70"/>
      <c r="G498" s="37"/>
      <c r="H498" s="70"/>
      <c r="I498" s="70"/>
      <c r="J498" s="37"/>
      <c r="K498" s="70"/>
      <c r="L498" s="70"/>
      <c r="M498" s="70"/>
      <c r="N498" s="70"/>
      <c r="O498" s="70"/>
    </row>
    <row r="499" spans="1:15" x14ac:dyDescent="0.25">
      <c r="A499" s="37"/>
      <c r="B499" s="37"/>
      <c r="C499" s="70"/>
      <c r="D499" s="37"/>
      <c r="E499" s="70"/>
      <c r="F499" s="70"/>
      <c r="G499" s="37"/>
      <c r="H499" s="70"/>
      <c r="I499" s="70"/>
      <c r="J499" s="37"/>
      <c r="K499" s="70"/>
      <c r="L499" s="70"/>
      <c r="M499" s="70"/>
      <c r="N499" s="70"/>
      <c r="O499" s="70"/>
    </row>
    <row r="500" spans="1:15" x14ac:dyDescent="0.25">
      <c r="A500" s="37"/>
      <c r="B500" s="37"/>
      <c r="C500" s="70"/>
      <c r="D500" s="37"/>
      <c r="E500" s="70"/>
      <c r="F500" s="70"/>
      <c r="G500" s="37"/>
      <c r="H500" s="70"/>
      <c r="I500" s="70"/>
      <c r="J500" s="37"/>
      <c r="K500" s="70"/>
      <c r="L500" s="70"/>
      <c r="M500" s="70"/>
      <c r="N500" s="70"/>
      <c r="O500" s="70"/>
    </row>
    <row r="501" spans="1:15" x14ac:dyDescent="0.25">
      <c r="A501" s="37"/>
      <c r="B501" s="37"/>
      <c r="C501" s="70"/>
      <c r="D501" s="37"/>
      <c r="E501" s="70"/>
      <c r="F501" s="70"/>
      <c r="G501" s="37"/>
      <c r="H501" s="70"/>
      <c r="I501" s="70"/>
      <c r="J501" s="37"/>
      <c r="K501" s="70"/>
      <c r="L501" s="70"/>
      <c r="M501" s="70"/>
      <c r="N501" s="70"/>
      <c r="O501" s="70"/>
    </row>
    <row r="502" spans="1:15" x14ac:dyDescent="0.25">
      <c r="A502" s="37"/>
      <c r="B502" s="37"/>
      <c r="C502" s="70"/>
      <c r="D502" s="37"/>
      <c r="E502" s="70"/>
      <c r="F502" s="70"/>
      <c r="G502" s="37"/>
      <c r="H502" s="70"/>
      <c r="I502" s="70"/>
      <c r="J502" s="37"/>
      <c r="K502" s="70"/>
      <c r="L502" s="70"/>
      <c r="M502" s="70"/>
      <c r="N502" s="70"/>
      <c r="O502" s="70"/>
    </row>
    <row r="503" spans="1:15" x14ac:dyDescent="0.25">
      <c r="A503" s="37"/>
      <c r="B503" s="37"/>
      <c r="C503" s="70"/>
      <c r="D503" s="37"/>
      <c r="E503" s="70"/>
      <c r="F503" s="70"/>
      <c r="G503" s="37"/>
      <c r="H503" s="70"/>
      <c r="I503" s="70"/>
      <c r="J503" s="37"/>
      <c r="K503" s="70"/>
      <c r="L503" s="70"/>
      <c r="M503" s="70"/>
      <c r="N503" s="70"/>
      <c r="O503" s="70"/>
    </row>
    <row r="504" spans="1:15" x14ac:dyDescent="0.25">
      <c r="A504" s="37"/>
      <c r="B504" s="37"/>
      <c r="C504" s="70"/>
      <c r="D504" s="37"/>
      <c r="E504" s="70"/>
      <c r="F504" s="70"/>
      <c r="G504" s="37"/>
      <c r="H504" s="70"/>
      <c r="I504" s="70"/>
      <c r="J504" s="37"/>
      <c r="K504" s="70"/>
      <c r="L504" s="70"/>
      <c r="M504" s="70"/>
      <c r="N504" s="70"/>
      <c r="O504" s="70"/>
    </row>
    <row r="505" spans="1:15" x14ac:dyDescent="0.25">
      <c r="A505" s="37"/>
      <c r="B505" s="37"/>
      <c r="C505" s="70"/>
      <c r="D505" s="37"/>
      <c r="E505" s="70"/>
      <c r="F505" s="70"/>
      <c r="G505" s="37"/>
      <c r="H505" s="70"/>
      <c r="I505" s="70"/>
      <c r="J505" s="37"/>
      <c r="K505" s="70"/>
      <c r="L505" s="70"/>
      <c r="M505" s="70"/>
      <c r="N505" s="70"/>
      <c r="O505" s="70"/>
    </row>
    <row r="506" spans="1:15" x14ac:dyDescent="0.25">
      <c r="A506" s="37"/>
      <c r="B506" s="37"/>
      <c r="C506" s="70"/>
      <c r="D506" s="37"/>
      <c r="E506" s="70"/>
      <c r="F506" s="70"/>
      <c r="G506" s="37"/>
      <c r="H506" s="70"/>
      <c r="I506" s="70"/>
      <c r="J506" s="37"/>
      <c r="K506" s="70"/>
      <c r="L506" s="70"/>
      <c r="M506" s="70"/>
      <c r="N506" s="70"/>
      <c r="O506" s="70"/>
    </row>
    <row r="507" spans="1:15" x14ac:dyDescent="0.25">
      <c r="A507" s="37"/>
      <c r="B507" s="37"/>
      <c r="C507" s="70"/>
      <c r="D507" s="37"/>
      <c r="E507" s="70"/>
      <c r="F507" s="70"/>
      <c r="G507" s="37"/>
      <c r="H507" s="70"/>
      <c r="I507" s="70"/>
      <c r="J507" s="37"/>
      <c r="K507" s="70"/>
      <c r="L507" s="70"/>
      <c r="M507" s="70"/>
      <c r="N507" s="70"/>
      <c r="O507" s="70"/>
    </row>
    <row r="508" spans="1:15" x14ac:dyDescent="0.25">
      <c r="A508" s="37"/>
      <c r="B508" s="37"/>
      <c r="C508" s="70"/>
      <c r="D508" s="37"/>
      <c r="E508" s="70"/>
      <c r="F508" s="70"/>
      <c r="G508" s="37"/>
      <c r="H508" s="70"/>
      <c r="I508" s="70"/>
      <c r="J508" s="37"/>
      <c r="K508" s="70"/>
      <c r="L508" s="70"/>
      <c r="M508" s="70"/>
      <c r="N508" s="70"/>
      <c r="O508" s="70"/>
    </row>
    <row r="509" spans="1:15" x14ac:dyDescent="0.25">
      <c r="A509" s="37"/>
      <c r="B509" s="37"/>
      <c r="C509" s="70"/>
      <c r="D509" s="37"/>
      <c r="E509" s="70"/>
      <c r="F509" s="70"/>
      <c r="G509" s="37"/>
      <c r="H509" s="70"/>
      <c r="I509" s="70"/>
      <c r="J509" s="37"/>
      <c r="K509" s="70"/>
      <c r="L509" s="70"/>
      <c r="M509" s="70"/>
      <c r="N509" s="70"/>
      <c r="O509" s="70"/>
    </row>
    <row r="510" spans="1:15" x14ac:dyDescent="0.25">
      <c r="A510" s="37"/>
      <c r="B510" s="37"/>
      <c r="C510" s="70"/>
      <c r="D510" s="37"/>
      <c r="E510" s="70"/>
      <c r="F510" s="70"/>
      <c r="G510" s="37"/>
      <c r="H510" s="70"/>
      <c r="I510" s="70"/>
      <c r="J510" s="37"/>
      <c r="K510" s="70"/>
      <c r="L510" s="70"/>
      <c r="M510" s="70"/>
      <c r="N510" s="70"/>
      <c r="O510" s="70"/>
    </row>
    <row r="511" spans="1:15" x14ac:dyDescent="0.25">
      <c r="A511" s="37"/>
      <c r="B511" s="37"/>
      <c r="C511" s="70"/>
      <c r="D511" s="37"/>
      <c r="E511" s="70"/>
      <c r="F511" s="70"/>
      <c r="G511" s="37"/>
      <c r="H511" s="70"/>
      <c r="I511" s="70"/>
      <c r="J511" s="37"/>
      <c r="K511" s="70"/>
      <c r="L511" s="70"/>
      <c r="M511" s="70"/>
      <c r="N511" s="70"/>
      <c r="O511" s="70"/>
    </row>
    <row r="512" spans="1:15" x14ac:dyDescent="0.25">
      <c r="A512" s="37"/>
      <c r="B512" s="37"/>
      <c r="C512" s="70"/>
      <c r="D512" s="37"/>
      <c r="E512" s="70"/>
      <c r="F512" s="70"/>
      <c r="G512" s="37"/>
      <c r="H512" s="70"/>
      <c r="I512" s="70"/>
      <c r="J512" s="37"/>
      <c r="K512" s="70"/>
      <c r="L512" s="70"/>
      <c r="M512" s="70"/>
      <c r="N512" s="70"/>
      <c r="O512" s="70"/>
    </row>
    <row r="513" spans="1:15" x14ac:dyDescent="0.25">
      <c r="A513" s="37"/>
      <c r="B513" s="37"/>
      <c r="C513" s="70"/>
      <c r="D513" s="37"/>
      <c r="E513" s="70"/>
      <c r="F513" s="70"/>
      <c r="G513" s="37"/>
      <c r="H513" s="70"/>
      <c r="I513" s="70"/>
      <c r="J513" s="37"/>
      <c r="K513" s="70"/>
      <c r="L513" s="70"/>
      <c r="M513" s="70"/>
      <c r="N513" s="70"/>
      <c r="O513" s="70"/>
    </row>
    <row r="514" spans="1:15" x14ac:dyDescent="0.25">
      <c r="A514" s="37"/>
      <c r="B514" s="37"/>
      <c r="C514" s="70"/>
      <c r="D514" s="37"/>
      <c r="E514" s="70"/>
      <c r="F514" s="70"/>
      <c r="G514" s="37"/>
      <c r="H514" s="70"/>
      <c r="I514" s="70"/>
      <c r="J514" s="37"/>
      <c r="K514" s="70"/>
      <c r="L514" s="70"/>
      <c r="M514" s="70"/>
      <c r="N514" s="70"/>
      <c r="O514" s="70"/>
    </row>
    <row r="515" spans="1:15" x14ac:dyDescent="0.25">
      <c r="A515" s="37"/>
      <c r="B515" s="37"/>
      <c r="C515" s="70"/>
      <c r="D515" s="37"/>
      <c r="E515" s="70"/>
      <c r="F515" s="70"/>
      <c r="G515" s="37"/>
      <c r="H515" s="70"/>
      <c r="I515" s="70"/>
      <c r="J515" s="37"/>
      <c r="K515" s="70"/>
      <c r="L515" s="70"/>
      <c r="M515" s="70"/>
      <c r="N515" s="70"/>
      <c r="O515" s="70"/>
    </row>
    <row r="516" spans="1:15" x14ac:dyDescent="0.25">
      <c r="A516" s="37"/>
      <c r="B516" s="37"/>
      <c r="C516" s="70"/>
      <c r="D516" s="37"/>
      <c r="E516" s="70"/>
      <c r="F516" s="70"/>
      <c r="G516" s="37"/>
      <c r="H516" s="70"/>
      <c r="I516" s="70"/>
      <c r="J516" s="37"/>
      <c r="K516" s="70"/>
      <c r="L516" s="70"/>
      <c r="M516" s="70"/>
      <c r="N516" s="70"/>
      <c r="O516" s="70"/>
    </row>
    <row r="517" spans="1:15" x14ac:dyDescent="0.25">
      <c r="A517" s="37"/>
      <c r="B517" s="37"/>
      <c r="C517" s="70"/>
      <c r="D517" s="37"/>
      <c r="E517" s="70"/>
      <c r="F517" s="70"/>
      <c r="G517" s="37"/>
      <c r="H517" s="70"/>
      <c r="I517" s="70"/>
      <c r="J517" s="37"/>
      <c r="K517" s="70"/>
      <c r="L517" s="70"/>
      <c r="M517" s="70"/>
      <c r="N517" s="70"/>
      <c r="O517" s="70"/>
    </row>
    <row r="518" spans="1:15" x14ac:dyDescent="0.25">
      <c r="A518" s="37"/>
      <c r="B518" s="37"/>
      <c r="C518" s="70"/>
      <c r="D518" s="37"/>
      <c r="E518" s="70"/>
      <c r="F518" s="70"/>
      <c r="G518" s="37"/>
      <c r="H518" s="70"/>
      <c r="I518" s="70"/>
      <c r="J518" s="37"/>
      <c r="K518" s="70"/>
      <c r="L518" s="70"/>
      <c r="M518" s="70"/>
      <c r="N518" s="70"/>
      <c r="O518" s="70"/>
    </row>
    <row r="519" spans="1:15" x14ac:dyDescent="0.25">
      <c r="A519" s="37"/>
      <c r="B519" s="37"/>
      <c r="C519" s="70"/>
      <c r="D519" s="37"/>
      <c r="E519" s="70"/>
      <c r="F519" s="70"/>
      <c r="G519" s="37"/>
      <c r="H519" s="70"/>
      <c r="I519" s="70"/>
      <c r="J519" s="37"/>
      <c r="K519" s="70"/>
      <c r="L519" s="70"/>
      <c r="M519" s="70"/>
      <c r="N519" s="70"/>
      <c r="O519" s="70"/>
    </row>
    <row r="520" spans="1:15" x14ac:dyDescent="0.25">
      <c r="A520" s="37"/>
      <c r="B520" s="37"/>
      <c r="C520" s="70"/>
      <c r="D520" s="37"/>
      <c r="E520" s="70"/>
      <c r="F520" s="70"/>
      <c r="G520" s="37"/>
      <c r="H520" s="70"/>
      <c r="I520" s="70"/>
      <c r="J520" s="37"/>
      <c r="K520" s="70"/>
      <c r="L520" s="70"/>
      <c r="M520" s="70"/>
      <c r="N520" s="70"/>
      <c r="O520" s="70"/>
    </row>
    <row r="521" spans="1:15" x14ac:dyDescent="0.25">
      <c r="A521" s="37"/>
      <c r="B521" s="37"/>
      <c r="C521" s="70"/>
      <c r="D521" s="37"/>
      <c r="E521" s="70"/>
      <c r="F521" s="70"/>
      <c r="G521" s="37"/>
      <c r="H521" s="70"/>
      <c r="I521" s="70"/>
      <c r="J521" s="37"/>
      <c r="K521" s="70"/>
      <c r="L521" s="70"/>
      <c r="M521" s="70"/>
      <c r="N521" s="70"/>
      <c r="O521" s="70"/>
    </row>
    <row r="522" spans="1:15" x14ac:dyDescent="0.25">
      <c r="A522" s="37"/>
      <c r="B522" s="37"/>
      <c r="C522" s="70"/>
      <c r="D522" s="37"/>
      <c r="E522" s="70"/>
      <c r="F522" s="70"/>
      <c r="G522" s="37"/>
      <c r="H522" s="70"/>
      <c r="I522" s="70"/>
      <c r="J522" s="37"/>
      <c r="K522" s="70"/>
      <c r="L522" s="70"/>
      <c r="M522" s="70"/>
      <c r="N522" s="70"/>
      <c r="O522" s="70"/>
    </row>
    <row r="523" spans="1:15" x14ac:dyDescent="0.25">
      <c r="A523" s="37"/>
      <c r="B523" s="37"/>
      <c r="C523" s="70"/>
      <c r="D523" s="37"/>
      <c r="E523" s="70"/>
      <c r="F523" s="70"/>
      <c r="G523" s="37"/>
      <c r="H523" s="70"/>
      <c r="I523" s="70"/>
      <c r="J523" s="37"/>
      <c r="K523" s="70"/>
      <c r="L523" s="70"/>
      <c r="M523" s="70"/>
      <c r="N523" s="70"/>
      <c r="O523" s="70"/>
    </row>
    <row r="524" spans="1:15" x14ac:dyDescent="0.25">
      <c r="A524" s="37"/>
      <c r="B524" s="37"/>
      <c r="C524" s="70"/>
      <c r="D524" s="37"/>
      <c r="E524" s="70"/>
      <c r="F524" s="70"/>
      <c r="G524" s="37"/>
      <c r="H524" s="70"/>
      <c r="I524" s="70"/>
      <c r="J524" s="37"/>
      <c r="K524" s="70"/>
      <c r="L524" s="70"/>
      <c r="M524" s="70"/>
      <c r="N524" s="70"/>
      <c r="O524" s="70"/>
    </row>
    <row r="525" spans="1:15" x14ac:dyDescent="0.25">
      <c r="A525" s="37"/>
      <c r="B525" s="37"/>
      <c r="C525" s="70"/>
      <c r="D525" s="37"/>
      <c r="E525" s="70"/>
      <c r="F525" s="70"/>
      <c r="G525" s="37"/>
      <c r="H525" s="70"/>
      <c r="I525" s="70"/>
      <c r="J525" s="37"/>
      <c r="K525" s="70"/>
      <c r="L525" s="70"/>
      <c r="M525" s="70"/>
      <c r="N525" s="70"/>
      <c r="O525" s="70"/>
    </row>
    <row r="526" spans="1:15" x14ac:dyDescent="0.25">
      <c r="A526" s="37"/>
      <c r="B526" s="37"/>
      <c r="C526" s="70"/>
      <c r="D526" s="37"/>
      <c r="E526" s="70"/>
      <c r="F526" s="70"/>
      <c r="G526" s="37"/>
      <c r="H526" s="70"/>
      <c r="I526" s="70"/>
      <c r="J526" s="37"/>
      <c r="K526" s="70"/>
      <c r="L526" s="70"/>
      <c r="M526" s="70"/>
      <c r="N526" s="70"/>
      <c r="O526" s="70"/>
    </row>
    <row r="527" spans="1:15" x14ac:dyDescent="0.25">
      <c r="A527" s="37"/>
      <c r="B527" s="37"/>
      <c r="C527" s="70"/>
      <c r="D527" s="37"/>
      <c r="E527" s="70"/>
      <c r="F527" s="70"/>
      <c r="G527" s="37"/>
      <c r="H527" s="70"/>
      <c r="I527" s="70"/>
      <c r="J527" s="37"/>
      <c r="K527" s="70"/>
      <c r="L527" s="70"/>
      <c r="M527" s="70"/>
      <c r="N527" s="70"/>
      <c r="O527" s="70"/>
    </row>
    <row r="528" spans="1:15" x14ac:dyDescent="0.25">
      <c r="A528" s="37"/>
      <c r="B528" s="37"/>
      <c r="C528" s="70"/>
      <c r="D528" s="37"/>
      <c r="E528" s="70"/>
      <c r="F528" s="70"/>
      <c r="G528" s="37"/>
      <c r="H528" s="70"/>
      <c r="I528" s="70"/>
      <c r="J528" s="37"/>
      <c r="K528" s="70"/>
      <c r="L528" s="70"/>
      <c r="M528" s="70"/>
      <c r="N528" s="70"/>
      <c r="O528" s="70"/>
    </row>
    <row r="529" spans="1:15" x14ac:dyDescent="0.25">
      <c r="A529" s="37"/>
      <c r="B529" s="37"/>
      <c r="C529" s="70"/>
      <c r="D529" s="37"/>
      <c r="E529" s="70"/>
      <c r="F529" s="70"/>
      <c r="G529" s="37"/>
      <c r="H529" s="70"/>
      <c r="I529" s="70"/>
      <c r="J529" s="37"/>
      <c r="K529" s="70"/>
      <c r="L529" s="70"/>
      <c r="M529" s="70"/>
      <c r="N529" s="70"/>
      <c r="O529" s="70"/>
    </row>
    <row r="530" spans="1:15" x14ac:dyDescent="0.25">
      <c r="A530" s="37"/>
      <c r="B530" s="37"/>
      <c r="C530" s="70"/>
      <c r="D530" s="37"/>
      <c r="E530" s="70"/>
      <c r="F530" s="70"/>
      <c r="G530" s="37"/>
      <c r="H530" s="70"/>
      <c r="I530" s="70"/>
      <c r="J530" s="37"/>
      <c r="K530" s="70"/>
      <c r="L530" s="70"/>
      <c r="M530" s="70"/>
      <c r="N530" s="70"/>
      <c r="O530" s="70"/>
    </row>
    <row r="531" spans="1:15" x14ac:dyDescent="0.25">
      <c r="A531" s="37"/>
      <c r="B531" s="37"/>
      <c r="C531" s="70"/>
      <c r="D531" s="37"/>
      <c r="E531" s="70"/>
      <c r="F531" s="70"/>
      <c r="G531" s="37"/>
      <c r="H531" s="70"/>
      <c r="I531" s="70"/>
      <c r="J531" s="37"/>
      <c r="K531" s="70"/>
      <c r="L531" s="70"/>
      <c r="M531" s="70"/>
      <c r="N531" s="70"/>
      <c r="O531" s="70"/>
    </row>
    <row r="532" spans="1:15" x14ac:dyDescent="0.25">
      <c r="A532" s="37"/>
      <c r="B532" s="37"/>
      <c r="C532" s="70"/>
      <c r="D532" s="37"/>
      <c r="E532" s="70"/>
      <c r="F532" s="70"/>
      <c r="G532" s="37"/>
      <c r="H532" s="70"/>
      <c r="I532" s="70"/>
      <c r="J532" s="37"/>
      <c r="K532" s="70"/>
      <c r="L532" s="70"/>
      <c r="M532" s="70"/>
      <c r="N532" s="70"/>
      <c r="O532" s="70"/>
    </row>
    <row r="533" spans="1:15" x14ac:dyDescent="0.25">
      <c r="A533" s="37"/>
      <c r="B533" s="37"/>
      <c r="C533" s="70"/>
      <c r="D533" s="37"/>
      <c r="E533" s="70"/>
      <c r="F533" s="70"/>
      <c r="G533" s="37"/>
      <c r="H533" s="70"/>
      <c r="I533" s="70"/>
      <c r="J533" s="37"/>
      <c r="K533" s="70"/>
      <c r="L533" s="70"/>
      <c r="M533" s="70"/>
      <c r="N533" s="70"/>
      <c r="O533" s="70"/>
    </row>
    <row r="534" spans="1:15" x14ac:dyDescent="0.25">
      <c r="A534" s="37"/>
      <c r="B534" s="37"/>
      <c r="C534" s="70"/>
      <c r="D534" s="37"/>
      <c r="E534" s="70"/>
      <c r="F534" s="70"/>
      <c r="G534" s="37"/>
      <c r="H534" s="70"/>
      <c r="I534" s="70"/>
      <c r="J534" s="37"/>
      <c r="K534" s="70"/>
      <c r="L534" s="70"/>
      <c r="M534" s="70"/>
      <c r="N534" s="70"/>
      <c r="O534" s="70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5"/>
  <sheetViews>
    <sheetView topLeftCell="C5" workbookViewId="0">
      <pane ySplit="3" topLeftCell="A62" activePane="bottomLeft" state="frozen"/>
      <selection activeCell="A5" sqref="A5"/>
      <selection pane="bottomLeft" activeCell="L71" sqref="L71"/>
    </sheetView>
  </sheetViews>
  <sheetFormatPr baseColWidth="10" defaultRowHeight="15" x14ac:dyDescent="0.25"/>
  <cols>
    <col min="1" max="1" width="7.7109375" style="7" customWidth="1"/>
    <col min="2" max="2" width="8.7109375" style="7" customWidth="1"/>
    <col min="3" max="3" width="23.7109375" customWidth="1"/>
    <col min="4" max="4" width="7.7109375" style="7" customWidth="1"/>
    <col min="5" max="5" width="8.7109375" customWidth="1"/>
    <col min="6" max="6" width="23.7109375" customWidth="1"/>
    <col min="7" max="7" width="7.7109375" style="7" customWidth="1"/>
    <col min="8" max="8" width="8.7109375" customWidth="1"/>
    <col min="9" max="9" width="23.7109375" customWidth="1"/>
    <col min="10" max="10" width="7.7109375" style="7" customWidth="1"/>
    <col min="11" max="11" width="10.14062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08" t="s">
        <v>10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10" t="s">
        <v>15</v>
      </c>
      <c r="M1" s="110"/>
      <c r="N1" s="6">
        <v>2014</v>
      </c>
      <c r="O1" s="5"/>
    </row>
    <row r="2" spans="1:18" ht="15.75" x14ac:dyDescent="0.25">
      <c r="A2" s="8">
        <v>2013</v>
      </c>
    </row>
    <row r="3" spans="1:18" ht="15.75" x14ac:dyDescent="0.25">
      <c r="A3" s="30" t="s">
        <v>7</v>
      </c>
      <c r="C3" s="116" t="s">
        <v>8</v>
      </c>
      <c r="D3" s="116"/>
      <c r="E3" s="28" t="s">
        <v>9</v>
      </c>
      <c r="F3" s="4" t="e">
        <f>#REF!+#REF!+#REF!+#REF!+#REF!</f>
        <v>#REF!</v>
      </c>
      <c r="H3" s="4" t="s">
        <v>3</v>
      </c>
      <c r="I3" s="2" t="e">
        <f>#REF!+#REF!+#REF!+#REF!+#REF!</f>
        <v>#REF!</v>
      </c>
    </row>
    <row r="5" spans="1:18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3" t="s">
        <v>6</v>
      </c>
      <c r="K5" s="123"/>
      <c r="L5" s="123"/>
      <c r="M5" s="122" t="s">
        <v>17</v>
      </c>
      <c r="N5" s="122"/>
      <c r="O5" s="122"/>
      <c r="Q5" s="117" t="s">
        <v>18</v>
      </c>
      <c r="R5" s="117"/>
    </row>
    <row r="6" spans="1:18" x14ac:dyDescent="0.25">
      <c r="A6" s="9">
        <f>SUBTOTAL(3,A8:A120)</f>
        <v>43</v>
      </c>
      <c r="B6" s="9">
        <f>SUBTOTAL(9,B8:B120)</f>
        <v>21005</v>
      </c>
      <c r="C6" s="47">
        <v>42099</v>
      </c>
      <c r="D6" s="9">
        <f>SUBTOTAL(3,D8:D121)</f>
        <v>55</v>
      </c>
      <c r="E6" s="1">
        <f>SUBTOTAL(9,E8:E121)</f>
        <v>29650</v>
      </c>
      <c r="F6" s="50">
        <v>42106</v>
      </c>
      <c r="G6" s="9">
        <f>SUBTOTAL(3,G8:G120)</f>
        <v>26</v>
      </c>
      <c r="H6" s="1">
        <f>SUBTOTAL(9,H8:H120)</f>
        <v>12540</v>
      </c>
      <c r="I6" s="51">
        <v>42113</v>
      </c>
      <c r="J6" s="9">
        <f>SUBTOTAL(3,J8:J110)</f>
        <v>38</v>
      </c>
      <c r="K6" s="1">
        <f>SUBTOTAL(9,K8:K110)</f>
        <v>37680</v>
      </c>
      <c r="L6" s="75">
        <v>42120</v>
      </c>
      <c r="M6" s="1">
        <f>SUBTOTAL(3,M8:M120)</f>
        <v>0</v>
      </c>
      <c r="N6" s="1">
        <f>SUBTOTAL(9,N8:N120)</f>
        <v>0</v>
      </c>
      <c r="O6" s="98"/>
      <c r="Q6" s="42">
        <f>+A6+D6+G6+J6+M6</f>
        <v>162</v>
      </c>
      <c r="R6" s="41">
        <f>+B6+E6+H6+K6+N6</f>
        <v>100875</v>
      </c>
    </row>
    <row r="7" spans="1:18" x14ac:dyDescent="0.25">
      <c r="A7" s="55" t="s">
        <v>1</v>
      </c>
      <c r="B7" s="55" t="s">
        <v>3</v>
      </c>
      <c r="C7" s="55" t="s">
        <v>2</v>
      </c>
      <c r="D7" s="56" t="s">
        <v>1</v>
      </c>
      <c r="E7" s="56" t="s">
        <v>3</v>
      </c>
      <c r="F7" s="56" t="s">
        <v>2</v>
      </c>
      <c r="G7" s="57" t="s">
        <v>1</v>
      </c>
      <c r="H7" s="57" t="s">
        <v>3</v>
      </c>
      <c r="I7" s="57" t="s">
        <v>2</v>
      </c>
      <c r="J7" s="72" t="s">
        <v>1</v>
      </c>
      <c r="K7" s="72" t="s">
        <v>3</v>
      </c>
      <c r="L7" s="72" t="s">
        <v>2</v>
      </c>
      <c r="M7" s="53" t="s">
        <v>1</v>
      </c>
      <c r="N7" s="53" t="s">
        <v>3</v>
      </c>
      <c r="O7" s="53" t="s">
        <v>2</v>
      </c>
      <c r="P7" s="39"/>
      <c r="Q7" s="54" t="s">
        <v>9</v>
      </c>
      <c r="R7" s="54" t="s">
        <v>3</v>
      </c>
    </row>
    <row r="8" spans="1:18" x14ac:dyDescent="0.25">
      <c r="A8" s="25">
        <v>9209</v>
      </c>
      <c r="B8" s="61">
        <v>200</v>
      </c>
      <c r="C8" s="26" t="s">
        <v>22</v>
      </c>
      <c r="D8" s="20">
        <v>9252</v>
      </c>
      <c r="E8" s="82">
        <v>3600</v>
      </c>
      <c r="F8" s="21" t="s">
        <v>233</v>
      </c>
      <c r="G8" s="17">
        <v>9307</v>
      </c>
      <c r="H8" s="18">
        <v>600</v>
      </c>
      <c r="I8" s="18" t="s">
        <v>229</v>
      </c>
      <c r="J8" s="73">
        <v>9333</v>
      </c>
      <c r="K8" s="83"/>
      <c r="L8" s="74" t="s">
        <v>44</v>
      </c>
      <c r="M8" s="23"/>
      <c r="N8" s="23"/>
      <c r="O8" s="23"/>
      <c r="Q8" s="44"/>
      <c r="R8" s="44"/>
    </row>
    <row r="9" spans="1:18" x14ac:dyDescent="0.25">
      <c r="A9" s="25">
        <v>9210</v>
      </c>
      <c r="B9" s="61">
        <v>200</v>
      </c>
      <c r="C9" s="26" t="s">
        <v>114</v>
      </c>
      <c r="D9" s="20"/>
      <c r="E9" s="21"/>
      <c r="F9" s="21" t="s">
        <v>234</v>
      </c>
      <c r="G9" s="17">
        <v>9308</v>
      </c>
      <c r="H9" s="18">
        <v>300</v>
      </c>
      <c r="I9" s="18"/>
      <c r="J9" s="73">
        <v>9334</v>
      </c>
      <c r="K9" s="83">
        <v>2000</v>
      </c>
      <c r="L9" s="74" t="s">
        <v>187</v>
      </c>
      <c r="M9" s="23"/>
      <c r="N9" s="23"/>
      <c r="O9" s="23"/>
    </row>
    <row r="10" spans="1:18" x14ac:dyDescent="0.25">
      <c r="A10" s="25">
        <v>9211</v>
      </c>
      <c r="B10" s="61">
        <v>300</v>
      </c>
      <c r="C10" s="26" t="s">
        <v>229</v>
      </c>
      <c r="D10" s="20"/>
      <c r="E10" s="21"/>
      <c r="F10" s="21" t="s">
        <v>79</v>
      </c>
      <c r="G10" s="17">
        <v>9309</v>
      </c>
      <c r="H10" s="18">
        <v>160</v>
      </c>
      <c r="I10" s="18" t="s">
        <v>23</v>
      </c>
      <c r="J10" s="73"/>
      <c r="K10" s="83"/>
      <c r="L10" s="74" t="s">
        <v>200</v>
      </c>
      <c r="M10" s="23"/>
      <c r="N10" s="23"/>
      <c r="O10" s="23"/>
    </row>
    <row r="11" spans="1:18" x14ac:dyDescent="0.25">
      <c r="A11" s="25">
        <v>9212</v>
      </c>
      <c r="B11" s="61">
        <v>400</v>
      </c>
      <c r="C11" s="26"/>
      <c r="D11" s="20">
        <v>9253</v>
      </c>
      <c r="E11" s="82"/>
      <c r="F11" s="21" t="s">
        <v>250</v>
      </c>
      <c r="G11" s="17"/>
      <c r="H11" s="18"/>
      <c r="I11" s="18" t="s">
        <v>252</v>
      </c>
      <c r="J11" s="73">
        <v>9335</v>
      </c>
      <c r="K11" s="83">
        <v>400</v>
      </c>
      <c r="L11" s="74"/>
      <c r="M11" s="23"/>
      <c r="N11" s="23"/>
      <c r="O11" s="23"/>
    </row>
    <row r="12" spans="1:18" x14ac:dyDescent="0.25">
      <c r="A12" s="25">
        <v>9213</v>
      </c>
      <c r="B12" s="61">
        <v>800</v>
      </c>
      <c r="C12" s="26" t="s">
        <v>151</v>
      </c>
      <c r="D12" s="20"/>
      <c r="E12" s="82"/>
      <c r="F12" s="21" t="s">
        <v>251</v>
      </c>
      <c r="G12" s="17">
        <v>9310</v>
      </c>
      <c r="H12" s="18">
        <v>400</v>
      </c>
      <c r="I12" s="18"/>
      <c r="J12" s="73">
        <v>9336</v>
      </c>
      <c r="K12" s="83">
        <v>400</v>
      </c>
      <c r="L12" s="74"/>
      <c r="M12" s="23"/>
      <c r="N12" s="23"/>
      <c r="O12" s="23"/>
    </row>
    <row r="13" spans="1:18" x14ac:dyDescent="0.25">
      <c r="A13" s="25"/>
      <c r="B13" s="61"/>
      <c r="C13" s="26" t="s">
        <v>25</v>
      </c>
      <c r="D13" s="20">
        <v>9254</v>
      </c>
      <c r="E13" s="82">
        <v>300</v>
      </c>
      <c r="F13" s="21"/>
      <c r="G13" s="17">
        <v>9311</v>
      </c>
      <c r="H13" s="18">
        <v>560</v>
      </c>
      <c r="I13" s="18" t="s">
        <v>253</v>
      </c>
      <c r="J13" s="73">
        <v>9337</v>
      </c>
      <c r="K13" s="83">
        <v>2200</v>
      </c>
      <c r="L13" s="74" t="s">
        <v>36</v>
      </c>
      <c r="M13" s="23"/>
      <c r="N13" s="23"/>
      <c r="O13" s="23"/>
    </row>
    <row r="14" spans="1:18" x14ac:dyDescent="0.25">
      <c r="A14" s="25">
        <v>9214</v>
      </c>
      <c r="B14" s="61">
        <v>200</v>
      </c>
      <c r="C14" s="26"/>
      <c r="D14" s="20">
        <v>9255</v>
      </c>
      <c r="E14" s="82">
        <v>400</v>
      </c>
      <c r="F14" s="21"/>
      <c r="G14" s="17">
        <v>9312</v>
      </c>
      <c r="H14" s="18">
        <v>300</v>
      </c>
      <c r="I14" s="18"/>
      <c r="J14" s="73"/>
      <c r="K14" s="83"/>
      <c r="L14" s="74" t="s">
        <v>257</v>
      </c>
      <c r="M14" s="23"/>
      <c r="N14" s="23"/>
      <c r="O14" s="43"/>
    </row>
    <row r="15" spans="1:18" x14ac:dyDescent="0.25">
      <c r="A15" s="25">
        <v>9215</v>
      </c>
      <c r="B15" s="61">
        <v>400</v>
      </c>
      <c r="C15" s="26"/>
      <c r="D15" s="20">
        <v>9256</v>
      </c>
      <c r="E15" s="82">
        <v>300</v>
      </c>
      <c r="F15" s="21" t="s">
        <v>235</v>
      </c>
      <c r="G15" s="17">
        <v>9313</v>
      </c>
      <c r="H15" s="18">
        <v>200</v>
      </c>
      <c r="I15" s="18" t="s">
        <v>115</v>
      </c>
      <c r="J15" s="73"/>
      <c r="K15" s="83"/>
      <c r="L15" s="104">
        <v>42339</v>
      </c>
      <c r="M15" s="23"/>
      <c r="N15" s="23"/>
      <c r="O15" s="23"/>
    </row>
    <row r="16" spans="1:18" x14ac:dyDescent="0.25">
      <c r="A16" s="25">
        <v>9216</v>
      </c>
      <c r="B16" s="61">
        <v>400</v>
      </c>
      <c r="C16" s="26"/>
      <c r="D16" s="20"/>
      <c r="E16" s="82"/>
      <c r="F16" s="21" t="s">
        <v>128</v>
      </c>
      <c r="G16" s="17">
        <v>9314</v>
      </c>
      <c r="H16" s="18">
        <v>600</v>
      </c>
      <c r="I16" s="18" t="s">
        <v>254</v>
      </c>
      <c r="J16" s="73">
        <v>9338</v>
      </c>
      <c r="K16" s="83">
        <v>400</v>
      </c>
      <c r="L16" s="74" t="s">
        <v>145</v>
      </c>
      <c r="M16" s="23"/>
      <c r="N16" s="23"/>
      <c r="O16" s="23"/>
    </row>
    <row r="17" spans="1:15" x14ac:dyDescent="0.25">
      <c r="A17" s="25">
        <v>9217</v>
      </c>
      <c r="B17" s="61">
        <v>200</v>
      </c>
      <c r="C17" s="26"/>
      <c r="D17" s="20">
        <v>9257</v>
      </c>
      <c r="E17" s="82">
        <v>400</v>
      </c>
      <c r="F17" s="21"/>
      <c r="G17" s="17"/>
      <c r="H17" s="18"/>
      <c r="I17" s="18" t="s">
        <v>33</v>
      </c>
      <c r="J17" s="73"/>
      <c r="K17" s="83"/>
      <c r="L17" s="74" t="s">
        <v>27</v>
      </c>
      <c r="M17" s="23"/>
      <c r="N17" s="23"/>
      <c r="O17" s="23"/>
    </row>
    <row r="18" spans="1:15" x14ac:dyDescent="0.25">
      <c r="A18" s="25">
        <v>9218</v>
      </c>
      <c r="B18" s="61">
        <v>400</v>
      </c>
      <c r="C18" s="26"/>
      <c r="D18" s="20">
        <v>9258</v>
      </c>
      <c r="E18" s="82">
        <v>300</v>
      </c>
      <c r="F18" s="21"/>
      <c r="G18" s="17">
        <v>9315</v>
      </c>
      <c r="H18" s="18">
        <v>400</v>
      </c>
      <c r="I18" s="18"/>
      <c r="J18" s="73">
        <v>9339</v>
      </c>
      <c r="K18" s="83">
        <v>300</v>
      </c>
      <c r="L18" s="74"/>
      <c r="M18" s="23"/>
      <c r="N18" s="23"/>
      <c r="O18" s="23"/>
    </row>
    <row r="19" spans="1:15" x14ac:dyDescent="0.25">
      <c r="A19" s="25">
        <v>9219</v>
      </c>
      <c r="B19" s="61">
        <v>300</v>
      </c>
      <c r="C19" s="26"/>
      <c r="D19" s="20">
        <v>9259</v>
      </c>
      <c r="E19" s="82">
        <v>800</v>
      </c>
      <c r="F19" s="45" t="s">
        <v>151</v>
      </c>
      <c r="G19" s="17">
        <v>9316</v>
      </c>
      <c r="H19" s="79">
        <v>600</v>
      </c>
      <c r="I19" s="18" t="s">
        <v>254</v>
      </c>
      <c r="J19" s="73">
        <v>9340</v>
      </c>
      <c r="K19" s="83">
        <v>1200</v>
      </c>
      <c r="L19" s="74" t="s">
        <v>258</v>
      </c>
      <c r="M19" s="23"/>
      <c r="N19" s="23"/>
      <c r="O19" s="23"/>
    </row>
    <row r="20" spans="1:15" x14ac:dyDescent="0.25">
      <c r="A20" s="25">
        <v>9220</v>
      </c>
      <c r="B20" s="61">
        <v>400</v>
      </c>
      <c r="C20" s="26"/>
      <c r="D20" s="20"/>
      <c r="E20" s="82"/>
      <c r="F20" s="21" t="s">
        <v>25</v>
      </c>
      <c r="G20" s="17"/>
      <c r="H20" s="79"/>
      <c r="I20" s="18" t="s">
        <v>33</v>
      </c>
      <c r="J20" s="73"/>
      <c r="K20" s="83"/>
      <c r="L20" s="74" t="s">
        <v>25</v>
      </c>
      <c r="M20" s="23"/>
      <c r="N20" s="23"/>
      <c r="O20" s="23"/>
    </row>
    <row r="21" spans="1:15" x14ac:dyDescent="0.25">
      <c r="A21" s="25">
        <v>9221</v>
      </c>
      <c r="B21" s="61">
        <v>160</v>
      </c>
      <c r="C21" s="26" t="s">
        <v>133</v>
      </c>
      <c r="D21" s="20">
        <v>9260</v>
      </c>
      <c r="E21" s="82">
        <v>1200</v>
      </c>
      <c r="F21" s="21" t="s">
        <v>168</v>
      </c>
      <c r="G21" s="17">
        <v>9317</v>
      </c>
      <c r="H21" s="79">
        <v>400</v>
      </c>
      <c r="I21" s="18"/>
      <c r="J21" s="73">
        <v>9341</v>
      </c>
      <c r="K21" s="83">
        <v>1200</v>
      </c>
      <c r="L21" s="74" t="s">
        <v>259</v>
      </c>
      <c r="M21" s="23"/>
      <c r="N21" s="23"/>
      <c r="O21" s="23"/>
    </row>
    <row r="22" spans="1:15" x14ac:dyDescent="0.25">
      <c r="A22" s="25"/>
      <c r="B22" s="61"/>
      <c r="C22" s="26" t="s">
        <v>230</v>
      </c>
      <c r="D22" s="20"/>
      <c r="E22" s="82"/>
      <c r="F22" s="21" t="s">
        <v>25</v>
      </c>
      <c r="G22" s="17">
        <v>9318</v>
      </c>
      <c r="H22" s="79">
        <v>160</v>
      </c>
      <c r="I22" s="18" t="s">
        <v>23</v>
      </c>
      <c r="J22" s="73"/>
      <c r="K22" s="83"/>
      <c r="L22" s="74" t="s">
        <v>25</v>
      </c>
      <c r="M22" s="23"/>
      <c r="N22" s="23"/>
      <c r="O22" s="23"/>
    </row>
    <row r="23" spans="1:15" x14ac:dyDescent="0.25">
      <c r="A23" s="25">
        <v>9222</v>
      </c>
      <c r="B23" s="61">
        <v>800</v>
      </c>
      <c r="C23" s="26" t="s">
        <v>145</v>
      </c>
      <c r="D23" s="20">
        <v>9261</v>
      </c>
      <c r="E23" s="82">
        <v>800</v>
      </c>
      <c r="F23" s="21" t="s">
        <v>236</v>
      </c>
      <c r="G23" s="17"/>
      <c r="H23" s="79"/>
      <c r="I23" s="18" t="s">
        <v>255</v>
      </c>
      <c r="J23" s="73">
        <v>9342</v>
      </c>
      <c r="K23" s="83">
        <v>400</v>
      </c>
      <c r="L23" s="74" t="s">
        <v>145</v>
      </c>
      <c r="M23" s="23"/>
      <c r="N23" s="23"/>
      <c r="O23" s="23"/>
    </row>
    <row r="24" spans="1:15" x14ac:dyDescent="0.25">
      <c r="A24" s="25"/>
      <c r="B24" s="61"/>
      <c r="C24" s="26" t="s">
        <v>25</v>
      </c>
      <c r="D24" s="20"/>
      <c r="E24" s="82"/>
      <c r="F24" s="21" t="s">
        <v>25</v>
      </c>
      <c r="G24" s="17">
        <v>9319</v>
      </c>
      <c r="H24" s="79">
        <v>400</v>
      </c>
      <c r="I24" s="18"/>
      <c r="J24" s="73"/>
      <c r="K24" s="83"/>
      <c r="L24" s="74" t="s">
        <v>27</v>
      </c>
      <c r="M24" s="23"/>
      <c r="N24" s="23"/>
      <c r="O24" s="23"/>
    </row>
    <row r="25" spans="1:15" x14ac:dyDescent="0.25">
      <c r="A25" s="25">
        <v>9223</v>
      </c>
      <c r="B25" s="61">
        <v>400</v>
      </c>
      <c r="C25" s="26"/>
      <c r="D25" s="20">
        <v>9262</v>
      </c>
      <c r="E25" s="82"/>
      <c r="F25" s="21" t="s">
        <v>73</v>
      </c>
      <c r="G25" s="17">
        <v>9320</v>
      </c>
      <c r="H25" s="79">
        <v>400</v>
      </c>
      <c r="I25" s="18" t="s">
        <v>39</v>
      </c>
      <c r="J25" s="73">
        <v>9343</v>
      </c>
      <c r="K25" s="83">
        <v>800</v>
      </c>
      <c r="L25" s="74" t="s">
        <v>145</v>
      </c>
      <c r="M25" s="23"/>
      <c r="N25" s="23"/>
      <c r="O25" s="23"/>
    </row>
    <row r="26" spans="1:15" x14ac:dyDescent="0.25">
      <c r="A26" s="25">
        <v>9224</v>
      </c>
      <c r="B26" s="61">
        <v>200</v>
      </c>
      <c r="C26" s="26"/>
      <c r="D26" s="20">
        <v>9263</v>
      </c>
      <c r="E26" s="82">
        <v>400</v>
      </c>
      <c r="F26" s="21"/>
      <c r="G26" s="17"/>
      <c r="H26" s="18"/>
      <c r="I26" s="18" t="s">
        <v>27</v>
      </c>
      <c r="J26" s="73"/>
      <c r="K26" s="83"/>
      <c r="L26" s="74" t="s">
        <v>25</v>
      </c>
      <c r="M26" s="23"/>
      <c r="N26" s="23"/>
      <c r="O26" s="23"/>
    </row>
    <row r="27" spans="1:15" x14ac:dyDescent="0.25">
      <c r="A27" s="25">
        <v>9225</v>
      </c>
      <c r="B27" s="61">
        <v>400</v>
      </c>
      <c r="C27" s="26" t="s">
        <v>229</v>
      </c>
      <c r="D27" s="20">
        <v>9264</v>
      </c>
      <c r="E27" s="82">
        <v>450</v>
      </c>
      <c r="F27" s="21" t="s">
        <v>42</v>
      </c>
      <c r="G27" s="17">
        <v>9321</v>
      </c>
      <c r="H27" s="79">
        <v>300</v>
      </c>
      <c r="I27" s="18"/>
      <c r="J27" s="73">
        <v>9344</v>
      </c>
      <c r="K27" s="83">
        <v>400</v>
      </c>
      <c r="L27" s="74" t="s">
        <v>260</v>
      </c>
      <c r="M27" s="23"/>
      <c r="N27" s="23"/>
      <c r="O27" s="43"/>
    </row>
    <row r="28" spans="1:15" x14ac:dyDescent="0.25">
      <c r="A28" s="25">
        <v>9226</v>
      </c>
      <c r="B28" s="61">
        <v>125</v>
      </c>
      <c r="C28" s="26"/>
      <c r="D28" s="20"/>
      <c r="E28" s="82"/>
      <c r="F28" s="21" t="s">
        <v>76</v>
      </c>
      <c r="G28" s="17">
        <v>9322</v>
      </c>
      <c r="H28" s="79">
        <v>300</v>
      </c>
      <c r="I28" s="18"/>
      <c r="J28" s="73"/>
      <c r="K28" s="83"/>
      <c r="L28" s="74" t="s">
        <v>27</v>
      </c>
      <c r="M28" s="23"/>
      <c r="N28" s="23"/>
      <c r="O28" s="23"/>
    </row>
    <row r="29" spans="1:15" x14ac:dyDescent="0.25">
      <c r="A29" s="25">
        <v>9227</v>
      </c>
      <c r="B29" s="61">
        <v>400</v>
      </c>
      <c r="C29" s="26" t="s">
        <v>151</v>
      </c>
      <c r="D29" s="20">
        <v>9265</v>
      </c>
      <c r="E29" s="82">
        <v>450</v>
      </c>
      <c r="F29" s="21" t="s">
        <v>42</v>
      </c>
      <c r="G29" s="17">
        <v>9323</v>
      </c>
      <c r="H29" s="79">
        <v>400</v>
      </c>
      <c r="I29" s="18"/>
      <c r="J29" s="73">
        <v>9345</v>
      </c>
      <c r="K29" s="83">
        <v>800</v>
      </c>
      <c r="L29" s="74" t="s">
        <v>261</v>
      </c>
      <c r="M29" s="23"/>
      <c r="N29" s="23"/>
      <c r="O29" s="23"/>
    </row>
    <row r="30" spans="1:15" x14ac:dyDescent="0.25">
      <c r="A30" s="25"/>
      <c r="B30" s="61"/>
      <c r="C30" s="26" t="s">
        <v>27</v>
      </c>
      <c r="D30" s="20"/>
      <c r="E30" s="82"/>
      <c r="F30" s="21" t="s">
        <v>76</v>
      </c>
      <c r="G30" s="17">
        <v>9324</v>
      </c>
      <c r="H30" s="79">
        <v>400</v>
      </c>
      <c r="I30" s="18"/>
      <c r="J30" s="73"/>
      <c r="K30" s="83"/>
      <c r="L30" s="74" t="s">
        <v>25</v>
      </c>
      <c r="M30" s="23"/>
      <c r="N30" s="23"/>
      <c r="O30" s="23"/>
    </row>
    <row r="31" spans="1:15" x14ac:dyDescent="0.25">
      <c r="A31" s="25">
        <v>9228</v>
      </c>
      <c r="B31" s="61">
        <v>1200</v>
      </c>
      <c r="C31" s="26" t="s">
        <v>168</v>
      </c>
      <c r="D31" s="20">
        <v>9266</v>
      </c>
      <c r="E31" s="82">
        <v>450</v>
      </c>
      <c r="F31" s="21" t="s">
        <v>42</v>
      </c>
      <c r="G31" s="17">
        <v>9325</v>
      </c>
      <c r="H31" s="79">
        <v>1600</v>
      </c>
      <c r="I31" s="18" t="s">
        <v>42</v>
      </c>
      <c r="J31" s="73">
        <v>9346</v>
      </c>
      <c r="K31" s="83">
        <v>400</v>
      </c>
      <c r="L31" s="74"/>
      <c r="M31" s="23"/>
      <c r="N31" s="23"/>
      <c r="O31" s="23"/>
    </row>
    <row r="32" spans="1:15" x14ac:dyDescent="0.25">
      <c r="A32" s="25"/>
      <c r="B32" s="61"/>
      <c r="C32" s="26" t="s">
        <v>25</v>
      </c>
      <c r="D32" s="20"/>
      <c r="E32" s="82"/>
      <c r="F32" s="21" t="s">
        <v>76</v>
      </c>
      <c r="G32" s="17"/>
      <c r="H32" s="79"/>
      <c r="I32" s="18" t="s">
        <v>25</v>
      </c>
      <c r="J32" s="73">
        <v>9347</v>
      </c>
      <c r="K32" s="83">
        <v>400</v>
      </c>
      <c r="L32" s="74" t="s">
        <v>114</v>
      </c>
      <c r="M32" s="23"/>
      <c r="N32" s="23"/>
      <c r="O32" s="23"/>
    </row>
    <row r="33" spans="1:15" x14ac:dyDescent="0.25">
      <c r="A33" s="25">
        <v>9229</v>
      </c>
      <c r="B33" s="61">
        <v>2400</v>
      </c>
      <c r="C33" s="26" t="s">
        <v>231</v>
      </c>
      <c r="D33" s="20">
        <v>9267</v>
      </c>
      <c r="E33" s="82">
        <v>400</v>
      </c>
      <c r="F33" s="21" t="s">
        <v>229</v>
      </c>
      <c r="G33" s="17">
        <v>9326</v>
      </c>
      <c r="H33" s="79">
        <v>1000</v>
      </c>
      <c r="I33" s="18" t="s">
        <v>40</v>
      </c>
      <c r="J33" s="73">
        <v>9348</v>
      </c>
      <c r="K33" s="83">
        <v>800</v>
      </c>
      <c r="L33" s="74" t="s">
        <v>145</v>
      </c>
      <c r="M33" s="23"/>
      <c r="N33" s="23"/>
      <c r="O33" s="23"/>
    </row>
    <row r="34" spans="1:15" x14ac:dyDescent="0.25">
      <c r="A34" s="25"/>
      <c r="B34" s="61"/>
      <c r="C34" s="26" t="s">
        <v>25</v>
      </c>
      <c r="D34" s="20">
        <v>9268</v>
      </c>
      <c r="E34" s="82">
        <v>300</v>
      </c>
      <c r="F34" s="21"/>
      <c r="G34" s="17"/>
      <c r="H34" s="79"/>
      <c r="I34" s="18" t="s">
        <v>81</v>
      </c>
      <c r="J34" s="73"/>
      <c r="K34" s="83"/>
      <c r="L34" s="74" t="s">
        <v>25</v>
      </c>
      <c r="M34" s="23"/>
      <c r="N34" s="23"/>
      <c r="O34" s="43"/>
    </row>
    <row r="35" spans="1:15" x14ac:dyDescent="0.25">
      <c r="A35" s="25">
        <v>9230</v>
      </c>
      <c r="B35" s="61">
        <v>400</v>
      </c>
      <c r="C35" s="26" t="s">
        <v>114</v>
      </c>
      <c r="D35" s="20">
        <v>9269</v>
      </c>
      <c r="E35" s="82">
        <v>200</v>
      </c>
      <c r="F35" s="21"/>
      <c r="G35" s="17">
        <v>9327</v>
      </c>
      <c r="H35" s="79">
        <v>160</v>
      </c>
      <c r="I35" s="18" t="s">
        <v>23</v>
      </c>
      <c r="J35" s="73">
        <v>9349</v>
      </c>
      <c r="K35" s="83">
        <v>800</v>
      </c>
      <c r="L35" s="74" t="s">
        <v>260</v>
      </c>
      <c r="M35" s="23"/>
      <c r="N35" s="23"/>
      <c r="O35" s="23"/>
    </row>
    <row r="36" spans="1:15" x14ac:dyDescent="0.25">
      <c r="A36" s="25">
        <v>9231</v>
      </c>
      <c r="B36" s="61">
        <v>200</v>
      </c>
      <c r="C36" s="26"/>
      <c r="D36" s="20">
        <v>9270</v>
      </c>
      <c r="E36" s="82">
        <v>400</v>
      </c>
      <c r="F36" s="21"/>
      <c r="G36" s="17"/>
      <c r="H36" s="79"/>
      <c r="I36" s="18" t="s">
        <v>256</v>
      </c>
      <c r="J36" s="73"/>
      <c r="K36" s="83"/>
      <c r="L36" s="74" t="s">
        <v>25</v>
      </c>
      <c r="M36" s="23"/>
      <c r="N36" s="23"/>
      <c r="O36" s="23"/>
    </row>
    <row r="37" spans="1:15" x14ac:dyDescent="0.25">
      <c r="A37" s="25">
        <v>9232</v>
      </c>
      <c r="B37" s="61">
        <v>350</v>
      </c>
      <c r="C37" s="26"/>
      <c r="D37" s="20">
        <v>9271</v>
      </c>
      <c r="E37" s="82">
        <v>400</v>
      </c>
      <c r="F37" s="21"/>
      <c r="G37" s="17">
        <v>9328</v>
      </c>
      <c r="H37" s="79">
        <v>400</v>
      </c>
      <c r="I37" s="18"/>
      <c r="J37" s="73">
        <v>9350</v>
      </c>
      <c r="K37" s="83">
        <v>400</v>
      </c>
      <c r="L37" s="74" t="s">
        <v>248</v>
      </c>
      <c r="M37" s="23"/>
      <c r="N37" s="23"/>
      <c r="O37" s="23"/>
    </row>
    <row r="38" spans="1:15" x14ac:dyDescent="0.25">
      <c r="A38" s="25">
        <v>9233</v>
      </c>
      <c r="B38" s="61">
        <v>400</v>
      </c>
      <c r="C38" s="26"/>
      <c r="D38" s="20">
        <v>9272</v>
      </c>
      <c r="E38" s="82">
        <v>600</v>
      </c>
      <c r="F38" s="21" t="s">
        <v>145</v>
      </c>
      <c r="G38" s="17">
        <v>9329</v>
      </c>
      <c r="H38" s="79">
        <v>600</v>
      </c>
      <c r="I38" s="18" t="s">
        <v>254</v>
      </c>
      <c r="J38" s="73">
        <v>9351</v>
      </c>
      <c r="K38" s="83">
        <v>900</v>
      </c>
      <c r="L38" s="74" t="s">
        <v>232</v>
      </c>
      <c r="M38" s="23"/>
      <c r="N38" s="23"/>
      <c r="O38" s="23"/>
    </row>
    <row r="39" spans="1:15" x14ac:dyDescent="0.25">
      <c r="A39" s="25">
        <v>9234</v>
      </c>
      <c r="B39" s="61">
        <v>1200</v>
      </c>
      <c r="C39" s="26" t="s">
        <v>42</v>
      </c>
      <c r="D39" s="20"/>
      <c r="E39" s="82"/>
      <c r="F39" s="21" t="s">
        <v>33</v>
      </c>
      <c r="G39" s="17"/>
      <c r="H39" s="79"/>
      <c r="I39" s="18" t="s">
        <v>33</v>
      </c>
      <c r="J39" s="73"/>
      <c r="K39" s="83"/>
      <c r="L39" s="74" t="s">
        <v>33</v>
      </c>
      <c r="M39" s="23"/>
      <c r="N39" s="23"/>
      <c r="O39" s="23"/>
    </row>
    <row r="40" spans="1:15" x14ac:dyDescent="0.25">
      <c r="A40" s="25"/>
      <c r="B40" s="61"/>
      <c r="C40" s="26" t="s">
        <v>25</v>
      </c>
      <c r="D40" s="20">
        <v>9273</v>
      </c>
      <c r="E40" s="82">
        <v>300</v>
      </c>
      <c r="F40" s="21"/>
      <c r="G40" s="17">
        <v>9330</v>
      </c>
      <c r="H40" s="79">
        <v>300</v>
      </c>
      <c r="I40" s="18"/>
      <c r="J40" s="73">
        <v>9352</v>
      </c>
      <c r="K40" s="83">
        <v>1200</v>
      </c>
      <c r="L40" s="74" t="s">
        <v>168</v>
      </c>
      <c r="M40" s="23"/>
      <c r="N40" s="23"/>
      <c r="O40" s="23"/>
    </row>
    <row r="41" spans="1:15" x14ac:dyDescent="0.25">
      <c r="A41" s="25">
        <v>9235</v>
      </c>
      <c r="B41" s="61">
        <v>300</v>
      </c>
      <c r="C41" s="26"/>
      <c r="D41" s="20">
        <v>9274</v>
      </c>
      <c r="E41" s="82">
        <v>160</v>
      </c>
      <c r="F41" s="21" t="s">
        <v>23</v>
      </c>
      <c r="G41" s="17">
        <v>9331</v>
      </c>
      <c r="H41" s="79">
        <v>1200</v>
      </c>
      <c r="I41" s="18" t="s">
        <v>232</v>
      </c>
      <c r="J41" s="73"/>
      <c r="K41" s="83"/>
      <c r="L41" s="74" t="s">
        <v>25</v>
      </c>
      <c r="M41" s="23"/>
      <c r="N41" s="23"/>
      <c r="O41" s="23"/>
    </row>
    <row r="42" spans="1:15" x14ac:dyDescent="0.25">
      <c r="A42" s="25">
        <v>9236</v>
      </c>
      <c r="B42" s="61">
        <v>400</v>
      </c>
      <c r="C42" s="26" t="s">
        <v>229</v>
      </c>
      <c r="D42" s="20"/>
      <c r="E42" s="82"/>
      <c r="F42" s="21" t="s">
        <v>237</v>
      </c>
      <c r="G42" s="17"/>
      <c r="H42" s="79"/>
      <c r="I42" s="18" t="s">
        <v>25</v>
      </c>
      <c r="J42" s="73">
        <v>9353</v>
      </c>
      <c r="K42" s="83">
        <v>400</v>
      </c>
      <c r="L42" s="74" t="s">
        <v>145</v>
      </c>
      <c r="M42" s="23"/>
      <c r="N42" s="23"/>
      <c r="O42" s="23"/>
    </row>
    <row r="43" spans="1:15" x14ac:dyDescent="0.25">
      <c r="A43" s="25">
        <v>9237</v>
      </c>
      <c r="B43" s="61">
        <v>400</v>
      </c>
      <c r="C43" s="26" t="s">
        <v>229</v>
      </c>
      <c r="D43" s="20">
        <v>9275</v>
      </c>
      <c r="E43" s="82">
        <v>1760</v>
      </c>
      <c r="F43" s="21" t="s">
        <v>40</v>
      </c>
      <c r="G43" s="17">
        <v>9332</v>
      </c>
      <c r="H43" s="79">
        <v>400</v>
      </c>
      <c r="I43" s="18"/>
      <c r="J43" s="73"/>
      <c r="K43" s="83"/>
      <c r="L43" s="74" t="s">
        <v>27</v>
      </c>
      <c r="M43" s="23"/>
      <c r="N43" s="23"/>
      <c r="O43" s="23"/>
    </row>
    <row r="44" spans="1:15" x14ac:dyDescent="0.25">
      <c r="A44" s="25">
        <v>9238</v>
      </c>
      <c r="B44" s="61">
        <v>400</v>
      </c>
      <c r="C44" s="26"/>
      <c r="D44" s="20"/>
      <c r="E44" s="82"/>
      <c r="F44" s="21" t="s">
        <v>123</v>
      </c>
      <c r="G44" s="17"/>
      <c r="H44" s="79"/>
      <c r="I44" s="18"/>
      <c r="J44" s="73">
        <v>9354</v>
      </c>
      <c r="K44" s="83">
        <v>400</v>
      </c>
      <c r="L44" s="74" t="s">
        <v>145</v>
      </c>
      <c r="M44" s="23"/>
      <c r="N44" s="23"/>
      <c r="O44" s="23"/>
    </row>
    <row r="45" spans="1:15" x14ac:dyDescent="0.25">
      <c r="A45" s="25">
        <v>9239</v>
      </c>
      <c r="B45" s="61">
        <v>200</v>
      </c>
      <c r="C45" s="26"/>
      <c r="D45" s="20">
        <v>9276</v>
      </c>
      <c r="E45" s="82">
        <v>400</v>
      </c>
      <c r="F45" s="21"/>
      <c r="G45" s="17"/>
      <c r="H45" s="79"/>
      <c r="I45" s="18"/>
      <c r="J45" s="73"/>
      <c r="K45" s="83"/>
      <c r="L45" s="74" t="s">
        <v>27</v>
      </c>
      <c r="M45" s="23"/>
      <c r="N45" s="23"/>
      <c r="O45" s="23"/>
    </row>
    <row r="46" spans="1:15" x14ac:dyDescent="0.25">
      <c r="A46" s="25">
        <v>9240</v>
      </c>
      <c r="B46" s="61">
        <v>160</v>
      </c>
      <c r="C46" s="26" t="s">
        <v>49</v>
      </c>
      <c r="D46" s="20">
        <v>9277</v>
      </c>
      <c r="E46" s="82">
        <v>400</v>
      </c>
      <c r="F46" s="21" t="s">
        <v>238</v>
      </c>
      <c r="G46" s="17"/>
      <c r="H46" s="79"/>
      <c r="I46" s="18"/>
      <c r="J46" s="73">
        <v>9355</v>
      </c>
      <c r="K46" s="83">
        <v>400</v>
      </c>
      <c r="L46" s="74" t="s">
        <v>115</v>
      </c>
      <c r="M46" s="23"/>
      <c r="N46" s="23"/>
      <c r="O46" s="23"/>
    </row>
    <row r="47" spans="1:15" x14ac:dyDescent="0.25">
      <c r="A47" s="25">
        <v>9241</v>
      </c>
      <c r="B47" s="61">
        <v>1200</v>
      </c>
      <c r="C47" s="26" t="s">
        <v>232</v>
      </c>
      <c r="D47" s="20">
        <v>9278</v>
      </c>
      <c r="E47" s="82">
        <v>400</v>
      </c>
      <c r="F47" s="21" t="s">
        <v>115</v>
      </c>
      <c r="G47" s="17"/>
      <c r="H47" s="79"/>
      <c r="I47" s="18"/>
      <c r="J47" s="73">
        <v>9356</v>
      </c>
      <c r="K47" s="83">
        <v>200</v>
      </c>
      <c r="L47" s="74"/>
      <c r="M47" s="23"/>
      <c r="N47" s="23"/>
      <c r="O47" s="23"/>
    </row>
    <row r="48" spans="1:15" x14ac:dyDescent="0.25">
      <c r="A48" s="25"/>
      <c r="B48" s="61"/>
      <c r="C48" s="26" t="s">
        <v>25</v>
      </c>
      <c r="D48" s="20">
        <v>9279</v>
      </c>
      <c r="E48" s="82">
        <v>400</v>
      </c>
      <c r="F48" s="21"/>
      <c r="G48" s="17"/>
      <c r="H48" s="79"/>
      <c r="I48" s="18"/>
      <c r="J48" s="73">
        <v>9357</v>
      </c>
      <c r="K48" s="83">
        <v>400</v>
      </c>
      <c r="L48" s="74"/>
      <c r="M48" s="23"/>
      <c r="N48" s="23"/>
      <c r="O48" s="23"/>
    </row>
    <row r="49" spans="1:15" x14ac:dyDescent="0.25">
      <c r="A49" s="25">
        <v>9242</v>
      </c>
      <c r="B49" s="61">
        <v>1200</v>
      </c>
      <c r="C49" s="26" t="s">
        <v>168</v>
      </c>
      <c r="D49" s="20">
        <v>9280</v>
      </c>
      <c r="E49" s="82">
        <v>300</v>
      </c>
      <c r="F49" s="21"/>
      <c r="G49" s="17"/>
      <c r="H49" s="79"/>
      <c r="I49" s="18"/>
      <c r="J49" s="73">
        <v>9358</v>
      </c>
      <c r="K49" s="83">
        <v>800</v>
      </c>
      <c r="L49" s="74" t="s">
        <v>262</v>
      </c>
      <c r="M49" s="23"/>
      <c r="N49" s="23"/>
      <c r="O49" s="23"/>
    </row>
    <row r="50" spans="1:15" x14ac:dyDescent="0.25">
      <c r="A50" s="25"/>
      <c r="B50" s="61"/>
      <c r="C50" s="26" t="s">
        <v>25</v>
      </c>
      <c r="D50" s="20">
        <v>9281</v>
      </c>
      <c r="E50" s="82">
        <v>960</v>
      </c>
      <c r="F50" s="21" t="s">
        <v>239</v>
      </c>
      <c r="G50" s="17"/>
      <c r="H50" s="79"/>
      <c r="I50" s="18"/>
      <c r="J50" s="73"/>
      <c r="K50" s="83"/>
      <c r="L50" s="74" t="s">
        <v>25</v>
      </c>
      <c r="M50" s="23"/>
      <c r="N50" s="23"/>
      <c r="O50" s="23"/>
    </row>
    <row r="51" spans="1:15" x14ac:dyDescent="0.25">
      <c r="A51" s="25">
        <v>9243</v>
      </c>
      <c r="B51" s="61">
        <v>800</v>
      </c>
      <c r="C51" s="26" t="s">
        <v>145</v>
      </c>
      <c r="D51" s="20"/>
      <c r="E51" s="82"/>
      <c r="F51" s="21" t="s">
        <v>175</v>
      </c>
      <c r="G51" s="17"/>
      <c r="H51" s="79"/>
      <c r="I51" s="18"/>
      <c r="J51" s="73">
        <v>9359</v>
      </c>
      <c r="K51" s="83">
        <v>1200</v>
      </c>
      <c r="L51" s="74" t="s">
        <v>89</v>
      </c>
      <c r="M51" s="23"/>
      <c r="N51" s="23"/>
      <c r="O51" s="23"/>
    </row>
    <row r="52" spans="1:15" x14ac:dyDescent="0.25">
      <c r="A52" s="25"/>
      <c r="B52" s="61"/>
      <c r="C52" s="26" t="s">
        <v>25</v>
      </c>
      <c r="D52" s="20"/>
      <c r="E52" s="82"/>
      <c r="F52" s="21" t="s">
        <v>240</v>
      </c>
      <c r="G52" s="17"/>
      <c r="H52" s="79"/>
      <c r="I52" s="18"/>
      <c r="J52" s="73"/>
      <c r="K52" s="83"/>
      <c r="L52" s="74" t="s">
        <v>25</v>
      </c>
      <c r="M52" s="23"/>
      <c r="N52" s="23"/>
      <c r="O52" s="23"/>
    </row>
    <row r="53" spans="1:15" x14ac:dyDescent="0.25">
      <c r="A53" s="25">
        <v>9244</v>
      </c>
      <c r="B53" s="61">
        <v>400</v>
      </c>
      <c r="C53" s="26"/>
      <c r="D53" s="20">
        <v>9282</v>
      </c>
      <c r="E53" s="82">
        <v>600</v>
      </c>
      <c r="F53" s="21" t="s">
        <v>168</v>
      </c>
      <c r="G53" s="17"/>
      <c r="H53" s="79"/>
      <c r="I53" s="18"/>
      <c r="J53" s="73">
        <v>9360</v>
      </c>
      <c r="K53" s="83">
        <v>800</v>
      </c>
      <c r="L53" s="74" t="s">
        <v>39</v>
      </c>
      <c r="M53" s="23"/>
      <c r="N53" s="23"/>
      <c r="O53" s="23"/>
    </row>
    <row r="54" spans="1:15" x14ac:dyDescent="0.25">
      <c r="A54" s="25">
        <v>9245</v>
      </c>
      <c r="B54" s="61">
        <v>200</v>
      </c>
      <c r="C54" s="26"/>
      <c r="D54" s="20"/>
      <c r="E54" s="82"/>
      <c r="F54" s="21" t="s">
        <v>27</v>
      </c>
      <c r="G54" s="17"/>
      <c r="H54" s="79"/>
      <c r="I54" s="18"/>
      <c r="J54" s="73"/>
      <c r="K54" s="83"/>
      <c r="L54" s="74" t="s">
        <v>25</v>
      </c>
      <c r="M54" s="23"/>
      <c r="N54" s="23"/>
      <c r="O54" s="23"/>
    </row>
    <row r="55" spans="1:15" x14ac:dyDescent="0.25">
      <c r="A55" s="25">
        <v>9246</v>
      </c>
      <c r="B55" s="61">
        <v>400</v>
      </c>
      <c r="C55" s="26"/>
      <c r="D55" s="20">
        <v>9283</v>
      </c>
      <c r="E55" s="82">
        <v>1360</v>
      </c>
      <c r="F55" s="21" t="s">
        <v>241</v>
      </c>
      <c r="G55" s="17"/>
      <c r="H55" s="79"/>
      <c r="I55" s="18"/>
      <c r="J55" s="73">
        <v>9361</v>
      </c>
      <c r="K55" s="83">
        <v>160</v>
      </c>
      <c r="L55" s="74" t="s">
        <v>23</v>
      </c>
      <c r="M55" s="23"/>
      <c r="N55" s="23"/>
      <c r="O55" s="23"/>
    </row>
    <row r="56" spans="1:15" x14ac:dyDescent="0.25">
      <c r="A56" s="25">
        <v>9247</v>
      </c>
      <c r="B56" s="61">
        <v>350</v>
      </c>
      <c r="C56" s="26"/>
      <c r="D56" s="20"/>
      <c r="E56" s="82"/>
      <c r="F56" s="21" t="s">
        <v>242</v>
      </c>
      <c r="G56" s="17"/>
      <c r="H56" s="79"/>
      <c r="I56" s="18"/>
      <c r="J56" s="73"/>
      <c r="K56" s="83"/>
      <c r="L56" s="74" t="s">
        <v>263</v>
      </c>
      <c r="M56" s="23"/>
      <c r="N56" s="23"/>
      <c r="O56" s="23"/>
    </row>
    <row r="57" spans="1:15" x14ac:dyDescent="0.25">
      <c r="A57" s="25">
        <v>9248</v>
      </c>
      <c r="B57" s="61">
        <v>800</v>
      </c>
      <c r="C57" s="26" t="s">
        <v>145</v>
      </c>
      <c r="D57" s="20">
        <v>9284</v>
      </c>
      <c r="E57" s="82">
        <v>150</v>
      </c>
      <c r="F57" s="21"/>
      <c r="G57" s="17"/>
      <c r="H57" s="79"/>
      <c r="I57" s="18"/>
      <c r="J57" s="73">
        <v>9362</v>
      </c>
      <c r="K57" s="83">
        <v>400</v>
      </c>
      <c r="L57" s="74" t="s">
        <v>115</v>
      </c>
      <c r="M57" s="23"/>
      <c r="N57" s="23"/>
      <c r="O57" s="23"/>
    </row>
    <row r="58" spans="1:15" x14ac:dyDescent="0.25">
      <c r="A58" s="25"/>
      <c r="B58" s="61"/>
      <c r="C58" s="26" t="s">
        <v>25</v>
      </c>
      <c r="D58" s="20">
        <v>9285</v>
      </c>
      <c r="E58" s="82">
        <v>400</v>
      </c>
      <c r="F58" s="21"/>
      <c r="G58" s="17"/>
      <c r="H58" s="79"/>
      <c r="I58" s="18"/>
      <c r="J58" s="73">
        <v>9363</v>
      </c>
      <c r="K58" s="83">
        <v>800</v>
      </c>
      <c r="L58" s="74" t="s">
        <v>145</v>
      </c>
      <c r="M58" s="23"/>
      <c r="N58" s="23"/>
      <c r="O58" s="23"/>
    </row>
    <row r="59" spans="1:15" x14ac:dyDescent="0.25">
      <c r="A59" s="25">
        <v>9249</v>
      </c>
      <c r="B59" s="61">
        <v>400</v>
      </c>
      <c r="C59" s="26"/>
      <c r="D59" s="20">
        <v>9286</v>
      </c>
      <c r="E59" s="82">
        <v>800</v>
      </c>
      <c r="F59" s="21" t="s">
        <v>151</v>
      </c>
      <c r="G59" s="17"/>
      <c r="H59" s="79"/>
      <c r="I59" s="18"/>
      <c r="J59" s="73"/>
      <c r="K59" s="83"/>
      <c r="L59" s="74" t="s">
        <v>25</v>
      </c>
      <c r="M59" s="23"/>
      <c r="N59" s="23"/>
      <c r="O59" s="23"/>
    </row>
    <row r="60" spans="1:15" x14ac:dyDescent="0.25">
      <c r="A60" s="25">
        <v>9250</v>
      </c>
      <c r="B60" s="61">
        <v>400</v>
      </c>
      <c r="C60" s="26"/>
      <c r="D60" s="20"/>
      <c r="E60" s="82"/>
      <c r="F60" s="21" t="s">
        <v>25</v>
      </c>
      <c r="G60" s="17"/>
      <c r="H60" s="79"/>
      <c r="I60" s="18"/>
      <c r="J60" s="73">
        <v>9364</v>
      </c>
      <c r="K60" s="83">
        <v>160</v>
      </c>
      <c r="L60" s="74" t="s">
        <v>23</v>
      </c>
      <c r="M60" s="23"/>
      <c r="N60" s="23"/>
      <c r="O60" s="23"/>
    </row>
    <row r="61" spans="1:15" x14ac:dyDescent="0.25">
      <c r="A61" s="25">
        <v>9251</v>
      </c>
      <c r="B61" s="61">
        <v>160</v>
      </c>
      <c r="C61" s="26"/>
      <c r="D61" s="20">
        <v>9287</v>
      </c>
      <c r="E61" s="82">
        <v>560</v>
      </c>
      <c r="F61" s="21" t="s">
        <v>243</v>
      </c>
      <c r="G61" s="17"/>
      <c r="H61" s="79"/>
      <c r="I61" s="18"/>
      <c r="J61" s="73"/>
      <c r="K61" s="83"/>
      <c r="L61" s="74" t="s">
        <v>264</v>
      </c>
      <c r="M61" s="23"/>
      <c r="N61" s="23"/>
      <c r="O61" s="23"/>
    </row>
    <row r="62" spans="1:15" x14ac:dyDescent="0.25">
      <c r="A62" s="25"/>
      <c r="B62" s="61"/>
      <c r="C62" s="26"/>
      <c r="D62" s="20"/>
      <c r="E62" s="82"/>
      <c r="F62" s="21" t="s">
        <v>175</v>
      </c>
      <c r="G62" s="17"/>
      <c r="H62" s="79"/>
      <c r="I62" s="18"/>
      <c r="J62" s="73">
        <v>9365</v>
      </c>
      <c r="K62" s="83">
        <v>160</v>
      </c>
      <c r="L62" s="74" t="s">
        <v>23</v>
      </c>
      <c r="M62" s="23"/>
      <c r="N62" s="23"/>
      <c r="O62" s="23"/>
    </row>
    <row r="63" spans="1:15" x14ac:dyDescent="0.25">
      <c r="A63" s="25"/>
      <c r="B63" s="61"/>
      <c r="C63" s="26"/>
      <c r="D63" s="20"/>
      <c r="E63" s="82"/>
      <c r="F63" s="21" t="s">
        <v>244</v>
      </c>
      <c r="G63" s="17"/>
      <c r="H63" s="79"/>
      <c r="I63" s="18"/>
      <c r="J63" s="73"/>
      <c r="K63" s="83"/>
      <c r="L63" s="74" t="s">
        <v>265</v>
      </c>
      <c r="M63" s="23"/>
      <c r="N63" s="23"/>
      <c r="O63" s="23"/>
    </row>
    <row r="64" spans="1:15" x14ac:dyDescent="0.25">
      <c r="A64" s="25"/>
      <c r="B64" s="61"/>
      <c r="C64" s="26"/>
      <c r="D64" s="20">
        <v>9288</v>
      </c>
      <c r="E64" s="82">
        <v>400</v>
      </c>
      <c r="F64" s="21"/>
      <c r="G64" s="17"/>
      <c r="H64" s="79"/>
      <c r="I64" s="18"/>
      <c r="J64" s="73">
        <v>9366</v>
      </c>
      <c r="K64" s="83">
        <v>400</v>
      </c>
      <c r="L64" s="74"/>
      <c r="M64" s="23"/>
      <c r="N64" s="23"/>
      <c r="O64" s="23"/>
    </row>
    <row r="65" spans="1:15" x14ac:dyDescent="0.25">
      <c r="A65" s="25"/>
      <c r="B65" s="61"/>
      <c r="C65" s="26"/>
      <c r="D65" s="20">
        <v>9289</v>
      </c>
      <c r="E65" s="82">
        <v>200</v>
      </c>
      <c r="F65" s="21" t="s">
        <v>145</v>
      </c>
      <c r="G65" s="17"/>
      <c r="H65" s="79"/>
      <c r="I65" s="18"/>
      <c r="J65" s="73">
        <v>9367</v>
      </c>
      <c r="K65" s="83">
        <v>400</v>
      </c>
      <c r="L65" s="74"/>
      <c r="M65" s="23"/>
      <c r="N65" s="23"/>
      <c r="O65" s="23"/>
    </row>
    <row r="66" spans="1:15" x14ac:dyDescent="0.25">
      <c r="A66" s="25"/>
      <c r="B66" s="61"/>
      <c r="C66" s="26"/>
      <c r="D66" s="20"/>
      <c r="E66" s="82"/>
      <c r="F66" s="21" t="s">
        <v>86</v>
      </c>
      <c r="G66" s="17"/>
      <c r="H66" s="79"/>
      <c r="I66" s="18"/>
      <c r="J66" s="73">
        <v>9368</v>
      </c>
      <c r="K66" s="83">
        <v>600</v>
      </c>
      <c r="L66" s="74" t="s">
        <v>151</v>
      </c>
      <c r="M66" s="23"/>
      <c r="N66" s="23"/>
      <c r="O66" s="23"/>
    </row>
    <row r="67" spans="1:15" x14ac:dyDescent="0.25">
      <c r="A67" s="25"/>
      <c r="B67" s="61"/>
      <c r="C67" s="26"/>
      <c r="D67" s="20">
        <v>9290</v>
      </c>
      <c r="E67" s="82">
        <v>400</v>
      </c>
      <c r="F67" s="21"/>
      <c r="G67" s="17"/>
      <c r="H67" s="79"/>
      <c r="I67" s="18"/>
      <c r="J67" s="73"/>
      <c r="K67" s="83"/>
      <c r="L67" s="74" t="s">
        <v>33</v>
      </c>
      <c r="M67" s="23"/>
      <c r="N67" s="23"/>
      <c r="O67" s="23"/>
    </row>
    <row r="68" spans="1:15" x14ac:dyDescent="0.25">
      <c r="A68" s="25"/>
      <c r="B68" s="61"/>
      <c r="C68" s="26"/>
      <c r="D68" s="20">
        <v>9291</v>
      </c>
      <c r="E68" s="82">
        <v>400</v>
      </c>
      <c r="F68" s="21"/>
      <c r="G68" s="17"/>
      <c r="H68" s="79"/>
      <c r="I68" s="18"/>
      <c r="J68" s="73">
        <v>9369</v>
      </c>
      <c r="K68" s="83">
        <v>400</v>
      </c>
      <c r="L68" s="74" t="s">
        <v>248</v>
      </c>
      <c r="M68" s="23"/>
      <c r="N68" s="23"/>
      <c r="O68" s="23"/>
    </row>
    <row r="69" spans="1:15" x14ac:dyDescent="0.25">
      <c r="A69" s="25"/>
      <c r="B69" s="61"/>
      <c r="C69" s="26"/>
      <c r="D69" s="20">
        <v>9292</v>
      </c>
      <c r="E69" s="82">
        <v>800</v>
      </c>
      <c r="F69" s="21" t="s">
        <v>245</v>
      </c>
      <c r="G69" s="17"/>
      <c r="H69" s="79"/>
      <c r="I69" s="18"/>
      <c r="J69" s="73">
        <v>9370</v>
      </c>
      <c r="K69" s="83">
        <v>3200</v>
      </c>
      <c r="L69" s="74" t="s">
        <v>266</v>
      </c>
      <c r="M69" s="23"/>
      <c r="N69" s="23"/>
      <c r="O69" s="23"/>
    </row>
    <row r="70" spans="1:15" x14ac:dyDescent="0.25">
      <c r="A70" s="25"/>
      <c r="B70" s="61"/>
      <c r="C70" s="26"/>
      <c r="D70" s="20"/>
      <c r="E70" s="82"/>
      <c r="F70" s="21" t="s">
        <v>128</v>
      </c>
      <c r="G70" s="17"/>
      <c r="H70" s="79"/>
      <c r="I70" s="18"/>
      <c r="J70" s="73"/>
      <c r="K70" s="83"/>
      <c r="L70" s="74" t="s">
        <v>25</v>
      </c>
      <c r="M70" s="23"/>
      <c r="N70" s="23"/>
      <c r="O70" s="23"/>
    </row>
    <row r="71" spans="1:15" x14ac:dyDescent="0.25">
      <c r="A71" s="25"/>
      <c r="B71" s="61"/>
      <c r="C71" s="26"/>
      <c r="D71" s="20">
        <v>9293</v>
      </c>
      <c r="E71" s="82">
        <v>400</v>
      </c>
      <c r="F71" s="21" t="s">
        <v>246</v>
      </c>
      <c r="G71" s="17"/>
      <c r="H71" s="79"/>
      <c r="I71" s="18"/>
      <c r="J71" s="73"/>
      <c r="K71" s="83">
        <v>11000</v>
      </c>
      <c r="L71" s="74" t="s">
        <v>550</v>
      </c>
      <c r="M71" s="23"/>
      <c r="N71" s="23"/>
      <c r="O71" s="23"/>
    </row>
    <row r="72" spans="1:15" x14ac:dyDescent="0.25">
      <c r="A72" s="25"/>
      <c r="B72" s="61"/>
      <c r="C72" s="26"/>
      <c r="D72" s="20"/>
      <c r="E72" s="82"/>
      <c r="F72" s="21" t="s">
        <v>128</v>
      </c>
      <c r="G72" s="17"/>
      <c r="H72" s="79"/>
      <c r="I72" s="18"/>
      <c r="J72" s="73"/>
      <c r="K72" s="83"/>
      <c r="L72" s="74"/>
      <c r="M72" s="23"/>
      <c r="N72" s="23"/>
      <c r="O72" s="23"/>
    </row>
    <row r="73" spans="1:15" x14ac:dyDescent="0.25">
      <c r="A73" s="25"/>
      <c r="B73" s="61"/>
      <c r="C73" s="26"/>
      <c r="D73" s="20">
        <v>9294</v>
      </c>
      <c r="E73" s="82">
        <v>300</v>
      </c>
      <c r="F73" s="21"/>
      <c r="G73" s="17"/>
      <c r="H73" s="79"/>
      <c r="I73" s="18"/>
      <c r="J73" s="73"/>
      <c r="K73" s="83"/>
      <c r="L73" s="74"/>
      <c r="M73" s="23"/>
      <c r="N73" s="23"/>
      <c r="O73" s="23"/>
    </row>
    <row r="74" spans="1:15" x14ac:dyDescent="0.25">
      <c r="A74" s="25"/>
      <c r="B74" s="61"/>
      <c r="C74" s="26"/>
      <c r="D74" s="20">
        <v>9295</v>
      </c>
      <c r="E74" s="82">
        <v>600</v>
      </c>
      <c r="F74" s="21" t="s">
        <v>247</v>
      </c>
      <c r="G74" s="17"/>
      <c r="H74" s="79"/>
      <c r="I74" s="18"/>
      <c r="J74" s="73"/>
      <c r="K74" s="83"/>
      <c r="L74" s="74"/>
      <c r="M74" s="23"/>
      <c r="N74" s="23"/>
      <c r="O74" s="23"/>
    </row>
    <row r="75" spans="1:15" x14ac:dyDescent="0.25">
      <c r="A75" s="25"/>
      <c r="B75" s="61"/>
      <c r="C75" s="26"/>
      <c r="D75" s="20"/>
      <c r="E75" s="82"/>
      <c r="F75" s="21" t="s">
        <v>128</v>
      </c>
      <c r="G75" s="17"/>
      <c r="H75" s="79"/>
      <c r="I75" s="18"/>
      <c r="J75" s="73"/>
      <c r="K75" s="83"/>
      <c r="L75" s="74"/>
      <c r="M75" s="23"/>
      <c r="N75" s="23"/>
      <c r="O75" s="23"/>
    </row>
    <row r="76" spans="1:15" x14ac:dyDescent="0.25">
      <c r="A76" s="25"/>
      <c r="B76" s="61"/>
      <c r="C76" s="26"/>
      <c r="D76" s="20">
        <v>9296</v>
      </c>
      <c r="E76" s="82">
        <v>300</v>
      </c>
      <c r="F76" s="21"/>
      <c r="G76" s="17"/>
      <c r="H76" s="79"/>
      <c r="I76" s="18"/>
      <c r="J76" s="73"/>
      <c r="K76" s="83"/>
      <c r="L76" s="74"/>
      <c r="M76" s="23"/>
      <c r="N76" s="23"/>
      <c r="O76" s="23"/>
    </row>
    <row r="77" spans="1:15" x14ac:dyDescent="0.25">
      <c r="A77" s="25"/>
      <c r="B77" s="61"/>
      <c r="C77" s="26"/>
      <c r="D77" s="20">
        <v>9297</v>
      </c>
      <c r="E77" s="82">
        <v>400</v>
      </c>
      <c r="F77" s="21" t="s">
        <v>229</v>
      </c>
      <c r="G77" s="17"/>
      <c r="H77" s="79"/>
      <c r="I77" s="18"/>
      <c r="J77" s="73"/>
      <c r="K77" s="83"/>
      <c r="L77" s="74"/>
      <c r="M77" s="23"/>
      <c r="N77" s="23"/>
      <c r="O77" s="23"/>
    </row>
    <row r="78" spans="1:15" x14ac:dyDescent="0.25">
      <c r="A78" s="25"/>
      <c r="B78" s="61"/>
      <c r="C78" s="26"/>
      <c r="D78" s="20">
        <v>9298</v>
      </c>
      <c r="E78" s="82">
        <v>1200</v>
      </c>
      <c r="F78" s="21" t="s">
        <v>42</v>
      </c>
      <c r="G78" s="17"/>
      <c r="H78" s="79"/>
      <c r="I78" s="18"/>
      <c r="J78" s="73"/>
      <c r="K78" s="83"/>
      <c r="L78" s="74"/>
      <c r="M78" s="23"/>
      <c r="N78" s="23"/>
      <c r="O78" s="23"/>
    </row>
    <row r="79" spans="1:15" x14ac:dyDescent="0.25">
      <c r="A79" s="25"/>
      <c r="B79" s="61"/>
      <c r="C79" s="26"/>
      <c r="D79" s="20"/>
      <c r="E79" s="82"/>
      <c r="F79" s="21" t="s">
        <v>25</v>
      </c>
      <c r="G79" s="17"/>
      <c r="H79" s="79"/>
      <c r="I79" s="18"/>
      <c r="J79" s="73"/>
      <c r="K79" s="83"/>
      <c r="L79" s="74"/>
      <c r="M79" s="23"/>
      <c r="N79" s="23"/>
      <c r="O79" s="23"/>
    </row>
    <row r="80" spans="1:15" x14ac:dyDescent="0.25">
      <c r="A80" s="25"/>
      <c r="B80" s="61"/>
      <c r="C80" s="26"/>
      <c r="D80" s="20">
        <v>9299</v>
      </c>
      <c r="E80" s="82">
        <v>400</v>
      </c>
      <c r="F80" s="21"/>
      <c r="G80" s="17"/>
      <c r="H80" s="79"/>
      <c r="I80" s="18"/>
      <c r="J80" s="73"/>
      <c r="K80" s="83"/>
      <c r="L80" s="74"/>
      <c r="M80" s="23"/>
      <c r="N80" s="23"/>
      <c r="O80" s="23"/>
    </row>
    <row r="81" spans="1:15" x14ac:dyDescent="0.25">
      <c r="A81" s="25"/>
      <c r="B81" s="61"/>
      <c r="C81" s="26"/>
      <c r="D81" s="20">
        <v>9300</v>
      </c>
      <c r="E81" s="82">
        <v>400</v>
      </c>
      <c r="F81" s="21" t="s">
        <v>229</v>
      </c>
      <c r="G81" s="17"/>
      <c r="H81" s="79"/>
      <c r="I81" s="18"/>
      <c r="J81" s="73"/>
      <c r="K81" s="83"/>
      <c r="L81" s="74"/>
      <c r="M81" s="23"/>
      <c r="N81" s="23"/>
      <c r="O81" s="23"/>
    </row>
    <row r="82" spans="1:15" x14ac:dyDescent="0.25">
      <c r="A82" s="25"/>
      <c r="B82" s="61"/>
      <c r="C82" s="26"/>
      <c r="D82" s="20">
        <v>9301</v>
      </c>
      <c r="E82" s="82">
        <v>400</v>
      </c>
      <c r="F82" s="21"/>
      <c r="G82" s="17"/>
      <c r="H82" s="79"/>
      <c r="I82" s="18"/>
      <c r="J82" s="73"/>
      <c r="K82" s="83"/>
      <c r="L82" s="74"/>
      <c r="M82" s="23"/>
      <c r="N82" s="23"/>
      <c r="O82" s="23"/>
    </row>
    <row r="83" spans="1:15" x14ac:dyDescent="0.25">
      <c r="A83" s="25"/>
      <c r="B83" s="61"/>
      <c r="C83" s="26"/>
      <c r="D83" s="20">
        <v>9302</v>
      </c>
      <c r="E83" s="82">
        <v>350</v>
      </c>
      <c r="F83" s="21"/>
      <c r="G83" s="17"/>
      <c r="H83" s="79"/>
      <c r="I83" s="18"/>
      <c r="J83" s="73"/>
      <c r="K83" s="83"/>
      <c r="L83" s="74"/>
      <c r="M83" s="23"/>
      <c r="N83" s="23"/>
      <c r="O83" s="23"/>
    </row>
    <row r="84" spans="1:15" x14ac:dyDescent="0.25">
      <c r="A84" s="25"/>
      <c r="B84" s="61"/>
      <c r="C84" s="26"/>
      <c r="D84" s="20">
        <v>9303</v>
      </c>
      <c r="E84" s="82">
        <v>400</v>
      </c>
      <c r="F84" s="21" t="s">
        <v>248</v>
      </c>
      <c r="G84" s="17"/>
      <c r="H84" s="79"/>
      <c r="I84" s="18"/>
      <c r="J84" s="73"/>
      <c r="K84" s="83"/>
      <c r="L84" s="74"/>
      <c r="M84" s="23"/>
      <c r="N84" s="23"/>
      <c r="O84" s="23"/>
    </row>
    <row r="85" spans="1:15" x14ac:dyDescent="0.25">
      <c r="A85" s="25"/>
      <c r="B85" s="61"/>
      <c r="C85" s="26"/>
      <c r="D85" s="20">
        <v>9304</v>
      </c>
      <c r="E85" s="82">
        <v>200</v>
      </c>
      <c r="F85" s="21" t="s">
        <v>249</v>
      </c>
      <c r="G85" s="17"/>
      <c r="H85" s="79"/>
      <c r="I85" s="18"/>
      <c r="J85" s="73"/>
      <c r="K85" s="83"/>
      <c r="L85" s="74"/>
      <c r="M85" s="23"/>
      <c r="N85" s="23"/>
      <c r="O85" s="23"/>
    </row>
    <row r="86" spans="1:15" x14ac:dyDescent="0.25">
      <c r="A86" s="25"/>
      <c r="B86" s="61"/>
      <c r="C86" s="26"/>
      <c r="D86" s="20"/>
      <c r="E86" s="82"/>
      <c r="F86" s="21" t="s">
        <v>128</v>
      </c>
      <c r="G86" s="17"/>
      <c r="H86" s="79"/>
      <c r="I86" s="18"/>
      <c r="J86" s="73"/>
      <c r="K86" s="83"/>
      <c r="L86" s="74"/>
      <c r="M86" s="23"/>
      <c r="N86" s="23"/>
      <c r="O86" s="23"/>
    </row>
    <row r="87" spans="1:15" x14ac:dyDescent="0.25">
      <c r="A87" s="25"/>
      <c r="B87" s="61"/>
      <c r="C87" s="26"/>
      <c r="D87" s="20">
        <v>9305</v>
      </c>
      <c r="E87" s="82">
        <v>900</v>
      </c>
      <c r="F87" s="21" t="s">
        <v>168</v>
      </c>
      <c r="G87" s="17"/>
      <c r="H87" s="79"/>
      <c r="I87" s="18"/>
      <c r="J87" s="73"/>
      <c r="K87" s="83"/>
      <c r="L87" s="74"/>
      <c r="M87" s="23"/>
      <c r="N87" s="23"/>
      <c r="O87" s="23"/>
    </row>
    <row r="88" spans="1:15" x14ac:dyDescent="0.25">
      <c r="A88" s="25"/>
      <c r="B88" s="61"/>
      <c r="C88" s="26"/>
      <c r="D88" s="20"/>
      <c r="E88" s="82"/>
      <c r="F88" s="21" t="s">
        <v>33</v>
      </c>
      <c r="G88" s="17"/>
      <c r="H88" s="79"/>
      <c r="I88" s="18"/>
      <c r="J88" s="73"/>
      <c r="K88" s="83"/>
      <c r="L88" s="74"/>
      <c r="M88" s="23"/>
      <c r="N88" s="23"/>
      <c r="O88" s="23"/>
    </row>
    <row r="89" spans="1:15" x14ac:dyDescent="0.25">
      <c r="A89" s="25"/>
      <c r="B89" s="61"/>
      <c r="C89" s="26"/>
      <c r="D89" s="20">
        <v>9306</v>
      </c>
      <c r="E89" s="82">
        <v>100</v>
      </c>
      <c r="F89" s="21"/>
      <c r="G89" s="17"/>
      <c r="H89" s="79"/>
      <c r="I89" s="18"/>
      <c r="J89" s="73"/>
      <c r="K89" s="83"/>
      <c r="L89" s="74"/>
      <c r="M89" s="23"/>
      <c r="N89" s="23"/>
      <c r="O89" s="23"/>
    </row>
    <row r="90" spans="1:15" x14ac:dyDescent="0.25">
      <c r="A90" s="37"/>
      <c r="B90" s="37"/>
      <c r="C90" s="70"/>
      <c r="D90" s="20"/>
      <c r="E90" s="82"/>
      <c r="F90" s="21"/>
      <c r="G90" s="37"/>
      <c r="H90" s="70"/>
      <c r="I90" s="70"/>
      <c r="J90" s="37"/>
      <c r="K90" s="70"/>
      <c r="L90" s="70"/>
      <c r="M90" s="70"/>
      <c r="N90" s="70"/>
      <c r="O90" s="70"/>
    </row>
    <row r="91" spans="1:15" x14ac:dyDescent="0.25">
      <c r="A91" s="37"/>
      <c r="B91" s="37"/>
      <c r="C91" s="70"/>
      <c r="D91" s="37"/>
      <c r="E91" s="70"/>
      <c r="F91" s="70"/>
      <c r="G91" s="37"/>
      <c r="H91" s="70"/>
      <c r="I91" s="70"/>
      <c r="J91" s="37"/>
      <c r="K91" s="70"/>
      <c r="L91" s="70"/>
      <c r="M91" s="70"/>
      <c r="N91" s="70"/>
      <c r="O91" s="70"/>
    </row>
    <row r="92" spans="1:15" x14ac:dyDescent="0.25">
      <c r="A92" s="37"/>
      <c r="B92" s="37"/>
      <c r="C92" s="70"/>
      <c r="D92" s="37"/>
      <c r="E92" s="70"/>
      <c r="F92" s="70"/>
      <c r="G92" s="37"/>
      <c r="H92" s="70"/>
      <c r="I92" s="70"/>
      <c r="J92" s="37"/>
      <c r="K92" s="70"/>
      <c r="L92" s="70"/>
      <c r="M92" s="70"/>
      <c r="N92" s="70"/>
      <c r="O92" s="70"/>
    </row>
    <row r="93" spans="1:15" x14ac:dyDescent="0.25">
      <c r="A93" s="37"/>
      <c r="B93" s="37"/>
      <c r="C93" s="70"/>
      <c r="D93" s="37"/>
      <c r="E93" s="70"/>
      <c r="F93" s="70"/>
      <c r="G93" s="37"/>
      <c r="H93" s="70"/>
      <c r="I93" s="70"/>
      <c r="J93" s="37"/>
      <c r="K93" s="70"/>
      <c r="L93" s="70"/>
      <c r="M93" s="70"/>
      <c r="N93" s="70"/>
      <c r="O93" s="70"/>
    </row>
    <row r="94" spans="1:15" x14ac:dyDescent="0.25">
      <c r="A94" s="37"/>
      <c r="B94" s="37"/>
      <c r="C94" s="70"/>
      <c r="D94" s="37"/>
      <c r="E94" s="70"/>
      <c r="F94" s="70"/>
      <c r="G94" s="37"/>
      <c r="H94" s="70"/>
      <c r="I94" s="70"/>
      <c r="J94" s="37"/>
      <c r="K94" s="70"/>
      <c r="L94" s="70"/>
      <c r="M94" s="70"/>
      <c r="N94" s="70"/>
      <c r="O94" s="70"/>
    </row>
    <row r="95" spans="1:15" x14ac:dyDescent="0.25">
      <c r="A95" s="37"/>
      <c r="B95" s="37"/>
      <c r="C95" s="70"/>
      <c r="D95" s="37"/>
      <c r="E95" s="70"/>
      <c r="F95" s="70"/>
      <c r="G95" s="37"/>
      <c r="H95" s="70"/>
      <c r="I95" s="70"/>
      <c r="J95" s="37"/>
      <c r="K95" s="70"/>
      <c r="L95" s="70"/>
      <c r="M95" s="70"/>
      <c r="N95" s="70"/>
      <c r="O95" s="70"/>
    </row>
    <row r="96" spans="1:15" x14ac:dyDescent="0.25">
      <c r="A96" s="37"/>
      <c r="B96" s="37"/>
      <c r="C96" s="70"/>
      <c r="D96" s="37"/>
      <c r="E96" s="70"/>
      <c r="F96" s="70"/>
      <c r="G96" s="37"/>
      <c r="H96" s="70"/>
      <c r="I96" s="70"/>
      <c r="J96" s="37"/>
      <c r="K96" s="70"/>
      <c r="L96" s="70"/>
      <c r="M96" s="70"/>
      <c r="N96" s="70"/>
      <c r="O96" s="70"/>
    </row>
    <row r="97" spans="1:15" x14ac:dyDescent="0.25">
      <c r="A97" s="37"/>
      <c r="B97" s="37"/>
      <c r="C97" s="70"/>
      <c r="D97" s="37"/>
      <c r="E97" s="70"/>
      <c r="F97" s="70"/>
      <c r="G97" s="37"/>
      <c r="H97" s="70"/>
      <c r="I97" s="70"/>
      <c r="J97" s="37"/>
      <c r="K97" s="70"/>
      <c r="L97" s="70"/>
      <c r="M97" s="70"/>
      <c r="N97" s="70"/>
      <c r="O97" s="70"/>
    </row>
    <row r="98" spans="1:15" x14ac:dyDescent="0.25">
      <c r="A98" s="37"/>
      <c r="B98" s="37"/>
      <c r="C98" s="70"/>
      <c r="D98" s="37"/>
      <c r="E98" s="70"/>
      <c r="F98" s="70"/>
      <c r="G98" s="37"/>
      <c r="H98" s="70"/>
      <c r="I98" s="70"/>
      <c r="J98" s="37"/>
      <c r="K98" s="70"/>
      <c r="L98" s="70"/>
      <c r="M98" s="70"/>
      <c r="N98" s="70"/>
      <c r="O98" s="70"/>
    </row>
    <row r="99" spans="1:15" x14ac:dyDescent="0.25">
      <c r="A99" s="37"/>
      <c r="B99" s="37"/>
      <c r="C99" s="70"/>
      <c r="D99" s="37"/>
      <c r="E99" s="70"/>
      <c r="F99" s="70"/>
      <c r="G99" s="37"/>
      <c r="H99" s="70"/>
      <c r="I99" s="70"/>
      <c r="J99" s="37"/>
      <c r="K99" s="70"/>
      <c r="L99" s="70"/>
      <c r="M99" s="70"/>
      <c r="N99" s="70"/>
      <c r="O99" s="70"/>
    </row>
    <row r="100" spans="1:15" x14ac:dyDescent="0.25">
      <c r="A100" s="37"/>
      <c r="B100" s="37"/>
      <c r="C100" s="70"/>
      <c r="D100" s="37"/>
      <c r="E100" s="70"/>
      <c r="F100" s="70"/>
      <c r="G100" s="37"/>
      <c r="H100" s="70"/>
      <c r="I100" s="70"/>
      <c r="J100" s="37"/>
      <c r="K100" s="70"/>
      <c r="L100" s="70"/>
      <c r="M100" s="70"/>
      <c r="N100" s="70"/>
      <c r="O100" s="70"/>
    </row>
    <row r="101" spans="1:15" x14ac:dyDescent="0.25">
      <c r="A101" s="37"/>
      <c r="B101" s="37"/>
      <c r="C101" s="70"/>
      <c r="D101" s="37"/>
      <c r="E101" s="70"/>
      <c r="F101" s="70"/>
      <c r="G101" s="37"/>
      <c r="H101" s="70"/>
      <c r="I101" s="70"/>
      <c r="J101" s="37"/>
      <c r="K101" s="70"/>
      <c r="L101" s="70"/>
      <c r="M101" s="70"/>
      <c r="N101" s="70"/>
      <c r="O101" s="70"/>
    </row>
    <row r="102" spans="1:15" x14ac:dyDescent="0.25">
      <c r="A102" s="37"/>
      <c r="B102" s="37"/>
      <c r="C102" s="70"/>
      <c r="D102" s="37"/>
      <c r="E102" s="70"/>
      <c r="F102" s="70"/>
      <c r="G102" s="37"/>
      <c r="H102" s="70"/>
      <c r="I102" s="70"/>
      <c r="J102" s="37"/>
      <c r="K102" s="70"/>
      <c r="L102" s="70"/>
      <c r="M102" s="70"/>
      <c r="N102" s="70"/>
      <c r="O102" s="70"/>
    </row>
    <row r="103" spans="1:15" x14ac:dyDescent="0.25">
      <c r="A103" s="37"/>
      <c r="B103" s="37"/>
      <c r="C103" s="70"/>
      <c r="D103" s="37"/>
      <c r="E103" s="70"/>
      <c r="F103" s="70"/>
      <c r="G103" s="37"/>
      <c r="H103" s="70"/>
      <c r="I103" s="70"/>
      <c r="J103" s="37"/>
      <c r="K103" s="70"/>
      <c r="L103" s="70"/>
      <c r="M103" s="70"/>
      <c r="N103" s="70"/>
      <c r="O103" s="70"/>
    </row>
    <row r="104" spans="1:15" x14ac:dyDescent="0.25">
      <c r="A104" s="37"/>
      <c r="B104" s="37"/>
      <c r="C104" s="70"/>
      <c r="D104" s="37"/>
      <c r="E104" s="70"/>
      <c r="F104" s="70"/>
      <c r="G104" s="37"/>
      <c r="H104" s="70"/>
      <c r="I104" s="70"/>
      <c r="J104" s="37"/>
      <c r="K104" s="70"/>
      <c r="L104" s="70"/>
      <c r="M104" s="70"/>
      <c r="N104" s="70"/>
      <c r="O104" s="70"/>
    </row>
    <row r="105" spans="1:15" x14ac:dyDescent="0.25">
      <c r="A105" s="37"/>
      <c r="B105" s="37"/>
      <c r="C105" s="70"/>
      <c r="D105" s="37"/>
      <c r="E105" s="70"/>
      <c r="F105" s="70"/>
      <c r="G105" s="37"/>
      <c r="H105" s="70"/>
      <c r="I105" s="70"/>
      <c r="J105" s="37"/>
      <c r="K105" s="70"/>
      <c r="L105" s="70"/>
      <c r="M105" s="70"/>
      <c r="N105" s="70"/>
      <c r="O105" s="70"/>
    </row>
    <row r="106" spans="1:15" x14ac:dyDescent="0.25">
      <c r="A106" s="37"/>
      <c r="B106" s="37"/>
      <c r="C106" s="70"/>
      <c r="D106" s="37"/>
      <c r="E106" s="70"/>
      <c r="F106" s="70"/>
      <c r="G106" s="37"/>
      <c r="H106" s="70"/>
      <c r="I106" s="70"/>
      <c r="J106" s="37"/>
      <c r="K106" s="70"/>
      <c r="L106" s="70"/>
      <c r="M106" s="70"/>
      <c r="N106" s="70"/>
      <c r="O106" s="70"/>
    </row>
    <row r="107" spans="1:15" x14ac:dyDescent="0.25">
      <c r="A107" s="37"/>
      <c r="B107" s="37"/>
      <c r="C107" s="70"/>
      <c r="D107" s="37"/>
      <c r="E107" s="70"/>
      <c r="F107" s="70"/>
      <c r="G107" s="37"/>
      <c r="H107" s="70"/>
      <c r="I107" s="70"/>
      <c r="J107" s="37"/>
      <c r="K107" s="70"/>
      <c r="L107" s="70"/>
      <c r="M107" s="70"/>
      <c r="N107" s="70"/>
      <c r="O107" s="70"/>
    </row>
    <row r="108" spans="1:15" x14ac:dyDescent="0.25">
      <c r="A108" s="37"/>
      <c r="B108" s="37"/>
      <c r="C108" s="70"/>
      <c r="D108" s="37"/>
      <c r="E108" s="70"/>
      <c r="F108" s="70"/>
      <c r="G108" s="37"/>
      <c r="H108" s="70"/>
      <c r="I108" s="70"/>
      <c r="J108" s="37"/>
      <c r="K108" s="70"/>
      <c r="L108" s="70"/>
      <c r="M108" s="70"/>
      <c r="N108" s="70"/>
      <c r="O108" s="70"/>
    </row>
    <row r="109" spans="1:15" x14ac:dyDescent="0.25">
      <c r="A109" s="37"/>
      <c r="B109" s="37"/>
      <c r="C109" s="70"/>
      <c r="D109" s="37"/>
      <c r="E109" s="70"/>
      <c r="F109" s="70"/>
      <c r="G109" s="37"/>
      <c r="H109" s="70"/>
      <c r="I109" s="70"/>
      <c r="J109" s="37"/>
      <c r="K109" s="70"/>
      <c r="L109" s="70"/>
      <c r="M109" s="70"/>
      <c r="N109" s="70"/>
      <c r="O109" s="70"/>
    </row>
    <row r="110" spans="1:15" x14ac:dyDescent="0.25">
      <c r="A110" s="37"/>
      <c r="B110" s="37"/>
      <c r="C110" s="70"/>
      <c r="D110" s="37"/>
      <c r="E110" s="70"/>
      <c r="F110" s="70"/>
      <c r="G110" s="37"/>
      <c r="H110" s="70"/>
      <c r="I110" s="70"/>
      <c r="J110" s="37"/>
      <c r="K110" s="70"/>
      <c r="L110" s="70"/>
      <c r="M110" s="70"/>
      <c r="N110" s="70"/>
      <c r="O110" s="70"/>
    </row>
    <row r="111" spans="1:15" x14ac:dyDescent="0.25">
      <c r="A111" s="37"/>
      <c r="B111" s="37"/>
      <c r="C111" s="70"/>
      <c r="D111" s="37"/>
      <c r="E111" s="70"/>
      <c r="F111" s="70"/>
      <c r="G111" s="37"/>
      <c r="H111" s="70"/>
      <c r="I111" s="70"/>
      <c r="J111" s="37"/>
      <c r="K111" s="70"/>
      <c r="L111" s="70"/>
      <c r="M111" s="70"/>
      <c r="N111" s="70"/>
      <c r="O111" s="70"/>
    </row>
    <row r="112" spans="1:15" x14ac:dyDescent="0.25">
      <c r="A112" s="37"/>
      <c r="B112" s="37"/>
      <c r="C112" s="70"/>
      <c r="D112" s="37"/>
      <c r="E112" s="70"/>
      <c r="F112" s="70"/>
      <c r="G112" s="37"/>
      <c r="H112" s="70"/>
      <c r="I112" s="70"/>
      <c r="J112" s="37"/>
      <c r="K112" s="70"/>
      <c r="L112" s="70"/>
      <c r="M112" s="70"/>
      <c r="N112" s="70"/>
      <c r="O112" s="70"/>
    </row>
    <row r="113" spans="1:15" x14ac:dyDescent="0.25">
      <c r="A113" s="37"/>
      <c r="B113" s="37"/>
      <c r="C113" s="70"/>
      <c r="D113" s="37"/>
      <c r="E113" s="70"/>
      <c r="F113" s="70"/>
      <c r="G113" s="37"/>
      <c r="H113" s="70"/>
      <c r="I113" s="70"/>
      <c r="J113" s="37"/>
      <c r="K113" s="70"/>
      <c r="L113" s="70"/>
      <c r="M113" s="70"/>
      <c r="N113" s="70"/>
      <c r="O113" s="70"/>
    </row>
    <row r="114" spans="1:15" x14ac:dyDescent="0.25">
      <c r="A114" s="37"/>
      <c r="B114" s="37"/>
      <c r="C114" s="70"/>
      <c r="D114" s="37"/>
      <c r="E114" s="70"/>
      <c r="F114" s="70"/>
      <c r="G114" s="37"/>
      <c r="H114" s="70"/>
      <c r="I114" s="70"/>
      <c r="J114" s="37"/>
      <c r="K114" s="70"/>
      <c r="L114" s="70"/>
      <c r="M114" s="70"/>
      <c r="N114" s="70"/>
      <c r="O114" s="70"/>
    </row>
    <row r="115" spans="1:15" x14ac:dyDescent="0.25">
      <c r="A115" s="37"/>
      <c r="B115" s="37"/>
      <c r="C115" s="70"/>
      <c r="D115" s="37"/>
      <c r="E115" s="70"/>
      <c r="F115" s="70"/>
      <c r="G115" s="37"/>
      <c r="H115" s="70"/>
      <c r="I115" s="70"/>
      <c r="J115" s="37"/>
      <c r="K115" s="70"/>
      <c r="L115" s="70"/>
      <c r="M115" s="70"/>
      <c r="N115" s="70"/>
      <c r="O115" s="70"/>
    </row>
    <row r="116" spans="1:15" x14ac:dyDescent="0.25">
      <c r="A116" s="37"/>
      <c r="B116" s="37"/>
      <c r="C116" s="70"/>
      <c r="D116" s="37"/>
      <c r="E116" s="70"/>
      <c r="F116" s="70"/>
      <c r="G116" s="37"/>
      <c r="H116" s="70"/>
      <c r="I116" s="70"/>
      <c r="J116" s="37"/>
      <c r="K116" s="70"/>
      <c r="L116" s="70"/>
      <c r="M116" s="70"/>
      <c r="N116" s="70"/>
      <c r="O116" s="70"/>
    </row>
    <row r="117" spans="1:15" x14ac:dyDescent="0.25">
      <c r="A117" s="37"/>
      <c r="B117" s="37"/>
      <c r="C117" s="70"/>
      <c r="D117" s="37"/>
      <c r="E117" s="70"/>
      <c r="F117" s="70"/>
      <c r="G117" s="37"/>
      <c r="H117" s="70"/>
      <c r="I117" s="70"/>
      <c r="J117" s="37"/>
      <c r="K117" s="70"/>
      <c r="L117" s="70"/>
      <c r="M117" s="70"/>
      <c r="N117" s="70"/>
      <c r="O117" s="70"/>
    </row>
    <row r="118" spans="1:15" x14ac:dyDescent="0.25">
      <c r="A118" s="37"/>
      <c r="B118" s="37"/>
      <c r="C118" s="70"/>
      <c r="D118" s="37"/>
      <c r="E118" s="70"/>
      <c r="F118" s="70"/>
      <c r="G118" s="37"/>
      <c r="H118" s="70"/>
      <c r="I118" s="70"/>
      <c r="J118" s="37"/>
      <c r="K118" s="70"/>
      <c r="L118" s="70"/>
      <c r="M118" s="70"/>
      <c r="N118" s="70"/>
      <c r="O118" s="70"/>
    </row>
    <row r="119" spans="1:15" x14ac:dyDescent="0.25">
      <c r="A119" s="37"/>
      <c r="B119" s="37"/>
      <c r="C119" s="70"/>
      <c r="D119" s="37"/>
      <c r="E119" s="70"/>
      <c r="F119" s="70"/>
      <c r="G119" s="37"/>
      <c r="H119" s="70"/>
      <c r="I119" s="70"/>
      <c r="J119" s="37"/>
      <c r="K119" s="70"/>
      <c r="L119" s="70"/>
      <c r="M119" s="70"/>
      <c r="N119" s="70"/>
      <c r="O119" s="70"/>
    </row>
    <row r="120" spans="1:15" x14ac:dyDescent="0.25">
      <c r="A120" s="37"/>
      <c r="B120" s="37"/>
      <c r="C120" s="70"/>
      <c r="D120" s="37"/>
      <c r="E120" s="70"/>
      <c r="F120" s="70"/>
      <c r="G120" s="37"/>
      <c r="H120" s="70"/>
      <c r="I120" s="70"/>
      <c r="J120" s="37"/>
      <c r="K120" s="70"/>
      <c r="L120" s="70"/>
      <c r="M120" s="70"/>
      <c r="N120" s="70"/>
      <c r="O120" s="70"/>
    </row>
    <row r="121" spans="1:15" x14ac:dyDescent="0.25">
      <c r="A121" s="37"/>
      <c r="B121" s="37"/>
      <c r="C121" s="70"/>
      <c r="D121" s="37"/>
      <c r="E121" s="70"/>
      <c r="F121" s="70"/>
      <c r="G121" s="37"/>
      <c r="H121" s="70"/>
      <c r="I121" s="70"/>
      <c r="J121" s="37"/>
      <c r="K121" s="70"/>
      <c r="L121" s="70"/>
      <c r="M121" s="70"/>
      <c r="N121" s="70"/>
      <c r="O121" s="70"/>
    </row>
    <row r="122" spans="1:15" x14ac:dyDescent="0.25">
      <c r="A122" s="37"/>
      <c r="B122" s="37"/>
      <c r="C122" s="70"/>
      <c r="D122" s="37"/>
      <c r="E122" s="70"/>
      <c r="F122" s="70"/>
      <c r="G122" s="37"/>
      <c r="H122" s="70"/>
      <c r="I122" s="70"/>
      <c r="J122" s="37"/>
      <c r="K122" s="70"/>
      <c r="L122" s="70"/>
      <c r="M122" s="70"/>
      <c r="N122" s="70"/>
      <c r="O122" s="70"/>
    </row>
    <row r="123" spans="1:15" x14ac:dyDescent="0.25">
      <c r="A123" s="37"/>
      <c r="B123" s="37"/>
      <c r="C123" s="70"/>
      <c r="D123" s="37"/>
      <c r="E123" s="70"/>
      <c r="F123" s="70"/>
      <c r="G123" s="37"/>
      <c r="H123" s="70"/>
      <c r="I123" s="70"/>
      <c r="J123" s="37"/>
      <c r="K123" s="70"/>
      <c r="L123" s="70"/>
      <c r="M123" s="70"/>
      <c r="N123" s="70"/>
      <c r="O123" s="70"/>
    </row>
    <row r="124" spans="1:15" x14ac:dyDescent="0.25">
      <c r="A124" s="37"/>
      <c r="B124" s="37"/>
      <c r="C124" s="70"/>
      <c r="D124" s="37"/>
      <c r="E124" s="70"/>
      <c r="F124" s="70"/>
      <c r="G124" s="37"/>
      <c r="H124" s="70"/>
      <c r="I124" s="70"/>
      <c r="J124" s="37"/>
      <c r="K124" s="70"/>
      <c r="L124" s="70"/>
      <c r="M124" s="70"/>
      <c r="N124" s="70"/>
      <c r="O124" s="70"/>
    </row>
    <row r="125" spans="1:15" x14ac:dyDescent="0.25">
      <c r="A125" s="37"/>
      <c r="B125" s="37"/>
      <c r="C125" s="70"/>
      <c r="D125" s="37"/>
      <c r="E125" s="70"/>
      <c r="F125" s="70"/>
      <c r="G125" s="37"/>
      <c r="H125" s="70"/>
      <c r="I125" s="70"/>
      <c r="J125" s="37"/>
      <c r="K125" s="70"/>
      <c r="L125" s="70"/>
      <c r="M125" s="70"/>
      <c r="N125" s="70"/>
      <c r="O125" s="70"/>
    </row>
    <row r="126" spans="1:15" x14ac:dyDescent="0.25">
      <c r="A126" s="37"/>
      <c r="B126" s="37"/>
      <c r="C126" s="70"/>
      <c r="D126" s="37"/>
      <c r="E126" s="70"/>
      <c r="F126" s="70"/>
      <c r="G126" s="37"/>
      <c r="H126" s="70"/>
      <c r="I126" s="70"/>
      <c r="J126" s="37"/>
      <c r="K126" s="70"/>
      <c r="L126" s="70"/>
      <c r="M126" s="70"/>
      <c r="N126" s="70"/>
      <c r="O126" s="70"/>
    </row>
    <row r="127" spans="1:15" x14ac:dyDescent="0.25">
      <c r="A127" s="37"/>
      <c r="B127" s="37"/>
      <c r="C127" s="70"/>
      <c r="D127" s="37"/>
      <c r="E127" s="70"/>
      <c r="F127" s="70"/>
      <c r="G127" s="37"/>
      <c r="H127" s="70"/>
      <c r="I127" s="70"/>
      <c r="J127" s="37"/>
      <c r="K127" s="70"/>
      <c r="L127" s="70"/>
      <c r="M127" s="70"/>
      <c r="N127" s="70"/>
      <c r="O127" s="70"/>
    </row>
    <row r="128" spans="1:15" x14ac:dyDescent="0.25">
      <c r="A128" s="37"/>
      <c r="B128" s="37"/>
      <c r="C128" s="70"/>
      <c r="D128" s="37"/>
      <c r="E128" s="70"/>
      <c r="F128" s="70"/>
      <c r="G128" s="37"/>
      <c r="H128" s="70"/>
      <c r="I128" s="70"/>
      <c r="J128" s="37"/>
      <c r="K128" s="70"/>
      <c r="L128" s="70"/>
      <c r="M128" s="70"/>
      <c r="N128" s="70"/>
      <c r="O128" s="70"/>
    </row>
    <row r="129" spans="1:15" x14ac:dyDescent="0.25">
      <c r="A129" s="37"/>
      <c r="B129" s="37"/>
      <c r="C129" s="70"/>
      <c r="D129" s="37"/>
      <c r="E129" s="70"/>
      <c r="F129" s="70"/>
      <c r="G129" s="37"/>
      <c r="H129" s="70"/>
      <c r="I129" s="70"/>
      <c r="J129" s="37"/>
      <c r="K129" s="70"/>
      <c r="L129" s="70"/>
      <c r="M129" s="70"/>
      <c r="N129" s="70"/>
      <c r="O129" s="70"/>
    </row>
    <row r="130" spans="1:15" x14ac:dyDescent="0.25">
      <c r="A130" s="37"/>
      <c r="B130" s="37"/>
      <c r="C130" s="70"/>
      <c r="D130" s="37"/>
      <c r="E130" s="70"/>
      <c r="F130" s="70"/>
      <c r="G130" s="37"/>
      <c r="H130" s="70"/>
      <c r="I130" s="70"/>
      <c r="J130" s="37"/>
      <c r="K130" s="70"/>
      <c r="L130" s="70"/>
      <c r="M130" s="70"/>
      <c r="N130" s="70"/>
      <c r="O130" s="70"/>
    </row>
    <row r="131" spans="1:15" x14ac:dyDescent="0.25">
      <c r="A131" s="37"/>
      <c r="B131" s="37"/>
      <c r="C131" s="70"/>
      <c r="D131" s="37"/>
      <c r="E131" s="70"/>
      <c r="F131" s="70"/>
      <c r="G131" s="37"/>
      <c r="H131" s="70"/>
      <c r="I131" s="70"/>
      <c r="J131" s="37"/>
      <c r="K131" s="70"/>
      <c r="L131" s="70"/>
      <c r="M131" s="70"/>
      <c r="N131" s="70"/>
      <c r="O131" s="70"/>
    </row>
    <row r="132" spans="1:15" x14ac:dyDescent="0.25">
      <c r="A132" s="37"/>
      <c r="B132" s="37"/>
      <c r="C132" s="70"/>
      <c r="D132" s="37"/>
      <c r="E132" s="70"/>
      <c r="F132" s="70"/>
      <c r="G132" s="37"/>
      <c r="H132" s="70"/>
      <c r="I132" s="70"/>
      <c r="J132" s="37"/>
      <c r="K132" s="70"/>
      <c r="L132" s="70"/>
      <c r="M132" s="70"/>
      <c r="N132" s="70"/>
      <c r="O132" s="70"/>
    </row>
    <row r="133" spans="1:15" x14ac:dyDescent="0.25">
      <c r="A133" s="37"/>
      <c r="B133" s="37"/>
      <c r="C133" s="70"/>
      <c r="D133" s="37"/>
      <c r="E133" s="70"/>
      <c r="F133" s="70"/>
      <c r="G133" s="37"/>
      <c r="H133" s="70"/>
      <c r="I133" s="70"/>
      <c r="J133" s="37"/>
      <c r="K133" s="70"/>
      <c r="L133" s="70"/>
      <c r="M133" s="70"/>
      <c r="N133" s="70"/>
      <c r="O133" s="70"/>
    </row>
    <row r="134" spans="1:15" x14ac:dyDescent="0.25">
      <c r="A134" s="37"/>
      <c r="B134" s="37"/>
      <c r="C134" s="70"/>
      <c r="D134" s="37"/>
      <c r="E134" s="70"/>
      <c r="F134" s="70"/>
      <c r="G134" s="37"/>
      <c r="H134" s="70"/>
      <c r="I134" s="70"/>
      <c r="J134" s="37"/>
      <c r="K134" s="70"/>
      <c r="L134" s="70"/>
      <c r="M134" s="70"/>
      <c r="N134" s="70"/>
      <c r="O134" s="70"/>
    </row>
    <row r="135" spans="1:15" x14ac:dyDescent="0.25">
      <c r="A135" s="37"/>
      <c r="B135" s="37"/>
      <c r="C135" s="70"/>
      <c r="D135" s="37"/>
      <c r="E135" s="70"/>
      <c r="F135" s="70"/>
      <c r="G135" s="37"/>
      <c r="H135" s="70"/>
      <c r="I135" s="70"/>
      <c r="J135" s="37"/>
      <c r="K135" s="70"/>
      <c r="L135" s="70"/>
      <c r="M135" s="70"/>
      <c r="N135" s="70"/>
      <c r="O135" s="70"/>
    </row>
    <row r="136" spans="1:15" x14ac:dyDescent="0.25">
      <c r="A136" s="37"/>
      <c r="B136" s="37"/>
      <c r="C136" s="70"/>
      <c r="D136" s="37"/>
      <c r="E136" s="70"/>
      <c r="F136" s="70"/>
      <c r="G136" s="37"/>
      <c r="H136" s="70"/>
      <c r="I136" s="70"/>
      <c r="J136" s="37"/>
      <c r="K136" s="70"/>
      <c r="L136" s="70"/>
      <c r="M136" s="70"/>
      <c r="N136" s="70"/>
      <c r="O136" s="70"/>
    </row>
    <row r="137" spans="1:15" x14ac:dyDescent="0.25">
      <c r="A137" s="37"/>
      <c r="B137" s="37"/>
      <c r="C137" s="70"/>
      <c r="D137" s="37"/>
      <c r="E137" s="70"/>
      <c r="F137" s="70"/>
      <c r="G137" s="37"/>
      <c r="H137" s="70"/>
      <c r="I137" s="70"/>
      <c r="J137" s="37"/>
      <c r="K137" s="70"/>
      <c r="L137" s="70"/>
      <c r="M137" s="70"/>
      <c r="N137" s="70"/>
      <c r="O137" s="70"/>
    </row>
    <row r="138" spans="1:15" x14ac:dyDescent="0.25">
      <c r="A138" s="37"/>
      <c r="B138" s="37"/>
      <c r="C138" s="70"/>
      <c r="D138" s="37"/>
      <c r="E138" s="70"/>
      <c r="F138" s="70"/>
      <c r="G138" s="37"/>
      <c r="H138" s="70"/>
      <c r="I138" s="70"/>
      <c r="J138" s="37"/>
      <c r="K138" s="70"/>
      <c r="L138" s="70"/>
      <c r="M138" s="70"/>
      <c r="N138" s="70"/>
      <c r="O138" s="70"/>
    </row>
    <row r="139" spans="1:15" x14ac:dyDescent="0.25">
      <c r="A139" s="37"/>
      <c r="B139" s="37"/>
      <c r="C139" s="70"/>
      <c r="D139" s="37"/>
      <c r="E139" s="70"/>
      <c r="F139" s="70"/>
      <c r="G139" s="37"/>
      <c r="H139" s="70"/>
      <c r="I139" s="70"/>
      <c r="J139" s="37"/>
      <c r="K139" s="70"/>
      <c r="L139" s="70"/>
      <c r="M139" s="70"/>
      <c r="N139" s="70"/>
      <c r="O139" s="70"/>
    </row>
    <row r="140" spans="1:15" x14ac:dyDescent="0.25">
      <c r="A140" s="37"/>
      <c r="B140" s="37"/>
      <c r="C140" s="70"/>
      <c r="D140" s="37"/>
      <c r="E140" s="70"/>
      <c r="F140" s="70"/>
      <c r="G140" s="37"/>
      <c r="H140" s="70"/>
      <c r="I140" s="70"/>
      <c r="J140" s="37"/>
      <c r="K140" s="70"/>
      <c r="L140" s="70"/>
      <c r="M140" s="70"/>
      <c r="N140" s="70"/>
      <c r="O140" s="70"/>
    </row>
    <row r="141" spans="1:15" x14ac:dyDescent="0.25">
      <c r="A141" s="37"/>
      <c r="B141" s="37"/>
      <c r="C141" s="70"/>
      <c r="D141" s="37"/>
      <c r="E141" s="70"/>
      <c r="F141" s="70"/>
      <c r="G141" s="37"/>
      <c r="H141" s="70"/>
      <c r="I141" s="70"/>
      <c r="J141" s="37"/>
      <c r="K141" s="70"/>
      <c r="L141" s="70"/>
      <c r="M141" s="70"/>
      <c r="N141" s="70"/>
      <c r="O141" s="70"/>
    </row>
    <row r="142" spans="1:15" x14ac:dyDescent="0.25">
      <c r="A142" s="37"/>
      <c r="B142" s="37"/>
      <c r="C142" s="70"/>
      <c r="D142" s="37"/>
      <c r="E142" s="70"/>
      <c r="F142" s="70"/>
      <c r="G142" s="37"/>
      <c r="H142" s="70"/>
      <c r="I142" s="70"/>
      <c r="J142" s="37"/>
      <c r="K142" s="70"/>
      <c r="L142" s="70"/>
      <c r="M142" s="70"/>
      <c r="N142" s="70"/>
      <c r="O142" s="70"/>
    </row>
    <row r="143" spans="1:15" x14ac:dyDescent="0.25">
      <c r="A143" s="37"/>
      <c r="B143" s="37"/>
      <c r="C143" s="70"/>
      <c r="D143" s="37"/>
      <c r="E143" s="70"/>
      <c r="F143" s="70"/>
      <c r="G143" s="37"/>
      <c r="H143" s="70"/>
      <c r="I143" s="70"/>
      <c r="J143" s="37"/>
      <c r="K143" s="70"/>
      <c r="L143" s="70"/>
      <c r="M143" s="70"/>
      <c r="N143" s="70"/>
      <c r="O143" s="70"/>
    </row>
    <row r="144" spans="1:15" x14ac:dyDescent="0.25">
      <c r="A144" s="37"/>
      <c r="B144" s="37"/>
      <c r="C144" s="70"/>
      <c r="D144" s="37"/>
      <c r="E144" s="70"/>
      <c r="F144" s="70"/>
      <c r="G144" s="37"/>
      <c r="H144" s="70"/>
      <c r="I144" s="70"/>
      <c r="J144" s="37"/>
      <c r="K144" s="70"/>
      <c r="L144" s="70"/>
      <c r="M144" s="70"/>
      <c r="N144" s="70"/>
      <c r="O144" s="70"/>
    </row>
    <row r="145" spans="1:15" x14ac:dyDescent="0.25">
      <c r="A145" s="37"/>
      <c r="B145" s="37"/>
      <c r="C145" s="70"/>
      <c r="D145" s="37"/>
      <c r="E145" s="70"/>
      <c r="F145" s="70"/>
      <c r="G145" s="37"/>
      <c r="H145" s="70"/>
      <c r="I145" s="70"/>
      <c r="J145" s="37"/>
      <c r="K145" s="70"/>
      <c r="L145" s="70"/>
      <c r="M145" s="70"/>
      <c r="N145" s="70"/>
      <c r="O145" s="70"/>
    </row>
    <row r="146" spans="1:15" x14ac:dyDescent="0.25">
      <c r="A146" s="37"/>
      <c r="B146" s="37"/>
      <c r="C146" s="70"/>
      <c r="D146" s="37"/>
      <c r="E146" s="70"/>
      <c r="F146" s="70"/>
      <c r="G146" s="37"/>
      <c r="H146" s="70"/>
      <c r="I146" s="70"/>
      <c r="J146" s="37"/>
      <c r="K146" s="70"/>
      <c r="L146" s="70"/>
      <c r="M146" s="70"/>
      <c r="N146" s="70"/>
      <c r="O146" s="70"/>
    </row>
    <row r="147" spans="1:15" x14ac:dyDescent="0.25">
      <c r="A147" s="37"/>
      <c r="B147" s="37"/>
      <c r="C147" s="70"/>
      <c r="D147" s="37"/>
      <c r="E147" s="70"/>
      <c r="F147" s="70"/>
      <c r="G147" s="37"/>
      <c r="H147" s="70"/>
      <c r="I147" s="70"/>
      <c r="J147" s="37"/>
      <c r="K147" s="70"/>
      <c r="L147" s="70"/>
      <c r="M147" s="70"/>
      <c r="N147" s="70"/>
      <c r="O147" s="70"/>
    </row>
    <row r="148" spans="1:15" x14ac:dyDescent="0.25">
      <c r="A148" s="37"/>
      <c r="B148" s="37"/>
      <c r="C148" s="70"/>
      <c r="D148" s="37"/>
      <c r="E148" s="70"/>
      <c r="F148" s="70"/>
      <c r="G148" s="37"/>
      <c r="H148" s="70"/>
      <c r="I148" s="70"/>
      <c r="J148" s="37"/>
      <c r="K148" s="70"/>
      <c r="L148" s="70"/>
      <c r="M148" s="70"/>
      <c r="N148" s="70"/>
      <c r="O148" s="70"/>
    </row>
    <row r="149" spans="1:15" x14ac:dyDescent="0.25">
      <c r="A149" s="37"/>
      <c r="B149" s="37"/>
      <c r="C149" s="70"/>
      <c r="D149" s="37"/>
      <c r="E149" s="70"/>
      <c r="F149" s="70"/>
      <c r="G149" s="37"/>
      <c r="H149" s="70"/>
      <c r="I149" s="70"/>
      <c r="J149" s="37"/>
      <c r="K149" s="70"/>
      <c r="L149" s="70"/>
      <c r="M149" s="70"/>
      <c r="N149" s="70"/>
      <c r="O149" s="70"/>
    </row>
    <row r="150" spans="1:15" x14ac:dyDescent="0.25">
      <c r="A150" s="37"/>
      <c r="B150" s="37"/>
      <c r="C150" s="70"/>
      <c r="D150" s="37"/>
      <c r="E150" s="70"/>
      <c r="F150" s="70"/>
      <c r="G150" s="37"/>
      <c r="H150" s="70"/>
      <c r="I150" s="70"/>
      <c r="J150" s="37"/>
      <c r="K150" s="70"/>
      <c r="L150" s="70"/>
      <c r="M150" s="70"/>
      <c r="N150" s="70"/>
      <c r="O150" s="70"/>
    </row>
    <row r="151" spans="1:15" x14ac:dyDescent="0.25">
      <c r="A151" s="37"/>
      <c r="B151" s="37"/>
      <c r="C151" s="70"/>
      <c r="D151" s="37"/>
      <c r="E151" s="70"/>
      <c r="F151" s="70"/>
      <c r="G151" s="37"/>
      <c r="H151" s="70"/>
      <c r="I151" s="70"/>
      <c r="J151" s="37"/>
      <c r="K151" s="70"/>
      <c r="L151" s="70"/>
      <c r="M151" s="70"/>
      <c r="N151" s="70"/>
      <c r="O151" s="70"/>
    </row>
    <row r="152" spans="1:15" x14ac:dyDescent="0.25">
      <c r="A152" s="37"/>
      <c r="B152" s="37"/>
      <c r="C152" s="70"/>
      <c r="D152" s="37"/>
      <c r="E152" s="70"/>
      <c r="F152" s="70"/>
      <c r="G152" s="37"/>
      <c r="H152" s="70"/>
      <c r="I152" s="70"/>
      <c r="J152" s="37"/>
      <c r="K152" s="70"/>
      <c r="L152" s="70"/>
      <c r="M152" s="70"/>
      <c r="N152" s="70"/>
      <c r="O152" s="70"/>
    </row>
    <row r="153" spans="1:15" x14ac:dyDescent="0.25">
      <c r="A153" s="37"/>
      <c r="B153" s="37"/>
      <c r="C153" s="70"/>
      <c r="D153" s="37"/>
      <c r="E153" s="70"/>
      <c r="F153" s="70"/>
      <c r="G153" s="37"/>
      <c r="H153" s="70"/>
      <c r="I153" s="70"/>
      <c r="J153" s="37"/>
      <c r="K153" s="70"/>
      <c r="L153" s="70"/>
      <c r="M153" s="70"/>
      <c r="N153" s="70"/>
      <c r="O153" s="70"/>
    </row>
    <row r="154" spans="1:15" x14ac:dyDescent="0.25">
      <c r="A154" s="37"/>
      <c r="B154" s="37"/>
      <c r="C154" s="70"/>
      <c r="D154" s="37"/>
      <c r="E154" s="70"/>
      <c r="F154" s="70"/>
      <c r="G154" s="37"/>
      <c r="H154" s="70"/>
      <c r="I154" s="70"/>
      <c r="J154" s="37"/>
      <c r="K154" s="70"/>
      <c r="L154" s="70"/>
      <c r="M154" s="70"/>
      <c r="N154" s="70"/>
      <c r="O154" s="70"/>
    </row>
    <row r="155" spans="1:15" x14ac:dyDescent="0.25">
      <c r="A155" s="37"/>
      <c r="B155" s="37"/>
      <c r="C155" s="70"/>
      <c r="D155" s="37"/>
      <c r="E155" s="70"/>
      <c r="F155" s="70"/>
      <c r="G155" s="37"/>
      <c r="H155" s="70"/>
      <c r="I155" s="70"/>
      <c r="J155" s="37"/>
      <c r="K155" s="70"/>
      <c r="L155" s="70"/>
      <c r="M155" s="70"/>
      <c r="N155" s="70"/>
      <c r="O155" s="70"/>
    </row>
    <row r="156" spans="1:15" x14ac:dyDescent="0.25">
      <c r="A156" s="37"/>
      <c r="B156" s="37"/>
      <c r="C156" s="70"/>
      <c r="D156" s="37"/>
      <c r="E156" s="70"/>
      <c r="F156" s="70"/>
      <c r="G156" s="37"/>
      <c r="H156" s="70"/>
      <c r="I156" s="70"/>
      <c r="J156" s="37"/>
      <c r="K156" s="70"/>
      <c r="L156" s="70"/>
      <c r="M156" s="70"/>
      <c r="N156" s="70"/>
      <c r="O156" s="70"/>
    </row>
    <row r="157" spans="1:15" x14ac:dyDescent="0.25">
      <c r="A157" s="37"/>
      <c r="B157" s="37"/>
      <c r="C157" s="70"/>
      <c r="D157" s="37"/>
      <c r="E157" s="70"/>
      <c r="F157" s="70"/>
      <c r="G157" s="37"/>
      <c r="H157" s="70"/>
      <c r="I157" s="70"/>
      <c r="J157" s="37"/>
      <c r="K157" s="70"/>
      <c r="L157" s="70"/>
      <c r="M157" s="70"/>
      <c r="N157" s="70"/>
      <c r="O157" s="70"/>
    </row>
    <row r="158" spans="1:15" x14ac:dyDescent="0.25">
      <c r="A158" s="37"/>
      <c r="B158" s="37"/>
      <c r="C158" s="70"/>
      <c r="D158" s="37"/>
      <c r="E158" s="70"/>
      <c r="F158" s="70"/>
      <c r="G158" s="37"/>
      <c r="H158" s="70"/>
      <c r="I158" s="70"/>
      <c r="J158" s="37"/>
      <c r="K158" s="70"/>
      <c r="L158" s="70"/>
      <c r="M158" s="70"/>
      <c r="N158" s="70"/>
      <c r="O158" s="70"/>
    </row>
    <row r="159" spans="1:15" x14ac:dyDescent="0.25">
      <c r="A159" s="37"/>
      <c r="B159" s="37"/>
      <c r="C159" s="70"/>
      <c r="D159" s="37"/>
      <c r="E159" s="70"/>
      <c r="F159" s="70"/>
      <c r="G159" s="37"/>
      <c r="H159" s="70"/>
      <c r="I159" s="70"/>
      <c r="J159" s="37"/>
      <c r="K159" s="70"/>
      <c r="L159" s="70"/>
      <c r="M159" s="70"/>
      <c r="N159" s="70"/>
      <c r="O159" s="70"/>
    </row>
    <row r="160" spans="1:15" x14ac:dyDescent="0.25">
      <c r="A160" s="37"/>
      <c r="B160" s="37"/>
      <c r="C160" s="70"/>
      <c r="D160" s="37"/>
      <c r="E160" s="70"/>
      <c r="F160" s="70"/>
      <c r="G160" s="37"/>
      <c r="H160" s="70"/>
      <c r="I160" s="70"/>
      <c r="J160" s="37"/>
      <c r="K160" s="70"/>
      <c r="L160" s="70"/>
      <c r="M160" s="70"/>
      <c r="N160" s="70"/>
      <c r="O160" s="70"/>
    </row>
    <row r="161" spans="1:15" x14ac:dyDescent="0.25">
      <c r="A161" s="37"/>
      <c r="B161" s="37"/>
      <c r="C161" s="70"/>
      <c r="D161" s="37"/>
      <c r="E161" s="70"/>
      <c r="F161" s="70"/>
      <c r="G161" s="37"/>
      <c r="H161" s="70"/>
      <c r="I161" s="70"/>
      <c r="J161" s="37"/>
      <c r="K161" s="70"/>
      <c r="L161" s="70"/>
      <c r="M161" s="70"/>
      <c r="N161" s="70"/>
      <c r="O161" s="70"/>
    </row>
    <row r="162" spans="1:15" x14ac:dyDescent="0.25">
      <c r="A162" s="37"/>
      <c r="B162" s="37"/>
      <c r="C162" s="70"/>
      <c r="D162" s="37"/>
      <c r="E162" s="70"/>
      <c r="F162" s="70"/>
      <c r="G162" s="37"/>
      <c r="H162" s="70"/>
      <c r="I162" s="70"/>
      <c r="J162" s="37"/>
      <c r="K162" s="70"/>
      <c r="L162" s="70"/>
      <c r="M162" s="70"/>
      <c r="N162" s="70"/>
      <c r="O162" s="70"/>
    </row>
    <row r="163" spans="1:15" x14ac:dyDescent="0.25">
      <c r="A163" s="37"/>
      <c r="B163" s="37"/>
      <c r="C163" s="70"/>
      <c r="D163" s="37"/>
      <c r="E163" s="70"/>
      <c r="F163" s="70"/>
      <c r="G163" s="37"/>
      <c r="H163" s="70"/>
      <c r="I163" s="70"/>
      <c r="J163" s="37"/>
      <c r="K163" s="70"/>
      <c r="L163" s="70"/>
      <c r="M163" s="70"/>
      <c r="N163" s="70"/>
      <c r="O163" s="70"/>
    </row>
    <row r="164" spans="1:15" x14ac:dyDescent="0.25">
      <c r="A164" s="37"/>
      <c r="B164" s="37"/>
      <c r="C164" s="70"/>
      <c r="D164" s="37"/>
      <c r="E164" s="70"/>
      <c r="F164" s="70"/>
      <c r="G164" s="37"/>
      <c r="H164" s="70"/>
      <c r="I164" s="70"/>
      <c r="J164" s="37"/>
      <c r="K164" s="70"/>
      <c r="L164" s="70"/>
      <c r="M164" s="70"/>
      <c r="N164" s="70"/>
      <c r="O164" s="70"/>
    </row>
    <row r="165" spans="1:15" x14ac:dyDescent="0.25">
      <c r="A165" s="37"/>
      <c r="B165" s="37"/>
      <c r="C165" s="70"/>
      <c r="D165" s="37"/>
      <c r="E165" s="70"/>
      <c r="F165" s="70"/>
      <c r="G165" s="37"/>
      <c r="H165" s="70"/>
      <c r="I165" s="70"/>
      <c r="J165" s="37"/>
      <c r="K165" s="70"/>
      <c r="L165" s="70"/>
      <c r="M165" s="70"/>
      <c r="N165" s="70"/>
      <c r="O165" s="70"/>
    </row>
    <row r="166" spans="1:15" x14ac:dyDescent="0.25">
      <c r="A166" s="37"/>
      <c r="B166" s="37"/>
      <c r="C166" s="70"/>
      <c r="D166" s="37"/>
      <c r="E166" s="70"/>
      <c r="F166" s="70"/>
      <c r="G166" s="37"/>
      <c r="H166" s="70"/>
      <c r="I166" s="70"/>
      <c r="J166" s="37"/>
      <c r="K166" s="70"/>
      <c r="L166" s="70"/>
      <c r="M166" s="70"/>
      <c r="N166" s="70"/>
      <c r="O166" s="70"/>
    </row>
    <row r="167" spans="1:15" x14ac:dyDescent="0.25">
      <c r="A167" s="37"/>
      <c r="B167" s="37"/>
      <c r="C167" s="70"/>
      <c r="D167" s="37"/>
      <c r="E167" s="70"/>
      <c r="F167" s="70"/>
      <c r="G167" s="37"/>
      <c r="H167" s="70"/>
      <c r="I167" s="70"/>
      <c r="J167" s="37"/>
      <c r="K167" s="70"/>
      <c r="L167" s="70"/>
      <c r="M167" s="70"/>
      <c r="N167" s="70"/>
      <c r="O167" s="70"/>
    </row>
    <row r="168" spans="1:15" x14ac:dyDescent="0.25">
      <c r="A168" s="37"/>
      <c r="B168" s="37"/>
      <c r="C168" s="70"/>
      <c r="D168" s="37"/>
      <c r="E168" s="70"/>
      <c r="F168" s="70"/>
      <c r="G168" s="37"/>
      <c r="H168" s="70"/>
      <c r="I168" s="70"/>
      <c r="J168" s="37"/>
      <c r="K168" s="70"/>
      <c r="L168" s="70"/>
      <c r="M168" s="70"/>
      <c r="N168" s="70"/>
      <c r="O168" s="70"/>
    </row>
    <row r="169" spans="1:15" x14ac:dyDescent="0.25">
      <c r="A169" s="37"/>
      <c r="B169" s="37"/>
      <c r="C169" s="70"/>
      <c r="D169" s="37"/>
      <c r="E169" s="70"/>
      <c r="F169" s="70"/>
      <c r="G169" s="37"/>
      <c r="H169" s="70"/>
      <c r="I169" s="70"/>
      <c r="J169" s="37"/>
      <c r="K169" s="70"/>
      <c r="L169" s="70"/>
      <c r="M169" s="70"/>
      <c r="N169" s="70"/>
      <c r="O169" s="70"/>
    </row>
    <row r="170" spans="1:15" x14ac:dyDescent="0.25">
      <c r="A170" s="37"/>
      <c r="B170" s="37"/>
      <c r="C170" s="70"/>
      <c r="D170" s="37"/>
      <c r="E170" s="70"/>
      <c r="F170" s="70"/>
      <c r="G170" s="37"/>
      <c r="H170" s="70"/>
      <c r="I170" s="70"/>
      <c r="J170" s="37"/>
      <c r="K170" s="70"/>
      <c r="L170" s="70"/>
      <c r="M170" s="70"/>
      <c r="N170" s="70"/>
      <c r="O170" s="70"/>
    </row>
    <row r="171" spans="1:15" x14ac:dyDescent="0.25">
      <c r="A171" s="37"/>
      <c r="B171" s="37"/>
      <c r="C171" s="70"/>
      <c r="D171" s="37"/>
      <c r="E171" s="70"/>
      <c r="F171" s="70"/>
      <c r="G171" s="37"/>
      <c r="H171" s="70"/>
      <c r="I171" s="70"/>
      <c r="J171" s="37"/>
      <c r="K171" s="70"/>
      <c r="L171" s="70"/>
      <c r="M171" s="70"/>
      <c r="N171" s="70"/>
      <c r="O171" s="70"/>
    </row>
    <row r="172" spans="1:15" x14ac:dyDescent="0.25">
      <c r="A172" s="37"/>
      <c r="B172" s="37"/>
      <c r="C172" s="70"/>
      <c r="D172" s="37"/>
      <c r="E172" s="70"/>
      <c r="F172" s="70"/>
      <c r="G172" s="37"/>
      <c r="H172" s="70"/>
      <c r="I172" s="70"/>
      <c r="J172" s="37"/>
      <c r="K172" s="70"/>
      <c r="L172" s="70"/>
      <c r="M172" s="70"/>
      <c r="N172" s="70"/>
      <c r="O172" s="70"/>
    </row>
    <row r="173" spans="1:15" x14ac:dyDescent="0.25">
      <c r="A173" s="37"/>
      <c r="B173" s="37"/>
      <c r="C173" s="70"/>
      <c r="D173" s="37"/>
      <c r="E173" s="70"/>
      <c r="F173" s="70"/>
      <c r="G173" s="37"/>
      <c r="H173" s="70"/>
      <c r="I173" s="70"/>
      <c r="J173" s="37"/>
      <c r="K173" s="70"/>
      <c r="L173" s="70"/>
      <c r="M173" s="70"/>
      <c r="N173" s="70"/>
      <c r="O173" s="70"/>
    </row>
    <row r="174" spans="1:15" x14ac:dyDescent="0.25">
      <c r="A174" s="37"/>
      <c r="B174" s="37"/>
      <c r="C174" s="70"/>
      <c r="D174" s="37"/>
      <c r="E174" s="70"/>
      <c r="F174" s="70"/>
      <c r="G174" s="37"/>
      <c r="H174" s="70"/>
      <c r="I174" s="70"/>
      <c r="J174" s="37"/>
      <c r="K174" s="70"/>
      <c r="L174" s="70"/>
      <c r="M174" s="70"/>
      <c r="N174" s="70"/>
      <c r="O174" s="70"/>
    </row>
    <row r="175" spans="1:15" x14ac:dyDescent="0.25">
      <c r="A175" s="37"/>
      <c r="B175" s="37"/>
      <c r="C175" s="70"/>
      <c r="D175" s="37"/>
      <c r="E175" s="70"/>
      <c r="F175" s="70"/>
      <c r="G175" s="37"/>
      <c r="H175" s="70"/>
      <c r="I175" s="70"/>
      <c r="J175" s="37"/>
      <c r="K175" s="70"/>
      <c r="L175" s="70"/>
      <c r="M175" s="70"/>
      <c r="N175" s="70"/>
      <c r="O175" s="70"/>
    </row>
    <row r="176" spans="1:15" x14ac:dyDescent="0.25">
      <c r="A176" s="37"/>
      <c r="B176" s="37"/>
      <c r="C176" s="70"/>
      <c r="D176" s="37"/>
      <c r="E176" s="70"/>
      <c r="F176" s="70"/>
      <c r="G176" s="37"/>
      <c r="H176" s="70"/>
      <c r="I176" s="70"/>
      <c r="J176" s="37"/>
      <c r="K176" s="70"/>
      <c r="L176" s="70"/>
      <c r="M176" s="70"/>
      <c r="N176" s="70"/>
      <c r="O176" s="70"/>
    </row>
    <row r="177" spans="1:15" x14ac:dyDescent="0.25">
      <c r="A177" s="37"/>
      <c r="B177" s="37"/>
      <c r="C177" s="70"/>
      <c r="D177" s="37"/>
      <c r="E177" s="70"/>
      <c r="F177" s="70"/>
      <c r="G177" s="37"/>
      <c r="H177" s="70"/>
      <c r="I177" s="70"/>
      <c r="J177" s="37"/>
      <c r="K177" s="70"/>
      <c r="L177" s="70"/>
      <c r="M177" s="70"/>
      <c r="N177" s="70"/>
      <c r="O177" s="70"/>
    </row>
    <row r="178" spans="1:15" x14ac:dyDescent="0.25">
      <c r="A178" s="37"/>
      <c r="B178" s="37"/>
      <c r="C178" s="70"/>
      <c r="D178" s="37"/>
      <c r="E178" s="70"/>
      <c r="F178" s="70"/>
      <c r="G178" s="37"/>
      <c r="H178" s="70"/>
      <c r="I178" s="70"/>
      <c r="J178" s="37"/>
      <c r="K178" s="70"/>
      <c r="L178" s="70"/>
      <c r="M178" s="70"/>
      <c r="N178" s="70"/>
      <c r="O178" s="70"/>
    </row>
    <row r="179" spans="1:15" x14ac:dyDescent="0.25">
      <c r="A179" s="37"/>
      <c r="B179" s="37"/>
      <c r="C179" s="70"/>
      <c r="D179" s="37"/>
      <c r="E179" s="70"/>
      <c r="F179" s="70"/>
      <c r="G179" s="37"/>
      <c r="H179" s="70"/>
      <c r="I179" s="70"/>
      <c r="J179" s="37"/>
      <c r="K179" s="70"/>
      <c r="L179" s="70"/>
      <c r="M179" s="70"/>
      <c r="N179" s="70"/>
      <c r="O179" s="70"/>
    </row>
    <row r="180" spans="1:15" x14ac:dyDescent="0.25">
      <c r="A180" s="37"/>
      <c r="B180" s="37"/>
      <c r="C180" s="70"/>
      <c r="D180" s="37"/>
      <c r="E180" s="70"/>
      <c r="F180" s="70"/>
      <c r="G180" s="37"/>
      <c r="H180" s="70"/>
      <c r="I180" s="70"/>
      <c r="J180" s="37"/>
      <c r="K180" s="70"/>
      <c r="L180" s="70"/>
      <c r="M180" s="70"/>
      <c r="N180" s="70"/>
      <c r="O180" s="70"/>
    </row>
    <row r="181" spans="1:15" x14ac:dyDescent="0.25">
      <c r="A181" s="37"/>
      <c r="B181" s="37"/>
      <c r="C181" s="70"/>
      <c r="D181" s="37"/>
      <c r="E181" s="70"/>
      <c r="F181" s="70"/>
      <c r="G181" s="37"/>
      <c r="H181" s="70"/>
      <c r="I181" s="70"/>
      <c r="J181" s="37"/>
      <c r="K181" s="70"/>
      <c r="L181" s="70"/>
      <c r="M181" s="70"/>
      <c r="N181" s="70"/>
      <c r="O181" s="70"/>
    </row>
    <row r="182" spans="1:15" x14ac:dyDescent="0.25">
      <c r="A182" s="37"/>
      <c r="B182" s="37"/>
      <c r="C182" s="70"/>
      <c r="D182" s="37"/>
      <c r="E182" s="70"/>
      <c r="F182" s="70"/>
      <c r="G182" s="37"/>
      <c r="H182" s="70"/>
      <c r="I182" s="70"/>
      <c r="J182" s="37"/>
      <c r="K182" s="70"/>
      <c r="L182" s="70"/>
      <c r="M182" s="70"/>
      <c r="N182" s="70"/>
      <c r="O182" s="70"/>
    </row>
    <row r="183" spans="1:15" x14ac:dyDescent="0.25">
      <c r="A183" s="37"/>
      <c r="B183" s="37"/>
      <c r="C183" s="70"/>
      <c r="D183" s="37"/>
      <c r="E183" s="70"/>
      <c r="F183" s="70"/>
      <c r="G183" s="37"/>
      <c r="H183" s="70"/>
      <c r="I183" s="70"/>
      <c r="J183" s="37"/>
      <c r="K183" s="70"/>
      <c r="L183" s="70"/>
      <c r="M183" s="70"/>
      <c r="N183" s="70"/>
      <c r="O183" s="70"/>
    </row>
    <row r="184" spans="1:15" x14ac:dyDescent="0.25">
      <c r="A184" s="37"/>
      <c r="B184" s="37"/>
      <c r="C184" s="70"/>
      <c r="D184" s="37"/>
      <c r="E184" s="70"/>
      <c r="F184" s="70"/>
      <c r="G184" s="37"/>
      <c r="H184" s="70"/>
      <c r="I184" s="70"/>
      <c r="J184" s="37"/>
      <c r="K184" s="70"/>
      <c r="L184" s="70"/>
      <c r="M184" s="70"/>
      <c r="N184" s="70"/>
      <c r="O184" s="70"/>
    </row>
    <row r="185" spans="1:15" x14ac:dyDescent="0.25">
      <c r="A185" s="37"/>
      <c r="B185" s="37"/>
      <c r="C185" s="70"/>
      <c r="D185" s="37"/>
      <c r="E185" s="70"/>
      <c r="F185" s="70"/>
      <c r="G185" s="37"/>
      <c r="H185" s="70"/>
      <c r="I185" s="70"/>
      <c r="J185" s="37"/>
      <c r="K185" s="70"/>
      <c r="L185" s="70"/>
      <c r="M185" s="70"/>
      <c r="N185" s="70"/>
      <c r="O185" s="70"/>
    </row>
    <row r="186" spans="1:15" x14ac:dyDescent="0.25">
      <c r="A186" s="37"/>
      <c r="B186" s="37"/>
      <c r="C186" s="70"/>
      <c r="D186" s="37"/>
      <c r="E186" s="70"/>
      <c r="F186" s="70"/>
      <c r="G186" s="37"/>
      <c r="H186" s="70"/>
      <c r="I186" s="70"/>
      <c r="J186" s="37"/>
      <c r="K186" s="70"/>
      <c r="L186" s="70"/>
      <c r="M186" s="70"/>
      <c r="N186" s="70"/>
      <c r="O186" s="70"/>
    </row>
    <row r="187" spans="1:15" x14ac:dyDescent="0.25">
      <c r="A187" s="37"/>
      <c r="B187" s="37"/>
      <c r="C187" s="70"/>
      <c r="D187" s="37"/>
      <c r="E187" s="70"/>
      <c r="F187" s="70"/>
      <c r="G187" s="37"/>
      <c r="H187" s="70"/>
      <c r="I187" s="70"/>
      <c r="J187" s="37"/>
      <c r="K187" s="70"/>
      <c r="L187" s="70"/>
      <c r="M187" s="70"/>
      <c r="N187" s="70"/>
      <c r="O187" s="70"/>
    </row>
    <row r="188" spans="1:15" x14ac:dyDescent="0.25">
      <c r="A188" s="37"/>
      <c r="B188" s="37"/>
      <c r="C188" s="70"/>
      <c r="D188" s="37"/>
      <c r="E188" s="70"/>
      <c r="F188" s="70"/>
      <c r="G188" s="37"/>
      <c r="H188" s="70"/>
      <c r="I188" s="70"/>
      <c r="J188" s="37"/>
      <c r="K188" s="70"/>
      <c r="L188" s="70"/>
      <c r="M188" s="70"/>
      <c r="N188" s="70"/>
      <c r="O188" s="70"/>
    </row>
    <row r="189" spans="1:15" x14ac:dyDescent="0.25">
      <c r="A189" s="37"/>
      <c r="B189" s="37"/>
      <c r="C189" s="70"/>
      <c r="D189" s="37"/>
      <c r="E189" s="70"/>
      <c r="F189" s="70"/>
      <c r="G189" s="37"/>
      <c r="H189" s="70"/>
      <c r="I189" s="70"/>
      <c r="J189" s="37"/>
      <c r="K189" s="70"/>
      <c r="L189" s="70"/>
      <c r="M189" s="70"/>
      <c r="N189" s="70"/>
      <c r="O189" s="70"/>
    </row>
    <row r="190" spans="1:15" x14ac:dyDescent="0.25">
      <c r="A190" s="37"/>
      <c r="B190" s="37"/>
      <c r="C190" s="70"/>
      <c r="D190" s="37"/>
      <c r="E190" s="70"/>
      <c r="F190" s="70"/>
      <c r="G190" s="37"/>
      <c r="H190" s="70"/>
      <c r="I190" s="70"/>
      <c r="J190" s="37"/>
      <c r="K190" s="70"/>
      <c r="L190" s="70"/>
      <c r="M190" s="70"/>
      <c r="N190" s="70"/>
      <c r="O190" s="70"/>
    </row>
    <row r="191" spans="1:15" x14ac:dyDescent="0.25">
      <c r="A191" s="37"/>
      <c r="B191" s="37"/>
      <c r="C191" s="70"/>
      <c r="D191" s="37"/>
      <c r="E191" s="70"/>
      <c r="F191" s="70"/>
      <c r="G191" s="37"/>
      <c r="H191" s="70"/>
      <c r="I191" s="70"/>
      <c r="J191" s="37"/>
      <c r="K191" s="70"/>
      <c r="L191" s="70"/>
      <c r="M191" s="70"/>
      <c r="N191" s="70"/>
      <c r="O191" s="70"/>
    </row>
    <row r="192" spans="1:15" x14ac:dyDescent="0.25">
      <c r="A192" s="37"/>
      <c r="B192" s="37"/>
      <c r="C192" s="70"/>
      <c r="D192" s="37"/>
      <c r="E192" s="70"/>
      <c r="F192" s="70"/>
      <c r="G192" s="37"/>
      <c r="H192" s="70"/>
      <c r="I192" s="70"/>
      <c r="J192" s="37"/>
      <c r="K192" s="70"/>
      <c r="L192" s="70"/>
      <c r="M192" s="70"/>
      <c r="N192" s="70"/>
      <c r="O192" s="70"/>
    </row>
    <row r="193" spans="1:15" x14ac:dyDescent="0.25">
      <c r="A193" s="37"/>
      <c r="B193" s="37"/>
      <c r="C193" s="70"/>
      <c r="D193" s="37"/>
      <c r="E193" s="70"/>
      <c r="F193" s="70"/>
      <c r="G193" s="37"/>
      <c r="H193" s="70"/>
      <c r="I193" s="70"/>
      <c r="J193" s="37"/>
      <c r="K193" s="70"/>
      <c r="L193" s="70"/>
      <c r="M193" s="70"/>
      <c r="N193" s="70"/>
      <c r="O193" s="70"/>
    </row>
    <row r="194" spans="1:15" x14ac:dyDescent="0.25">
      <c r="A194" s="37"/>
      <c r="B194" s="37"/>
      <c r="C194" s="70"/>
      <c r="D194" s="37"/>
      <c r="E194" s="70"/>
      <c r="F194" s="70"/>
      <c r="G194" s="37"/>
      <c r="H194" s="70"/>
      <c r="I194" s="70"/>
      <c r="J194" s="37"/>
      <c r="K194" s="70"/>
      <c r="L194" s="70"/>
      <c r="M194" s="70"/>
      <c r="N194" s="70"/>
      <c r="O194" s="70"/>
    </row>
    <row r="195" spans="1:15" x14ac:dyDescent="0.25">
      <c r="A195" s="37"/>
      <c r="B195" s="37"/>
      <c r="C195" s="70"/>
      <c r="D195" s="37"/>
      <c r="E195" s="70"/>
      <c r="F195" s="70"/>
      <c r="G195" s="37"/>
      <c r="H195" s="70"/>
      <c r="I195" s="70"/>
      <c r="J195" s="37"/>
      <c r="K195" s="70"/>
      <c r="L195" s="70"/>
      <c r="M195" s="70"/>
      <c r="N195" s="70"/>
      <c r="O195" s="70"/>
    </row>
    <row r="196" spans="1:15" x14ac:dyDescent="0.25">
      <c r="A196" s="37"/>
      <c r="B196" s="37"/>
      <c r="C196" s="70"/>
      <c r="D196" s="37"/>
      <c r="E196" s="70"/>
      <c r="F196" s="70"/>
      <c r="G196" s="37"/>
      <c r="H196" s="70"/>
      <c r="I196" s="70"/>
      <c r="J196" s="37"/>
      <c r="K196" s="70"/>
      <c r="L196" s="70"/>
      <c r="M196" s="70"/>
      <c r="N196" s="70"/>
      <c r="O196" s="70"/>
    </row>
    <row r="197" spans="1:15" x14ac:dyDescent="0.25">
      <c r="A197" s="37"/>
      <c r="B197" s="37"/>
      <c r="C197" s="70"/>
      <c r="D197" s="37"/>
      <c r="E197" s="70"/>
      <c r="F197" s="70"/>
      <c r="G197" s="37"/>
      <c r="H197" s="70"/>
      <c r="I197" s="70"/>
      <c r="J197" s="37"/>
      <c r="K197" s="70"/>
      <c r="L197" s="70"/>
      <c r="M197" s="70"/>
      <c r="N197" s="70"/>
      <c r="O197" s="70"/>
    </row>
    <row r="198" spans="1:15" x14ac:dyDescent="0.25">
      <c r="A198" s="37"/>
      <c r="B198" s="37"/>
      <c r="C198" s="70"/>
      <c r="D198" s="37"/>
      <c r="E198" s="70"/>
      <c r="F198" s="70"/>
      <c r="G198" s="37"/>
      <c r="H198" s="70"/>
      <c r="I198" s="70"/>
      <c r="J198" s="37"/>
      <c r="K198" s="70"/>
      <c r="L198" s="70"/>
      <c r="M198" s="70"/>
      <c r="N198" s="70"/>
      <c r="O198" s="70"/>
    </row>
    <row r="199" spans="1:15" x14ac:dyDescent="0.25">
      <c r="A199" s="37"/>
      <c r="B199" s="37"/>
      <c r="C199" s="70"/>
      <c r="D199" s="37"/>
      <c r="E199" s="70"/>
      <c r="F199" s="70"/>
      <c r="G199" s="37"/>
      <c r="H199" s="70"/>
      <c r="I199" s="70"/>
      <c r="J199" s="37"/>
      <c r="K199" s="70"/>
      <c r="L199" s="70"/>
      <c r="M199" s="70"/>
      <c r="N199" s="70"/>
      <c r="O199" s="70"/>
    </row>
    <row r="200" spans="1:15" x14ac:dyDescent="0.25">
      <c r="A200" s="37"/>
      <c r="B200" s="37"/>
      <c r="C200" s="70"/>
      <c r="D200" s="37"/>
      <c r="E200" s="70"/>
      <c r="F200" s="70"/>
      <c r="G200" s="37"/>
      <c r="H200" s="70"/>
      <c r="I200" s="70"/>
      <c r="J200" s="37"/>
      <c r="K200" s="70"/>
      <c r="L200" s="70"/>
      <c r="M200" s="70"/>
      <c r="N200" s="70"/>
      <c r="O200" s="70"/>
    </row>
    <row r="201" spans="1:15" x14ac:dyDescent="0.25">
      <c r="A201" s="37"/>
      <c r="B201" s="37"/>
      <c r="C201" s="70"/>
      <c r="D201" s="37"/>
      <c r="E201" s="70"/>
      <c r="F201" s="70"/>
      <c r="G201" s="37"/>
      <c r="H201" s="70"/>
      <c r="I201" s="70"/>
      <c r="J201" s="37"/>
      <c r="K201" s="70"/>
      <c r="L201" s="70"/>
      <c r="M201" s="70"/>
      <c r="N201" s="70"/>
      <c r="O201" s="70"/>
    </row>
    <row r="202" spans="1:15" x14ac:dyDescent="0.25">
      <c r="A202" s="37"/>
      <c r="B202" s="37"/>
      <c r="C202" s="70"/>
      <c r="D202" s="37"/>
      <c r="E202" s="70"/>
      <c r="F202" s="70"/>
      <c r="G202" s="37"/>
      <c r="H202" s="70"/>
      <c r="I202" s="70"/>
      <c r="J202" s="37"/>
      <c r="K202" s="70"/>
      <c r="L202" s="70"/>
      <c r="M202" s="70"/>
      <c r="N202" s="70"/>
      <c r="O202" s="70"/>
    </row>
    <row r="203" spans="1:15" x14ac:dyDescent="0.25">
      <c r="A203" s="37"/>
      <c r="B203" s="37"/>
      <c r="C203" s="70"/>
      <c r="D203" s="37"/>
      <c r="E203" s="70"/>
      <c r="F203" s="70"/>
      <c r="G203" s="37"/>
      <c r="H203" s="70"/>
      <c r="I203" s="70"/>
      <c r="J203" s="37"/>
      <c r="K203" s="70"/>
      <c r="L203" s="70"/>
      <c r="M203" s="70"/>
      <c r="N203" s="70"/>
      <c r="O203" s="70"/>
    </row>
    <row r="204" spans="1:15" x14ac:dyDescent="0.25">
      <c r="A204" s="37"/>
      <c r="B204" s="37"/>
      <c r="C204" s="70"/>
      <c r="D204" s="37"/>
      <c r="E204" s="70"/>
      <c r="F204" s="70"/>
      <c r="G204" s="37"/>
      <c r="H204" s="70"/>
      <c r="I204" s="70"/>
      <c r="J204" s="37"/>
      <c r="K204" s="70"/>
      <c r="L204" s="70"/>
      <c r="M204" s="70"/>
      <c r="N204" s="70"/>
      <c r="O204" s="70"/>
    </row>
    <row r="205" spans="1:15" x14ac:dyDescent="0.25">
      <c r="A205" s="37"/>
      <c r="B205" s="37"/>
      <c r="C205" s="70"/>
      <c r="D205" s="37"/>
      <c r="E205" s="70"/>
      <c r="F205" s="70"/>
      <c r="G205" s="37"/>
      <c r="H205" s="70"/>
      <c r="I205" s="70"/>
      <c r="J205" s="37"/>
      <c r="K205" s="70"/>
      <c r="L205" s="70"/>
      <c r="M205" s="70"/>
      <c r="N205" s="70"/>
      <c r="O205" s="70"/>
    </row>
    <row r="206" spans="1:15" x14ac:dyDescent="0.25">
      <c r="A206" s="37"/>
      <c r="B206" s="37"/>
      <c r="C206" s="70"/>
      <c r="D206" s="37"/>
      <c r="E206" s="70"/>
      <c r="F206" s="70"/>
      <c r="G206" s="37"/>
      <c r="H206" s="70"/>
      <c r="I206" s="70"/>
      <c r="J206" s="37"/>
      <c r="K206" s="70"/>
      <c r="L206" s="70"/>
      <c r="M206" s="70"/>
      <c r="N206" s="70"/>
      <c r="O206" s="70"/>
    </row>
    <row r="207" spans="1:15" x14ac:dyDescent="0.25">
      <c r="A207" s="37"/>
      <c r="B207" s="37"/>
      <c r="C207" s="70"/>
      <c r="D207" s="37"/>
      <c r="E207" s="70"/>
      <c r="F207" s="70"/>
      <c r="G207" s="37"/>
      <c r="H207" s="70"/>
      <c r="I207" s="70"/>
      <c r="J207" s="37"/>
      <c r="K207" s="70"/>
      <c r="L207" s="70"/>
      <c r="M207" s="70"/>
      <c r="N207" s="70"/>
      <c r="O207" s="70"/>
    </row>
    <row r="208" spans="1:15" x14ac:dyDescent="0.25">
      <c r="A208" s="37"/>
      <c r="B208" s="37"/>
      <c r="C208" s="70"/>
      <c r="D208" s="37"/>
      <c r="E208" s="70"/>
      <c r="F208" s="70"/>
      <c r="G208" s="37"/>
      <c r="H208" s="70"/>
      <c r="I208" s="70"/>
      <c r="J208" s="37"/>
      <c r="K208" s="70"/>
      <c r="L208" s="70"/>
      <c r="M208" s="70"/>
      <c r="N208" s="70"/>
      <c r="O208" s="70"/>
    </row>
    <row r="209" spans="1:15" x14ac:dyDescent="0.25">
      <c r="A209" s="37"/>
      <c r="B209" s="37"/>
      <c r="C209" s="70"/>
      <c r="D209" s="37"/>
      <c r="E209" s="70"/>
      <c r="F209" s="70"/>
      <c r="G209" s="37"/>
      <c r="H209" s="70"/>
      <c r="I209" s="70"/>
      <c r="J209" s="37"/>
      <c r="K209" s="70"/>
      <c r="L209" s="70"/>
      <c r="M209" s="70"/>
      <c r="N209" s="70"/>
      <c r="O209" s="70"/>
    </row>
    <row r="210" spans="1:15" x14ac:dyDescent="0.25">
      <c r="A210" s="37"/>
      <c r="B210" s="37"/>
      <c r="C210" s="70"/>
      <c r="D210" s="37"/>
      <c r="E210" s="70"/>
      <c r="F210" s="70"/>
      <c r="G210" s="37"/>
      <c r="H210" s="70"/>
      <c r="I210" s="70"/>
      <c r="J210" s="37"/>
      <c r="K210" s="70"/>
      <c r="L210" s="70"/>
      <c r="M210" s="70"/>
      <c r="N210" s="70"/>
      <c r="O210" s="70"/>
    </row>
    <row r="211" spans="1:15" x14ac:dyDescent="0.25">
      <c r="A211" s="37"/>
      <c r="B211" s="37"/>
      <c r="C211" s="70"/>
      <c r="D211" s="37"/>
      <c r="E211" s="70"/>
      <c r="F211" s="70"/>
      <c r="G211" s="37"/>
      <c r="H211" s="70"/>
      <c r="I211" s="70"/>
      <c r="J211" s="37"/>
      <c r="K211" s="70"/>
      <c r="L211" s="70"/>
      <c r="M211" s="70"/>
      <c r="N211" s="70"/>
      <c r="O211" s="70"/>
    </row>
    <row r="212" spans="1:15" x14ac:dyDescent="0.25">
      <c r="A212" s="37"/>
      <c r="B212" s="37"/>
      <c r="C212" s="70"/>
      <c r="D212" s="37"/>
      <c r="E212" s="70"/>
      <c r="F212" s="70"/>
      <c r="G212" s="37"/>
      <c r="H212" s="70"/>
      <c r="I212" s="70"/>
      <c r="J212" s="37"/>
      <c r="K212" s="70"/>
      <c r="L212" s="70"/>
      <c r="M212" s="70"/>
      <c r="N212" s="70"/>
      <c r="O212" s="70"/>
    </row>
    <row r="213" spans="1:15" x14ac:dyDescent="0.25">
      <c r="A213" s="37"/>
      <c r="B213" s="37"/>
      <c r="C213" s="70"/>
      <c r="D213" s="37"/>
      <c r="E213" s="70"/>
      <c r="F213" s="70"/>
      <c r="G213" s="37"/>
      <c r="H213" s="70"/>
      <c r="I213" s="70"/>
      <c r="J213" s="37"/>
      <c r="K213" s="70"/>
      <c r="L213" s="70"/>
      <c r="M213" s="70"/>
      <c r="N213" s="70"/>
      <c r="O213" s="70"/>
    </row>
    <row r="214" spans="1:15" x14ac:dyDescent="0.25">
      <c r="A214" s="37"/>
      <c r="B214" s="37"/>
      <c r="C214" s="70"/>
      <c r="D214" s="37"/>
      <c r="E214" s="70"/>
      <c r="F214" s="70"/>
      <c r="G214" s="37"/>
      <c r="H214" s="70"/>
      <c r="I214" s="70"/>
      <c r="J214" s="37"/>
      <c r="K214" s="70"/>
      <c r="L214" s="70"/>
      <c r="M214" s="70"/>
      <c r="N214" s="70"/>
      <c r="O214" s="70"/>
    </row>
    <row r="215" spans="1:15" x14ac:dyDescent="0.25">
      <c r="A215" s="37"/>
      <c r="B215" s="37"/>
      <c r="C215" s="70"/>
      <c r="D215" s="37"/>
      <c r="E215" s="70"/>
      <c r="F215" s="70"/>
      <c r="G215" s="37"/>
      <c r="H215" s="70"/>
      <c r="I215" s="70"/>
      <c r="J215" s="37"/>
      <c r="K215" s="70"/>
      <c r="L215" s="70"/>
      <c r="M215" s="70"/>
      <c r="N215" s="70"/>
      <c r="O215" s="70"/>
    </row>
    <row r="216" spans="1:15" x14ac:dyDescent="0.25">
      <c r="A216" s="37"/>
      <c r="B216" s="37"/>
      <c r="C216" s="70"/>
      <c r="D216" s="37"/>
      <c r="E216" s="70"/>
      <c r="F216" s="70"/>
      <c r="G216" s="37"/>
      <c r="H216" s="70"/>
      <c r="I216" s="70"/>
      <c r="J216" s="37"/>
      <c r="K216" s="70"/>
      <c r="L216" s="70"/>
      <c r="M216" s="70"/>
      <c r="N216" s="70"/>
      <c r="O216" s="70"/>
    </row>
    <row r="217" spans="1:15" x14ac:dyDescent="0.25">
      <c r="A217" s="37"/>
      <c r="B217" s="37"/>
      <c r="C217" s="70"/>
      <c r="D217" s="37"/>
      <c r="E217" s="70"/>
      <c r="F217" s="70"/>
      <c r="G217" s="37"/>
      <c r="H217" s="70"/>
      <c r="I217" s="70"/>
      <c r="J217" s="37"/>
      <c r="K217" s="70"/>
      <c r="L217" s="70"/>
      <c r="M217" s="70"/>
      <c r="N217" s="70"/>
      <c r="O217" s="70"/>
    </row>
    <row r="218" spans="1:15" x14ac:dyDescent="0.25">
      <c r="A218" s="37"/>
      <c r="B218" s="37"/>
      <c r="C218" s="70"/>
      <c r="D218" s="37"/>
      <c r="E218" s="70"/>
      <c r="F218" s="70"/>
      <c r="G218" s="37"/>
      <c r="H218" s="70"/>
      <c r="I218" s="70"/>
      <c r="J218" s="37"/>
      <c r="K218" s="70"/>
      <c r="L218" s="70"/>
      <c r="M218" s="70"/>
      <c r="N218" s="70"/>
      <c r="O218" s="70"/>
    </row>
    <row r="219" spans="1:15" x14ac:dyDescent="0.25">
      <c r="A219" s="37"/>
      <c r="B219" s="37"/>
      <c r="C219" s="70"/>
      <c r="D219" s="37"/>
      <c r="E219" s="70"/>
      <c r="F219" s="70"/>
      <c r="G219" s="37"/>
      <c r="H219" s="70"/>
      <c r="I219" s="70"/>
      <c r="J219" s="37"/>
      <c r="K219" s="70"/>
      <c r="L219" s="70"/>
      <c r="M219" s="70"/>
      <c r="N219" s="70"/>
      <c r="O219" s="70"/>
    </row>
    <row r="220" spans="1:15" x14ac:dyDescent="0.25">
      <c r="A220" s="37"/>
      <c r="B220" s="37"/>
      <c r="C220" s="70"/>
      <c r="D220" s="37"/>
      <c r="E220" s="70"/>
      <c r="F220" s="70"/>
      <c r="G220" s="37"/>
      <c r="H220" s="70"/>
      <c r="I220" s="70"/>
      <c r="J220" s="37"/>
      <c r="K220" s="70"/>
      <c r="L220" s="70"/>
      <c r="M220" s="70"/>
      <c r="N220" s="70"/>
      <c r="O220" s="70"/>
    </row>
    <row r="221" spans="1:15" x14ac:dyDescent="0.25">
      <c r="A221" s="37"/>
      <c r="B221" s="37"/>
      <c r="C221" s="70"/>
      <c r="D221" s="37"/>
      <c r="E221" s="70"/>
      <c r="F221" s="70"/>
      <c r="G221" s="37"/>
      <c r="H221" s="70"/>
      <c r="I221" s="70"/>
      <c r="J221" s="37"/>
      <c r="K221" s="70"/>
      <c r="L221" s="70"/>
      <c r="M221" s="70"/>
      <c r="N221" s="70"/>
      <c r="O221" s="70"/>
    </row>
    <row r="222" spans="1:15" x14ac:dyDescent="0.25">
      <c r="A222" s="37"/>
      <c r="B222" s="37"/>
      <c r="C222" s="70"/>
      <c r="D222" s="37"/>
      <c r="E222" s="70"/>
      <c r="F222" s="70"/>
      <c r="G222" s="37"/>
      <c r="H222" s="70"/>
      <c r="I222" s="70"/>
      <c r="J222" s="37"/>
      <c r="K222" s="70"/>
      <c r="L222" s="70"/>
      <c r="M222" s="70"/>
      <c r="N222" s="70"/>
      <c r="O222" s="70"/>
    </row>
    <row r="223" spans="1:15" x14ac:dyDescent="0.25">
      <c r="A223" s="37"/>
      <c r="B223" s="37"/>
      <c r="C223" s="70"/>
      <c r="D223" s="37"/>
      <c r="E223" s="70"/>
      <c r="F223" s="70"/>
      <c r="G223" s="37"/>
      <c r="H223" s="70"/>
      <c r="I223" s="70"/>
      <c r="J223" s="37"/>
      <c r="K223" s="70"/>
      <c r="L223" s="70"/>
      <c r="M223" s="70"/>
      <c r="N223" s="70"/>
      <c r="O223" s="70"/>
    </row>
    <row r="224" spans="1:15" x14ac:dyDescent="0.25">
      <c r="A224" s="37"/>
      <c r="B224" s="37"/>
      <c r="C224" s="70"/>
      <c r="D224" s="37"/>
      <c r="E224" s="70"/>
      <c r="F224" s="70"/>
      <c r="G224" s="37"/>
      <c r="H224" s="70"/>
      <c r="I224" s="70"/>
      <c r="J224" s="37"/>
      <c r="K224" s="70"/>
      <c r="L224" s="70"/>
      <c r="M224" s="70"/>
      <c r="N224" s="70"/>
      <c r="O224" s="70"/>
    </row>
    <row r="225" spans="1:15" x14ac:dyDescent="0.25">
      <c r="A225" s="37"/>
      <c r="B225" s="37"/>
      <c r="C225" s="70"/>
      <c r="D225" s="37"/>
      <c r="E225" s="70"/>
      <c r="F225" s="70"/>
      <c r="G225" s="37"/>
      <c r="H225" s="70"/>
      <c r="I225" s="70"/>
      <c r="J225" s="37"/>
      <c r="K225" s="70"/>
      <c r="L225" s="70"/>
      <c r="M225" s="70"/>
      <c r="N225" s="70"/>
      <c r="O225" s="70"/>
    </row>
    <row r="226" spans="1:15" x14ac:dyDescent="0.25">
      <c r="A226" s="37"/>
      <c r="B226" s="37"/>
      <c r="C226" s="70"/>
      <c r="D226" s="37"/>
      <c r="E226" s="70"/>
      <c r="F226" s="70"/>
      <c r="G226" s="37"/>
      <c r="H226" s="70"/>
      <c r="I226" s="70"/>
      <c r="J226" s="37"/>
      <c r="K226" s="70"/>
      <c r="L226" s="70"/>
      <c r="M226" s="70"/>
      <c r="N226" s="70"/>
      <c r="O226" s="70"/>
    </row>
    <row r="227" spans="1:15" x14ac:dyDescent="0.25">
      <c r="A227" s="37"/>
      <c r="B227" s="37"/>
      <c r="C227" s="70"/>
      <c r="D227" s="37"/>
      <c r="E227" s="70"/>
      <c r="F227" s="70"/>
      <c r="G227" s="37"/>
      <c r="H227" s="70"/>
      <c r="I227" s="70"/>
      <c r="J227" s="37"/>
      <c r="K227" s="70"/>
      <c r="L227" s="70"/>
      <c r="M227" s="70"/>
      <c r="N227" s="70"/>
      <c r="O227" s="70"/>
    </row>
    <row r="228" spans="1:15" x14ac:dyDescent="0.25">
      <c r="A228" s="37"/>
      <c r="B228" s="37"/>
      <c r="C228" s="70"/>
      <c r="D228" s="37"/>
      <c r="E228" s="70"/>
      <c r="F228" s="70"/>
      <c r="G228" s="37"/>
      <c r="H228" s="70"/>
      <c r="I228" s="70"/>
      <c r="J228" s="37"/>
      <c r="K228" s="70"/>
      <c r="L228" s="70"/>
      <c r="M228" s="70"/>
      <c r="N228" s="70"/>
      <c r="O228" s="70"/>
    </row>
    <row r="229" spans="1:15" x14ac:dyDescent="0.25">
      <c r="A229" s="37"/>
      <c r="B229" s="37"/>
      <c r="C229" s="70"/>
      <c r="D229" s="37"/>
      <c r="E229" s="70"/>
      <c r="F229" s="70"/>
      <c r="G229" s="37"/>
      <c r="H229" s="70"/>
      <c r="I229" s="70"/>
      <c r="J229" s="37"/>
      <c r="K229" s="70"/>
      <c r="L229" s="70"/>
      <c r="M229" s="70"/>
      <c r="N229" s="70"/>
      <c r="O229" s="70"/>
    </row>
    <row r="230" spans="1:15" x14ac:dyDescent="0.25">
      <c r="A230" s="37"/>
      <c r="B230" s="37"/>
      <c r="C230" s="70"/>
      <c r="D230" s="37"/>
      <c r="E230" s="70"/>
      <c r="F230" s="70"/>
      <c r="G230" s="37"/>
      <c r="H230" s="70"/>
      <c r="I230" s="70"/>
      <c r="J230" s="37"/>
      <c r="K230" s="70"/>
      <c r="L230" s="70"/>
      <c r="M230" s="70"/>
      <c r="N230" s="70"/>
      <c r="O230" s="70"/>
    </row>
    <row r="231" spans="1:15" x14ac:dyDescent="0.25">
      <c r="A231" s="37"/>
      <c r="B231" s="37"/>
      <c r="C231" s="70"/>
      <c r="D231" s="37"/>
      <c r="E231" s="70"/>
      <c r="F231" s="70"/>
      <c r="G231" s="37"/>
      <c r="H231" s="70"/>
      <c r="I231" s="70"/>
      <c r="J231" s="37"/>
      <c r="K231" s="70"/>
      <c r="L231" s="70"/>
      <c r="M231" s="70"/>
      <c r="N231" s="70"/>
      <c r="O231" s="70"/>
    </row>
    <row r="232" spans="1:15" x14ac:dyDescent="0.25">
      <c r="A232" s="37"/>
      <c r="B232" s="37"/>
      <c r="C232" s="70"/>
      <c r="D232" s="37"/>
      <c r="E232" s="70"/>
      <c r="F232" s="70"/>
      <c r="G232" s="37"/>
      <c r="H232" s="70"/>
      <c r="I232" s="70"/>
      <c r="J232" s="37"/>
      <c r="K232" s="70"/>
      <c r="L232" s="70"/>
      <c r="M232" s="70"/>
      <c r="N232" s="70"/>
      <c r="O232" s="70"/>
    </row>
    <row r="233" spans="1:15" x14ac:dyDescent="0.25">
      <c r="A233" s="37"/>
      <c r="B233" s="37"/>
      <c r="C233" s="70"/>
      <c r="D233" s="37"/>
      <c r="E233" s="70"/>
      <c r="F233" s="70"/>
      <c r="G233" s="37"/>
      <c r="H233" s="70"/>
      <c r="I233" s="70"/>
      <c r="J233" s="37"/>
      <c r="K233" s="70"/>
      <c r="L233" s="70"/>
      <c r="M233" s="70"/>
      <c r="N233" s="70"/>
      <c r="O233" s="70"/>
    </row>
    <row r="234" spans="1:15" x14ac:dyDescent="0.25">
      <c r="A234" s="37"/>
      <c r="B234" s="37"/>
      <c r="C234" s="70"/>
      <c r="D234" s="37"/>
      <c r="E234" s="70"/>
      <c r="F234" s="70"/>
      <c r="G234" s="37"/>
      <c r="H234" s="70"/>
      <c r="I234" s="70"/>
      <c r="J234" s="37"/>
      <c r="K234" s="70"/>
      <c r="L234" s="70"/>
      <c r="M234" s="70"/>
      <c r="N234" s="70"/>
      <c r="O234" s="70"/>
    </row>
    <row r="235" spans="1:15" x14ac:dyDescent="0.25">
      <c r="A235" s="37"/>
      <c r="B235" s="37"/>
      <c r="C235" s="70"/>
      <c r="D235" s="37"/>
      <c r="E235" s="70"/>
      <c r="F235" s="70"/>
      <c r="G235" s="37"/>
      <c r="H235" s="70"/>
      <c r="I235" s="70"/>
      <c r="J235" s="37"/>
      <c r="K235" s="70"/>
      <c r="L235" s="70"/>
      <c r="M235" s="70"/>
      <c r="N235" s="70"/>
      <c r="O235" s="70"/>
    </row>
    <row r="236" spans="1:15" x14ac:dyDescent="0.25">
      <c r="A236" s="37"/>
      <c r="B236" s="37"/>
      <c r="C236" s="70"/>
      <c r="D236" s="37"/>
      <c r="E236" s="70"/>
      <c r="F236" s="70"/>
      <c r="G236" s="37"/>
      <c r="H236" s="70"/>
      <c r="I236" s="70"/>
      <c r="J236" s="37"/>
      <c r="K236" s="70"/>
      <c r="L236" s="70"/>
      <c r="M236" s="70"/>
      <c r="N236" s="70"/>
      <c r="O236" s="70"/>
    </row>
    <row r="237" spans="1:15" x14ac:dyDescent="0.25">
      <c r="A237" s="37"/>
      <c r="B237" s="37"/>
      <c r="C237" s="70"/>
      <c r="D237" s="37"/>
      <c r="E237" s="70"/>
      <c r="F237" s="70"/>
      <c r="G237" s="37"/>
      <c r="H237" s="70"/>
      <c r="I237" s="70"/>
      <c r="J237" s="37"/>
      <c r="K237" s="70"/>
      <c r="L237" s="70"/>
      <c r="M237" s="70"/>
      <c r="N237" s="70"/>
      <c r="O237" s="70"/>
    </row>
    <row r="238" spans="1:15" x14ac:dyDescent="0.25">
      <c r="A238" s="37"/>
      <c r="B238" s="37"/>
      <c r="C238" s="70"/>
      <c r="D238" s="37"/>
      <c r="E238" s="70"/>
      <c r="F238" s="70"/>
      <c r="G238" s="37"/>
      <c r="H238" s="70"/>
      <c r="I238" s="70"/>
      <c r="J238" s="37"/>
      <c r="K238" s="70"/>
      <c r="L238" s="70"/>
      <c r="M238" s="70"/>
      <c r="N238" s="70"/>
      <c r="O238" s="70"/>
    </row>
    <row r="239" spans="1:15" x14ac:dyDescent="0.25">
      <c r="A239" s="37"/>
      <c r="B239" s="37"/>
      <c r="C239" s="70"/>
      <c r="D239" s="37"/>
      <c r="E239" s="70"/>
      <c r="F239" s="70"/>
      <c r="G239" s="37"/>
      <c r="H239" s="70"/>
      <c r="I239" s="70"/>
      <c r="J239" s="37"/>
      <c r="K239" s="70"/>
      <c r="L239" s="70"/>
      <c r="M239" s="70"/>
      <c r="N239" s="70"/>
      <c r="O239" s="70"/>
    </row>
    <row r="240" spans="1:15" x14ac:dyDescent="0.25">
      <c r="A240" s="37"/>
      <c r="B240" s="37"/>
      <c r="C240" s="70"/>
      <c r="D240" s="37"/>
      <c r="E240" s="70"/>
      <c r="F240" s="70"/>
      <c r="G240" s="37"/>
      <c r="H240" s="70"/>
      <c r="I240" s="70"/>
      <c r="J240" s="37"/>
      <c r="K240" s="70"/>
      <c r="L240" s="70"/>
      <c r="M240" s="70"/>
      <c r="N240" s="70"/>
      <c r="O240" s="70"/>
    </row>
    <row r="241" spans="1:15" x14ac:dyDescent="0.25">
      <c r="A241" s="37"/>
      <c r="B241" s="37"/>
      <c r="C241" s="70"/>
      <c r="D241" s="37"/>
      <c r="E241" s="70"/>
      <c r="F241" s="70"/>
      <c r="G241" s="37"/>
      <c r="H241" s="70"/>
      <c r="I241" s="70"/>
      <c r="J241" s="37"/>
      <c r="K241" s="70"/>
      <c r="L241" s="70"/>
      <c r="M241" s="70"/>
      <c r="N241" s="70"/>
      <c r="O241" s="70"/>
    </row>
    <row r="242" spans="1:15" x14ac:dyDescent="0.25">
      <c r="A242" s="37"/>
      <c r="B242" s="37"/>
      <c r="C242" s="70"/>
      <c r="D242" s="37"/>
      <c r="E242" s="70"/>
      <c r="F242" s="70"/>
      <c r="G242" s="37"/>
      <c r="H242" s="70"/>
      <c r="I242" s="70"/>
      <c r="J242" s="37"/>
      <c r="K242" s="70"/>
      <c r="L242" s="70"/>
      <c r="M242" s="70"/>
      <c r="N242" s="70"/>
      <c r="O242" s="70"/>
    </row>
    <row r="243" spans="1:15" x14ac:dyDescent="0.25">
      <c r="A243" s="37"/>
      <c r="B243" s="37"/>
      <c r="C243" s="70"/>
      <c r="D243" s="37"/>
      <c r="E243" s="70"/>
      <c r="F243" s="70"/>
      <c r="G243" s="37"/>
      <c r="H243" s="70"/>
      <c r="I243" s="70"/>
      <c r="J243" s="37"/>
      <c r="K243" s="70"/>
      <c r="L243" s="70"/>
      <c r="M243" s="70"/>
      <c r="N243" s="70"/>
      <c r="O243" s="70"/>
    </row>
    <row r="244" spans="1:15" x14ac:dyDescent="0.25">
      <c r="A244" s="37"/>
      <c r="B244" s="37"/>
      <c r="C244" s="70"/>
      <c r="D244" s="37"/>
      <c r="E244" s="70"/>
      <c r="F244" s="70"/>
      <c r="G244" s="37"/>
      <c r="H244" s="70"/>
      <c r="I244" s="70"/>
      <c r="J244" s="37"/>
      <c r="K244" s="70"/>
      <c r="L244" s="70"/>
      <c r="M244" s="70"/>
      <c r="N244" s="70"/>
      <c r="O244" s="70"/>
    </row>
    <row r="245" spans="1:15" x14ac:dyDescent="0.25">
      <c r="A245" s="37"/>
      <c r="B245" s="37"/>
      <c r="C245" s="70"/>
      <c r="D245" s="37"/>
      <c r="E245" s="70"/>
      <c r="F245" s="70"/>
      <c r="G245" s="37"/>
      <c r="H245" s="70"/>
      <c r="I245" s="70"/>
      <c r="J245" s="37"/>
      <c r="K245" s="70"/>
      <c r="L245" s="70"/>
      <c r="M245" s="70"/>
      <c r="N245" s="70"/>
      <c r="O245" s="70"/>
    </row>
    <row r="246" spans="1:15" x14ac:dyDescent="0.25">
      <c r="A246" s="37"/>
      <c r="B246" s="37"/>
      <c r="C246" s="70"/>
      <c r="D246" s="37"/>
      <c r="E246" s="70"/>
      <c r="F246" s="70"/>
      <c r="G246" s="37"/>
      <c r="H246" s="70"/>
      <c r="I246" s="70"/>
      <c r="J246" s="37"/>
      <c r="K246" s="70"/>
      <c r="L246" s="70"/>
      <c r="M246" s="70"/>
      <c r="N246" s="70"/>
      <c r="O246" s="70"/>
    </row>
    <row r="247" spans="1:15" x14ac:dyDescent="0.25">
      <c r="A247" s="37"/>
      <c r="B247" s="37"/>
      <c r="C247" s="70"/>
      <c r="D247" s="37"/>
      <c r="E247" s="70"/>
      <c r="F247" s="70"/>
      <c r="G247" s="37"/>
      <c r="H247" s="70"/>
      <c r="I247" s="70"/>
      <c r="J247" s="37"/>
      <c r="K247" s="70"/>
      <c r="L247" s="70"/>
      <c r="M247" s="70"/>
      <c r="N247" s="70"/>
      <c r="O247" s="70"/>
    </row>
    <row r="248" spans="1:15" x14ac:dyDescent="0.25">
      <c r="A248" s="37"/>
      <c r="B248" s="37"/>
      <c r="C248" s="70"/>
      <c r="D248" s="37"/>
      <c r="E248" s="70"/>
      <c r="F248" s="70"/>
      <c r="G248" s="37"/>
      <c r="H248" s="70"/>
      <c r="I248" s="70"/>
      <c r="J248" s="37"/>
      <c r="K248" s="70"/>
      <c r="L248" s="70"/>
      <c r="M248" s="70"/>
      <c r="N248" s="70"/>
      <c r="O248" s="70"/>
    </row>
    <row r="249" spans="1:15" x14ac:dyDescent="0.25">
      <c r="A249" s="37"/>
      <c r="B249" s="37"/>
      <c r="C249" s="70"/>
      <c r="D249" s="37"/>
      <c r="E249" s="70"/>
      <c r="F249" s="70"/>
      <c r="G249" s="37"/>
      <c r="H249" s="70"/>
      <c r="I249" s="70"/>
      <c r="J249" s="37"/>
      <c r="K249" s="70"/>
      <c r="L249" s="70"/>
      <c r="M249" s="70"/>
      <c r="N249" s="70"/>
      <c r="O249" s="70"/>
    </row>
    <row r="250" spans="1:15" x14ac:dyDescent="0.25">
      <c r="A250" s="37"/>
      <c r="B250" s="37"/>
      <c r="C250" s="70"/>
      <c r="D250" s="37"/>
      <c r="E250" s="70"/>
      <c r="F250" s="70"/>
      <c r="G250" s="37"/>
      <c r="H250" s="70"/>
      <c r="I250" s="70"/>
      <c r="J250" s="37"/>
      <c r="K250" s="70"/>
      <c r="L250" s="70"/>
      <c r="M250" s="70"/>
      <c r="N250" s="70"/>
      <c r="O250" s="70"/>
    </row>
    <row r="251" spans="1:15" x14ac:dyDescent="0.25">
      <c r="A251" s="37"/>
      <c r="B251" s="37"/>
      <c r="C251" s="70"/>
      <c r="D251" s="37"/>
      <c r="E251" s="70"/>
      <c r="F251" s="70"/>
      <c r="G251" s="37"/>
      <c r="H251" s="70"/>
      <c r="I251" s="70"/>
      <c r="J251" s="37"/>
      <c r="K251" s="70"/>
      <c r="L251" s="70"/>
      <c r="M251" s="70"/>
      <c r="N251" s="70"/>
      <c r="O251" s="70"/>
    </row>
    <row r="252" spans="1:15" x14ac:dyDescent="0.25">
      <c r="A252" s="37"/>
      <c r="B252" s="37"/>
      <c r="C252" s="70"/>
      <c r="D252" s="37"/>
      <c r="E252" s="70"/>
      <c r="F252" s="70"/>
      <c r="G252" s="37"/>
      <c r="H252" s="70"/>
      <c r="I252" s="70"/>
      <c r="J252" s="37"/>
      <c r="K252" s="70"/>
      <c r="L252" s="70"/>
      <c r="M252" s="70"/>
      <c r="N252" s="70"/>
      <c r="O252" s="70"/>
    </row>
    <row r="253" spans="1:15" x14ac:dyDescent="0.25">
      <c r="A253" s="37"/>
      <c r="B253" s="37"/>
      <c r="C253" s="70"/>
      <c r="D253" s="37"/>
      <c r="E253" s="70"/>
      <c r="F253" s="70"/>
      <c r="G253" s="37"/>
      <c r="H253" s="70"/>
      <c r="I253" s="70"/>
      <c r="J253" s="37"/>
      <c r="K253" s="70"/>
      <c r="L253" s="70"/>
      <c r="M253" s="70"/>
      <c r="N253" s="70"/>
      <c r="O253" s="70"/>
    </row>
    <row r="254" spans="1:15" x14ac:dyDescent="0.25">
      <c r="A254" s="37"/>
      <c r="B254" s="37"/>
      <c r="C254" s="70"/>
      <c r="D254" s="37"/>
      <c r="E254" s="70"/>
      <c r="F254" s="70"/>
      <c r="G254" s="37"/>
      <c r="H254" s="70"/>
      <c r="I254" s="70"/>
      <c r="J254" s="37"/>
      <c r="K254" s="70"/>
      <c r="L254" s="70"/>
      <c r="M254" s="70"/>
      <c r="N254" s="70"/>
      <c r="O254" s="70"/>
    </row>
    <row r="255" spans="1:15" x14ac:dyDescent="0.25">
      <c r="A255" s="37"/>
      <c r="B255" s="37"/>
      <c r="C255" s="70"/>
      <c r="D255" s="37"/>
      <c r="E255" s="70"/>
      <c r="F255" s="70"/>
      <c r="G255" s="37"/>
      <c r="H255" s="70"/>
      <c r="I255" s="70"/>
      <c r="J255" s="37"/>
      <c r="K255" s="70"/>
      <c r="L255" s="70"/>
      <c r="M255" s="70"/>
      <c r="N255" s="70"/>
      <c r="O255" s="70"/>
    </row>
    <row r="256" spans="1:15" x14ac:dyDescent="0.25">
      <c r="A256" s="37"/>
      <c r="B256" s="37"/>
      <c r="C256" s="70"/>
      <c r="D256" s="37"/>
      <c r="E256" s="70"/>
      <c r="F256" s="70"/>
      <c r="G256" s="37"/>
      <c r="H256" s="70"/>
      <c r="I256" s="70"/>
      <c r="J256" s="37"/>
      <c r="K256" s="70"/>
      <c r="L256" s="70"/>
      <c r="M256" s="70"/>
      <c r="N256" s="70"/>
      <c r="O256" s="70"/>
    </row>
    <row r="257" spans="1:15" x14ac:dyDescent="0.25">
      <c r="A257" s="37"/>
      <c r="B257" s="37"/>
      <c r="C257" s="70"/>
      <c r="D257" s="37"/>
      <c r="E257" s="70"/>
      <c r="F257" s="70"/>
      <c r="G257" s="37"/>
      <c r="H257" s="70"/>
      <c r="I257" s="70"/>
      <c r="J257" s="37"/>
      <c r="K257" s="70"/>
      <c r="L257" s="70"/>
      <c r="M257" s="70"/>
      <c r="N257" s="70"/>
      <c r="O257" s="70"/>
    </row>
    <row r="258" spans="1:15" x14ac:dyDescent="0.25">
      <c r="A258" s="37"/>
      <c r="B258" s="37"/>
      <c r="C258" s="70"/>
      <c r="D258" s="37"/>
      <c r="E258" s="70"/>
      <c r="F258" s="70"/>
      <c r="G258" s="37"/>
      <c r="H258" s="70"/>
      <c r="I258" s="70"/>
      <c r="J258" s="37"/>
      <c r="K258" s="70"/>
      <c r="L258" s="70"/>
      <c r="M258" s="70"/>
      <c r="N258" s="70"/>
      <c r="O258" s="70"/>
    </row>
    <row r="259" spans="1:15" x14ac:dyDescent="0.25">
      <c r="A259" s="37"/>
      <c r="B259" s="37"/>
      <c r="C259" s="70"/>
      <c r="D259" s="37"/>
      <c r="E259" s="70"/>
      <c r="F259" s="70"/>
      <c r="G259" s="37"/>
      <c r="H259" s="70"/>
      <c r="I259" s="70"/>
      <c r="J259" s="37"/>
      <c r="K259" s="70"/>
      <c r="L259" s="70"/>
      <c r="M259" s="70"/>
      <c r="N259" s="70"/>
      <c r="O259" s="70"/>
    </row>
    <row r="260" spans="1:15" x14ac:dyDescent="0.25">
      <c r="A260" s="37"/>
      <c r="B260" s="37"/>
      <c r="C260" s="70"/>
      <c r="D260" s="37"/>
      <c r="E260" s="70"/>
      <c r="F260" s="70"/>
      <c r="G260" s="37"/>
      <c r="H260" s="70"/>
      <c r="I260" s="70"/>
      <c r="J260" s="37"/>
      <c r="K260" s="70"/>
      <c r="L260" s="70"/>
      <c r="M260" s="70"/>
      <c r="N260" s="70"/>
      <c r="O260" s="70"/>
    </row>
    <row r="261" spans="1:15" x14ac:dyDescent="0.25">
      <c r="A261" s="37"/>
      <c r="B261" s="37"/>
      <c r="C261" s="70"/>
      <c r="D261" s="37"/>
      <c r="E261" s="70"/>
      <c r="F261" s="70"/>
      <c r="G261" s="37"/>
      <c r="H261" s="70"/>
      <c r="I261" s="70"/>
      <c r="J261" s="37"/>
      <c r="K261" s="70"/>
      <c r="L261" s="70"/>
      <c r="M261" s="70"/>
      <c r="N261" s="70"/>
      <c r="O261" s="70"/>
    </row>
    <row r="262" spans="1:15" x14ac:dyDescent="0.25">
      <c r="A262" s="37"/>
      <c r="B262" s="37"/>
      <c r="C262" s="70"/>
      <c r="D262" s="37"/>
      <c r="E262" s="70"/>
      <c r="F262" s="70"/>
      <c r="G262" s="37"/>
      <c r="H262" s="70"/>
      <c r="I262" s="70"/>
      <c r="J262" s="37"/>
      <c r="K262" s="70"/>
      <c r="L262" s="70"/>
      <c r="M262" s="70"/>
      <c r="N262" s="70"/>
      <c r="O262" s="70"/>
    </row>
    <row r="263" spans="1:15" x14ac:dyDescent="0.25">
      <c r="A263" s="37"/>
      <c r="B263" s="37"/>
      <c r="C263" s="70"/>
      <c r="D263" s="37"/>
      <c r="E263" s="70"/>
      <c r="F263" s="70"/>
      <c r="G263" s="37"/>
      <c r="H263" s="70"/>
      <c r="I263" s="70"/>
      <c r="J263" s="37"/>
      <c r="K263" s="70"/>
      <c r="L263" s="70"/>
      <c r="M263" s="70"/>
      <c r="N263" s="70"/>
      <c r="O263" s="70"/>
    </row>
    <row r="264" spans="1:15" x14ac:dyDescent="0.25">
      <c r="A264" s="37"/>
      <c r="B264" s="37"/>
      <c r="C264" s="70"/>
      <c r="D264" s="37"/>
      <c r="E264" s="70"/>
      <c r="F264" s="70"/>
      <c r="G264" s="37"/>
      <c r="H264" s="70"/>
      <c r="I264" s="70"/>
      <c r="J264" s="37"/>
      <c r="K264" s="70"/>
      <c r="L264" s="70"/>
      <c r="M264" s="70"/>
      <c r="N264" s="70"/>
      <c r="O264" s="70"/>
    </row>
    <row r="265" spans="1:15" x14ac:dyDescent="0.25">
      <c r="A265" s="37"/>
      <c r="B265" s="37"/>
      <c r="C265" s="70"/>
      <c r="D265" s="37"/>
      <c r="E265" s="70"/>
      <c r="F265" s="70"/>
      <c r="G265" s="37"/>
      <c r="H265" s="70"/>
      <c r="I265" s="70"/>
      <c r="J265" s="37"/>
      <c r="K265" s="70"/>
      <c r="L265" s="70"/>
      <c r="M265" s="70"/>
      <c r="N265" s="70"/>
      <c r="O265" s="70"/>
    </row>
    <row r="266" spans="1:15" x14ac:dyDescent="0.25">
      <c r="A266" s="37"/>
      <c r="B266" s="37"/>
      <c r="C266" s="70"/>
      <c r="D266" s="37"/>
      <c r="E266" s="70"/>
      <c r="F266" s="70"/>
      <c r="G266" s="37"/>
      <c r="H266" s="70"/>
      <c r="I266" s="70"/>
      <c r="J266" s="37"/>
      <c r="K266" s="70"/>
      <c r="L266" s="70"/>
      <c r="M266" s="70"/>
      <c r="N266" s="70"/>
      <c r="O266" s="70"/>
    </row>
    <row r="267" spans="1:15" x14ac:dyDescent="0.25">
      <c r="A267" s="37"/>
      <c r="B267" s="37"/>
      <c r="C267" s="70"/>
      <c r="D267" s="37"/>
      <c r="E267" s="70"/>
      <c r="F267" s="70"/>
      <c r="G267" s="37"/>
      <c r="H267" s="70"/>
      <c r="I267" s="70"/>
      <c r="J267" s="37"/>
      <c r="K267" s="70"/>
      <c r="L267" s="70"/>
      <c r="M267" s="70"/>
      <c r="N267" s="70"/>
      <c r="O267" s="70"/>
    </row>
    <row r="268" spans="1:15" x14ac:dyDescent="0.25">
      <c r="A268" s="37"/>
      <c r="B268" s="37"/>
      <c r="C268" s="70"/>
      <c r="D268" s="37"/>
      <c r="E268" s="70"/>
      <c r="F268" s="70"/>
      <c r="G268" s="37"/>
      <c r="H268" s="70"/>
      <c r="I268" s="70"/>
      <c r="J268" s="37"/>
      <c r="K268" s="70"/>
      <c r="L268" s="70"/>
      <c r="M268" s="70"/>
      <c r="N268" s="70"/>
      <c r="O268" s="70"/>
    </row>
    <row r="269" spans="1:15" x14ac:dyDescent="0.25">
      <c r="A269" s="37"/>
      <c r="B269" s="37"/>
      <c r="C269" s="70"/>
      <c r="D269" s="37"/>
      <c r="E269" s="70"/>
      <c r="F269" s="70"/>
      <c r="G269" s="37"/>
      <c r="H269" s="70"/>
      <c r="I269" s="70"/>
      <c r="J269" s="37"/>
      <c r="K269" s="70"/>
      <c r="L269" s="70"/>
      <c r="M269" s="70"/>
      <c r="N269" s="70"/>
      <c r="O269" s="70"/>
    </row>
    <row r="270" spans="1:15" x14ac:dyDescent="0.25">
      <c r="A270" s="37"/>
      <c r="B270" s="37"/>
      <c r="C270" s="70"/>
      <c r="D270" s="37"/>
      <c r="E270" s="70"/>
      <c r="F270" s="70"/>
      <c r="G270" s="37"/>
      <c r="H270" s="70"/>
      <c r="I270" s="70"/>
      <c r="J270" s="37"/>
      <c r="K270" s="70"/>
      <c r="L270" s="70"/>
      <c r="M270" s="70"/>
      <c r="N270" s="70"/>
      <c r="O270" s="70"/>
    </row>
    <row r="271" spans="1:15" x14ac:dyDescent="0.25">
      <c r="A271" s="37"/>
      <c r="B271" s="37"/>
      <c r="C271" s="70"/>
      <c r="D271" s="37"/>
      <c r="E271" s="70"/>
      <c r="F271" s="70"/>
      <c r="G271" s="37"/>
      <c r="H271" s="70"/>
      <c r="I271" s="70"/>
      <c r="J271" s="37"/>
      <c r="K271" s="70"/>
      <c r="L271" s="70"/>
      <c r="M271" s="70"/>
      <c r="N271" s="70"/>
      <c r="O271" s="70"/>
    </row>
    <row r="272" spans="1:15" x14ac:dyDescent="0.25">
      <c r="A272" s="37"/>
      <c r="B272" s="37"/>
      <c r="C272" s="70"/>
      <c r="D272" s="37"/>
      <c r="E272" s="70"/>
      <c r="F272" s="70"/>
      <c r="G272" s="37"/>
      <c r="H272" s="70"/>
      <c r="I272" s="70"/>
      <c r="J272" s="37"/>
      <c r="K272" s="70"/>
      <c r="L272" s="70"/>
      <c r="M272" s="70"/>
      <c r="N272" s="70"/>
      <c r="O272" s="70"/>
    </row>
    <row r="273" spans="1:15" x14ac:dyDescent="0.25">
      <c r="A273" s="37"/>
      <c r="B273" s="37"/>
      <c r="C273" s="70"/>
      <c r="D273" s="37"/>
      <c r="E273" s="70"/>
      <c r="F273" s="70"/>
      <c r="G273" s="37"/>
      <c r="H273" s="70"/>
      <c r="I273" s="70"/>
      <c r="J273" s="37"/>
      <c r="K273" s="70"/>
      <c r="L273" s="70"/>
      <c r="M273" s="70"/>
      <c r="N273" s="70"/>
      <c r="O273" s="70"/>
    </row>
    <row r="274" spans="1:15" x14ac:dyDescent="0.25">
      <c r="A274" s="37"/>
      <c r="B274" s="37"/>
      <c r="C274" s="70"/>
      <c r="D274" s="37"/>
      <c r="E274" s="70"/>
      <c r="F274" s="70"/>
      <c r="G274" s="37"/>
      <c r="H274" s="70"/>
      <c r="I274" s="70"/>
      <c r="J274" s="37"/>
      <c r="K274" s="70"/>
      <c r="L274" s="70"/>
      <c r="M274" s="70"/>
      <c r="N274" s="70"/>
      <c r="O274" s="70"/>
    </row>
    <row r="275" spans="1:15" x14ac:dyDescent="0.25">
      <c r="A275" s="37"/>
      <c r="B275" s="37"/>
      <c r="C275" s="70"/>
      <c r="D275" s="37"/>
      <c r="E275" s="70"/>
      <c r="F275" s="70"/>
      <c r="G275" s="37"/>
      <c r="H275" s="70"/>
      <c r="I275" s="70"/>
      <c r="J275" s="37"/>
      <c r="K275" s="70"/>
      <c r="L275" s="70"/>
      <c r="M275" s="70"/>
      <c r="N275" s="70"/>
      <c r="O275" s="70"/>
    </row>
    <row r="276" spans="1:15" x14ac:dyDescent="0.25">
      <c r="A276" s="37"/>
      <c r="B276" s="37"/>
      <c r="C276" s="70"/>
      <c r="D276" s="37"/>
      <c r="E276" s="70"/>
      <c r="F276" s="70"/>
      <c r="G276" s="37"/>
      <c r="H276" s="70"/>
      <c r="I276" s="70"/>
      <c r="J276" s="37"/>
      <c r="K276" s="70"/>
      <c r="L276" s="70"/>
      <c r="M276" s="70"/>
      <c r="N276" s="70"/>
      <c r="O276" s="70"/>
    </row>
    <row r="277" spans="1:15" x14ac:dyDescent="0.25">
      <c r="A277" s="37"/>
      <c r="B277" s="37"/>
      <c r="C277" s="70"/>
      <c r="D277" s="37"/>
      <c r="E277" s="70"/>
      <c r="F277" s="70"/>
      <c r="G277" s="37"/>
      <c r="H277" s="70"/>
      <c r="I277" s="70"/>
      <c r="J277" s="37"/>
      <c r="K277" s="70"/>
      <c r="L277" s="70"/>
      <c r="M277" s="70"/>
      <c r="N277" s="70"/>
      <c r="O277" s="70"/>
    </row>
    <row r="278" spans="1:15" x14ac:dyDescent="0.25">
      <c r="A278" s="37"/>
      <c r="B278" s="37"/>
      <c r="C278" s="70"/>
      <c r="D278" s="37"/>
      <c r="E278" s="70"/>
      <c r="F278" s="70"/>
      <c r="G278" s="37"/>
      <c r="H278" s="70"/>
      <c r="I278" s="70"/>
      <c r="J278" s="37"/>
      <c r="K278" s="70"/>
      <c r="L278" s="70"/>
      <c r="M278" s="70"/>
      <c r="N278" s="70"/>
      <c r="O278" s="70"/>
    </row>
    <row r="279" spans="1:15" x14ac:dyDescent="0.25">
      <c r="A279" s="37"/>
      <c r="B279" s="37"/>
      <c r="C279" s="70"/>
      <c r="D279" s="37"/>
      <c r="E279" s="70"/>
      <c r="F279" s="70"/>
      <c r="G279" s="37"/>
      <c r="H279" s="70"/>
      <c r="I279" s="70"/>
      <c r="J279" s="37"/>
      <c r="K279" s="70"/>
      <c r="L279" s="70"/>
      <c r="M279" s="70"/>
      <c r="N279" s="70"/>
      <c r="O279" s="70"/>
    </row>
    <row r="280" spans="1:15" x14ac:dyDescent="0.25">
      <c r="A280" s="37"/>
      <c r="B280" s="37"/>
      <c r="C280" s="70"/>
      <c r="D280" s="37"/>
      <c r="E280" s="70"/>
      <c r="F280" s="70"/>
      <c r="G280" s="37"/>
      <c r="H280" s="70"/>
      <c r="I280" s="70"/>
      <c r="J280" s="37"/>
      <c r="K280" s="70"/>
      <c r="L280" s="70"/>
      <c r="M280" s="70"/>
      <c r="N280" s="70"/>
      <c r="O280" s="70"/>
    </row>
    <row r="281" spans="1:15" x14ac:dyDescent="0.25">
      <c r="A281" s="37"/>
      <c r="B281" s="37"/>
      <c r="C281" s="70"/>
      <c r="D281" s="37"/>
      <c r="E281" s="70"/>
      <c r="F281" s="70"/>
      <c r="G281" s="37"/>
      <c r="H281" s="70"/>
      <c r="I281" s="70"/>
      <c r="J281" s="37"/>
      <c r="K281" s="70"/>
      <c r="L281" s="70"/>
      <c r="M281" s="70"/>
      <c r="N281" s="70"/>
      <c r="O281" s="70"/>
    </row>
    <row r="282" spans="1:15" x14ac:dyDescent="0.25">
      <c r="A282" s="37"/>
      <c r="B282" s="37"/>
      <c r="C282" s="70"/>
      <c r="D282" s="37"/>
      <c r="E282" s="70"/>
      <c r="F282" s="70"/>
      <c r="G282" s="37"/>
      <c r="H282" s="70"/>
      <c r="I282" s="70"/>
      <c r="J282" s="37"/>
      <c r="K282" s="70"/>
      <c r="L282" s="70"/>
      <c r="M282" s="70"/>
      <c r="N282" s="70"/>
      <c r="O282" s="70"/>
    </row>
    <row r="283" spans="1:15" x14ac:dyDescent="0.25">
      <c r="A283" s="37"/>
      <c r="B283" s="37"/>
      <c r="C283" s="70"/>
      <c r="D283" s="37"/>
      <c r="E283" s="70"/>
      <c r="F283" s="70"/>
      <c r="G283" s="37"/>
      <c r="H283" s="70"/>
      <c r="I283" s="70"/>
      <c r="J283" s="37"/>
      <c r="K283" s="70"/>
      <c r="L283" s="70"/>
      <c r="M283" s="70"/>
      <c r="N283" s="70"/>
      <c r="O283" s="70"/>
    </row>
    <row r="284" spans="1:15" x14ac:dyDescent="0.25">
      <c r="A284" s="37"/>
      <c r="B284" s="37"/>
      <c r="C284" s="70"/>
      <c r="D284" s="37"/>
      <c r="E284" s="70"/>
      <c r="F284" s="70"/>
      <c r="G284" s="37"/>
      <c r="H284" s="70"/>
      <c r="I284" s="70"/>
      <c r="J284" s="37"/>
      <c r="K284" s="70"/>
      <c r="L284" s="70"/>
      <c r="M284" s="70"/>
      <c r="N284" s="70"/>
      <c r="O284" s="70"/>
    </row>
    <row r="285" spans="1:15" x14ac:dyDescent="0.25">
      <c r="A285" s="37"/>
      <c r="B285" s="37"/>
      <c r="C285" s="70"/>
      <c r="D285" s="37"/>
      <c r="E285" s="70"/>
      <c r="F285" s="70"/>
      <c r="G285" s="37"/>
      <c r="H285" s="70"/>
      <c r="I285" s="70"/>
      <c r="J285" s="37"/>
      <c r="K285" s="70"/>
      <c r="L285" s="70"/>
      <c r="M285" s="70"/>
      <c r="N285" s="70"/>
      <c r="O285" s="70"/>
    </row>
    <row r="286" spans="1:15" x14ac:dyDescent="0.25">
      <c r="A286" s="37"/>
      <c r="B286" s="37"/>
      <c r="C286" s="70"/>
      <c r="D286" s="37"/>
      <c r="E286" s="70"/>
      <c r="F286" s="70"/>
      <c r="G286" s="37"/>
      <c r="H286" s="70"/>
      <c r="I286" s="70"/>
      <c r="J286" s="37"/>
      <c r="K286" s="70"/>
      <c r="L286" s="70"/>
      <c r="M286" s="70"/>
      <c r="N286" s="70"/>
      <c r="O286" s="70"/>
    </row>
    <row r="287" spans="1:15" x14ac:dyDescent="0.25">
      <c r="A287" s="37"/>
      <c r="B287" s="37"/>
      <c r="C287" s="70"/>
      <c r="D287" s="37"/>
      <c r="E287" s="70"/>
      <c r="F287" s="70"/>
      <c r="G287" s="37"/>
      <c r="H287" s="70"/>
      <c r="I287" s="70"/>
      <c r="J287" s="37"/>
      <c r="K287" s="70"/>
      <c r="L287" s="70"/>
      <c r="M287" s="70"/>
      <c r="N287" s="70"/>
      <c r="O287" s="70"/>
    </row>
    <row r="288" spans="1:15" x14ac:dyDescent="0.25">
      <c r="A288" s="37"/>
      <c r="B288" s="37"/>
      <c r="C288" s="70"/>
      <c r="D288" s="37"/>
      <c r="E288" s="70"/>
      <c r="F288" s="70"/>
      <c r="G288" s="37"/>
      <c r="H288" s="70"/>
      <c r="I288" s="70"/>
      <c r="J288" s="37"/>
      <c r="K288" s="70"/>
      <c r="L288" s="70"/>
      <c r="M288" s="70"/>
      <c r="N288" s="70"/>
      <c r="O288" s="70"/>
    </row>
    <row r="289" spans="1:15" x14ac:dyDescent="0.25">
      <c r="A289" s="37"/>
      <c r="B289" s="37"/>
      <c r="C289" s="70"/>
      <c r="D289" s="37"/>
      <c r="E289" s="70"/>
      <c r="F289" s="70"/>
      <c r="G289" s="37"/>
      <c r="H289" s="70"/>
      <c r="I289" s="70"/>
      <c r="J289" s="37"/>
      <c r="K289" s="70"/>
      <c r="L289" s="70"/>
      <c r="M289" s="70"/>
      <c r="N289" s="70"/>
      <c r="O289" s="70"/>
    </row>
    <row r="290" spans="1:15" x14ac:dyDescent="0.25">
      <c r="A290" s="37"/>
      <c r="B290" s="37"/>
      <c r="C290" s="70"/>
      <c r="D290" s="37"/>
      <c r="E290" s="70"/>
      <c r="F290" s="70"/>
      <c r="G290" s="37"/>
      <c r="H290" s="70"/>
      <c r="I290" s="70"/>
      <c r="J290" s="37"/>
      <c r="K290" s="70"/>
      <c r="L290" s="70"/>
      <c r="M290" s="70"/>
      <c r="N290" s="70"/>
      <c r="O290" s="70"/>
    </row>
    <row r="291" spans="1:15" x14ac:dyDescent="0.25">
      <c r="A291" s="37"/>
      <c r="B291" s="37"/>
      <c r="C291" s="70"/>
      <c r="D291" s="37"/>
      <c r="E291" s="70"/>
      <c r="F291" s="70"/>
      <c r="G291" s="37"/>
      <c r="H291" s="70"/>
      <c r="I291" s="70"/>
      <c r="J291" s="37"/>
      <c r="K291" s="70"/>
      <c r="L291" s="70"/>
      <c r="M291" s="70"/>
      <c r="N291" s="70"/>
      <c r="O291" s="70"/>
    </row>
    <row r="292" spans="1:15" x14ac:dyDescent="0.25">
      <c r="A292" s="37"/>
      <c r="B292" s="37"/>
      <c r="C292" s="70"/>
      <c r="D292" s="37"/>
      <c r="E292" s="70"/>
      <c r="F292" s="70"/>
      <c r="G292" s="37"/>
      <c r="H292" s="70"/>
      <c r="I292" s="70"/>
      <c r="J292" s="37"/>
      <c r="K292" s="70"/>
      <c r="L292" s="70"/>
      <c r="M292" s="70"/>
      <c r="N292" s="70"/>
      <c r="O292" s="70"/>
    </row>
    <row r="293" spans="1:15" x14ac:dyDescent="0.25">
      <c r="A293" s="37"/>
      <c r="B293" s="37"/>
      <c r="C293" s="70"/>
      <c r="D293" s="37"/>
      <c r="E293" s="70"/>
      <c r="F293" s="70"/>
      <c r="G293" s="37"/>
      <c r="H293" s="70"/>
      <c r="I293" s="70"/>
      <c r="J293" s="37"/>
      <c r="K293" s="70"/>
      <c r="L293" s="70"/>
      <c r="M293" s="70"/>
      <c r="N293" s="70"/>
      <c r="O293" s="70"/>
    </row>
    <row r="294" spans="1:15" x14ac:dyDescent="0.25">
      <c r="A294" s="37"/>
      <c r="B294" s="37"/>
      <c r="C294" s="70"/>
      <c r="D294" s="37"/>
      <c r="E294" s="70"/>
      <c r="F294" s="70"/>
      <c r="G294" s="37"/>
      <c r="H294" s="70"/>
      <c r="I294" s="70"/>
      <c r="J294" s="37"/>
      <c r="K294" s="70"/>
      <c r="L294" s="70"/>
      <c r="M294" s="70"/>
      <c r="N294" s="70"/>
      <c r="O294" s="70"/>
    </row>
    <row r="295" spans="1:15" x14ac:dyDescent="0.25">
      <c r="A295" s="37"/>
      <c r="B295" s="37"/>
      <c r="C295" s="70"/>
      <c r="D295" s="37"/>
      <c r="E295" s="70"/>
      <c r="F295" s="70"/>
      <c r="G295" s="37"/>
      <c r="H295" s="70"/>
      <c r="I295" s="70"/>
      <c r="J295" s="37"/>
      <c r="K295" s="70"/>
      <c r="L295" s="70"/>
      <c r="M295" s="70"/>
      <c r="N295" s="70"/>
      <c r="O295" s="70"/>
    </row>
    <row r="296" spans="1:15" x14ac:dyDescent="0.25">
      <c r="A296" s="37"/>
      <c r="B296" s="37"/>
      <c r="C296" s="70"/>
      <c r="D296" s="37"/>
      <c r="E296" s="70"/>
      <c r="F296" s="70"/>
      <c r="G296" s="37"/>
      <c r="H296" s="70"/>
      <c r="I296" s="70"/>
      <c r="J296" s="37"/>
      <c r="K296" s="70"/>
      <c r="L296" s="70"/>
      <c r="M296" s="70"/>
      <c r="N296" s="70"/>
      <c r="O296" s="70"/>
    </row>
    <row r="297" spans="1:15" x14ac:dyDescent="0.25">
      <c r="A297" s="37"/>
      <c r="B297" s="37"/>
      <c r="C297" s="70"/>
      <c r="D297" s="37"/>
      <c r="E297" s="70"/>
      <c r="F297" s="70"/>
      <c r="G297" s="37"/>
      <c r="H297" s="70"/>
      <c r="I297" s="70"/>
      <c r="J297" s="37"/>
      <c r="K297" s="70"/>
      <c r="L297" s="70"/>
      <c r="M297" s="70"/>
      <c r="N297" s="70"/>
      <c r="O297" s="70"/>
    </row>
    <row r="298" spans="1:15" x14ac:dyDescent="0.25">
      <c r="A298" s="37"/>
      <c r="B298" s="37"/>
      <c r="C298" s="70"/>
      <c r="D298" s="37"/>
      <c r="E298" s="70"/>
      <c r="F298" s="70"/>
      <c r="G298" s="37"/>
      <c r="H298" s="70"/>
      <c r="I298" s="70"/>
      <c r="J298" s="37"/>
      <c r="K298" s="70"/>
      <c r="L298" s="70"/>
      <c r="M298" s="70"/>
      <c r="N298" s="70"/>
      <c r="O298" s="70"/>
    </row>
    <row r="299" spans="1:15" x14ac:dyDescent="0.25">
      <c r="A299" s="37"/>
      <c r="B299" s="37"/>
      <c r="C299" s="70"/>
      <c r="D299" s="37"/>
      <c r="E299" s="70"/>
      <c r="F299" s="70"/>
      <c r="G299" s="37"/>
      <c r="H299" s="70"/>
      <c r="I299" s="70"/>
      <c r="J299" s="37"/>
      <c r="K299" s="70"/>
      <c r="L299" s="70"/>
      <c r="M299" s="70"/>
      <c r="N299" s="70"/>
      <c r="O299" s="70"/>
    </row>
    <row r="300" spans="1:15" x14ac:dyDescent="0.25">
      <c r="A300" s="37"/>
      <c r="B300" s="37"/>
      <c r="C300" s="70"/>
      <c r="D300" s="37"/>
      <c r="E300" s="70"/>
      <c r="F300" s="70"/>
      <c r="G300" s="37"/>
      <c r="H300" s="70"/>
      <c r="I300" s="70"/>
      <c r="J300" s="37"/>
      <c r="K300" s="70"/>
      <c r="L300" s="70"/>
      <c r="M300" s="70"/>
      <c r="N300" s="70"/>
      <c r="O300" s="70"/>
    </row>
    <row r="301" spans="1:15" x14ac:dyDescent="0.25">
      <c r="A301" s="37"/>
      <c r="B301" s="37"/>
      <c r="C301" s="70"/>
      <c r="D301" s="37"/>
      <c r="E301" s="70"/>
      <c r="F301" s="70"/>
      <c r="G301" s="37"/>
      <c r="H301" s="70"/>
      <c r="I301" s="70"/>
      <c r="J301" s="37"/>
      <c r="K301" s="70"/>
      <c r="L301" s="70"/>
      <c r="M301" s="70"/>
      <c r="N301" s="70"/>
      <c r="O301" s="70"/>
    </row>
    <row r="302" spans="1:15" x14ac:dyDescent="0.25">
      <c r="A302" s="37"/>
      <c r="B302" s="37"/>
      <c r="C302" s="70"/>
      <c r="D302" s="37"/>
      <c r="E302" s="70"/>
      <c r="F302" s="70"/>
      <c r="G302" s="37"/>
      <c r="H302" s="70"/>
      <c r="I302" s="70"/>
      <c r="J302" s="37"/>
      <c r="K302" s="70"/>
      <c r="L302" s="70"/>
      <c r="M302" s="70"/>
      <c r="N302" s="70"/>
      <c r="O302" s="70"/>
    </row>
    <row r="303" spans="1:15" x14ac:dyDescent="0.25">
      <c r="A303" s="37"/>
      <c r="B303" s="37"/>
      <c r="C303" s="70"/>
      <c r="D303" s="37"/>
      <c r="E303" s="70"/>
      <c r="F303" s="70"/>
      <c r="G303" s="37"/>
      <c r="H303" s="70"/>
      <c r="I303" s="70"/>
      <c r="J303" s="37"/>
      <c r="K303" s="70"/>
      <c r="L303" s="70"/>
      <c r="M303" s="70"/>
      <c r="N303" s="70"/>
      <c r="O303" s="70"/>
    </row>
    <row r="304" spans="1:15" x14ac:dyDescent="0.25">
      <c r="A304" s="37"/>
      <c r="B304" s="37"/>
      <c r="C304" s="70"/>
      <c r="D304" s="37"/>
      <c r="E304" s="70"/>
      <c r="F304" s="70"/>
      <c r="G304" s="37"/>
      <c r="H304" s="70"/>
      <c r="I304" s="70"/>
      <c r="J304" s="37"/>
      <c r="K304" s="70"/>
      <c r="L304" s="70"/>
      <c r="M304" s="70"/>
      <c r="N304" s="70"/>
      <c r="O304" s="70"/>
    </row>
    <row r="305" spans="1:15" x14ac:dyDescent="0.25">
      <c r="A305" s="37"/>
      <c r="B305" s="37"/>
      <c r="C305" s="70"/>
      <c r="D305" s="37"/>
      <c r="E305" s="70"/>
      <c r="F305" s="70"/>
      <c r="G305" s="37"/>
      <c r="H305" s="70"/>
      <c r="I305" s="70"/>
      <c r="J305" s="37"/>
      <c r="K305" s="70"/>
      <c r="L305" s="70"/>
      <c r="M305" s="70"/>
      <c r="N305" s="70"/>
      <c r="O305" s="70"/>
    </row>
    <row r="306" spans="1:15" x14ac:dyDescent="0.25">
      <c r="A306" s="37"/>
      <c r="B306" s="37"/>
      <c r="C306" s="70"/>
      <c r="D306" s="37"/>
      <c r="E306" s="70"/>
      <c r="F306" s="70"/>
      <c r="G306" s="37"/>
      <c r="H306" s="70"/>
      <c r="I306" s="70"/>
      <c r="J306" s="37"/>
      <c r="K306" s="70"/>
      <c r="L306" s="70"/>
      <c r="M306" s="70"/>
      <c r="N306" s="70"/>
      <c r="O306" s="70"/>
    </row>
    <row r="307" spans="1:15" x14ac:dyDescent="0.25">
      <c r="A307" s="37"/>
      <c r="B307" s="37"/>
      <c r="C307" s="70"/>
      <c r="D307" s="37"/>
      <c r="E307" s="70"/>
      <c r="F307" s="70"/>
      <c r="G307" s="37"/>
      <c r="H307" s="70"/>
      <c r="I307" s="70"/>
      <c r="J307" s="37"/>
      <c r="K307" s="70"/>
      <c r="L307" s="70"/>
      <c r="M307" s="70"/>
      <c r="N307" s="70"/>
      <c r="O307" s="70"/>
    </row>
    <row r="308" spans="1:15" x14ac:dyDescent="0.25">
      <c r="A308" s="37"/>
      <c r="B308" s="37"/>
      <c r="C308" s="70"/>
      <c r="D308" s="37"/>
      <c r="E308" s="70"/>
      <c r="F308" s="70"/>
      <c r="G308" s="37"/>
      <c r="H308" s="70"/>
      <c r="I308" s="70"/>
      <c r="J308" s="37"/>
      <c r="K308" s="70"/>
      <c r="L308" s="70"/>
      <c r="M308" s="70"/>
      <c r="N308" s="70"/>
      <c r="O308" s="70"/>
    </row>
    <row r="309" spans="1:15" x14ac:dyDescent="0.25">
      <c r="A309" s="37"/>
      <c r="B309" s="37"/>
      <c r="C309" s="70"/>
      <c r="D309" s="37"/>
      <c r="E309" s="70"/>
      <c r="F309" s="70"/>
      <c r="G309" s="37"/>
      <c r="H309" s="70"/>
      <c r="I309" s="70"/>
      <c r="J309" s="37"/>
      <c r="K309" s="70"/>
      <c r="L309" s="70"/>
      <c r="M309" s="70"/>
      <c r="N309" s="70"/>
      <c r="O309" s="70"/>
    </row>
    <row r="310" spans="1:15" x14ac:dyDescent="0.25">
      <c r="A310" s="37"/>
      <c r="B310" s="37"/>
      <c r="C310" s="70"/>
      <c r="D310" s="37"/>
      <c r="E310" s="70"/>
      <c r="F310" s="70"/>
      <c r="G310" s="37"/>
      <c r="H310" s="70"/>
      <c r="I310" s="70"/>
      <c r="J310" s="37"/>
      <c r="K310" s="70"/>
      <c r="L310" s="70"/>
      <c r="M310" s="70"/>
      <c r="N310" s="70"/>
      <c r="O310" s="70"/>
    </row>
    <row r="311" spans="1:15" x14ac:dyDescent="0.25">
      <c r="A311" s="37"/>
      <c r="B311" s="37"/>
      <c r="C311" s="70"/>
      <c r="D311" s="37"/>
      <c r="E311" s="70"/>
      <c r="F311" s="70"/>
      <c r="G311" s="37"/>
      <c r="H311" s="70"/>
      <c r="I311" s="70"/>
      <c r="J311" s="37"/>
      <c r="K311" s="70"/>
      <c r="L311" s="70"/>
      <c r="M311" s="70"/>
      <c r="N311" s="70"/>
      <c r="O311" s="70"/>
    </row>
    <row r="312" spans="1:15" x14ac:dyDescent="0.25">
      <c r="A312" s="37"/>
      <c r="B312" s="37"/>
      <c r="C312" s="70"/>
      <c r="D312" s="37"/>
      <c r="E312" s="70"/>
      <c r="F312" s="70"/>
      <c r="G312" s="37"/>
      <c r="H312" s="70"/>
      <c r="I312" s="70"/>
      <c r="J312" s="37"/>
      <c r="K312" s="70"/>
      <c r="L312" s="70"/>
      <c r="M312" s="70"/>
      <c r="N312" s="70"/>
      <c r="O312" s="70"/>
    </row>
    <row r="313" spans="1:15" x14ac:dyDescent="0.25">
      <c r="A313" s="37"/>
      <c r="B313" s="37"/>
      <c r="C313" s="70"/>
      <c r="D313" s="37"/>
      <c r="E313" s="70"/>
      <c r="F313" s="70"/>
      <c r="G313" s="37"/>
      <c r="H313" s="70"/>
      <c r="I313" s="70"/>
      <c r="J313" s="37"/>
      <c r="K313" s="70"/>
      <c r="L313" s="70"/>
      <c r="M313" s="70"/>
      <c r="N313" s="70"/>
      <c r="O313" s="70"/>
    </row>
    <row r="314" spans="1:15" x14ac:dyDescent="0.25">
      <c r="A314" s="37"/>
      <c r="B314" s="37"/>
      <c r="C314" s="70"/>
      <c r="D314" s="37"/>
      <c r="E314" s="70"/>
      <c r="F314" s="70"/>
      <c r="G314" s="37"/>
      <c r="H314" s="70"/>
      <c r="I314" s="70"/>
      <c r="J314" s="37"/>
      <c r="K314" s="70"/>
      <c r="L314" s="70"/>
      <c r="M314" s="70"/>
      <c r="N314" s="70"/>
      <c r="O314" s="70"/>
    </row>
    <row r="315" spans="1:15" x14ac:dyDescent="0.25">
      <c r="A315" s="37"/>
      <c r="B315" s="37"/>
      <c r="C315" s="70"/>
      <c r="D315" s="37"/>
      <c r="E315" s="70"/>
      <c r="F315" s="70"/>
      <c r="G315" s="37"/>
      <c r="H315" s="70"/>
      <c r="I315" s="70"/>
      <c r="J315" s="37"/>
      <c r="K315" s="70"/>
      <c r="L315" s="70"/>
      <c r="M315" s="70"/>
      <c r="N315" s="70"/>
      <c r="O315" s="70"/>
    </row>
    <row r="316" spans="1:15" x14ac:dyDescent="0.25">
      <c r="A316" s="37"/>
      <c r="B316" s="37"/>
      <c r="C316" s="70"/>
      <c r="D316" s="37"/>
      <c r="E316" s="70"/>
      <c r="F316" s="70"/>
      <c r="G316" s="37"/>
      <c r="H316" s="70"/>
      <c r="I316" s="70"/>
      <c r="J316" s="37"/>
      <c r="K316" s="70"/>
      <c r="L316" s="70"/>
      <c r="M316" s="70"/>
      <c r="N316" s="70"/>
      <c r="O316" s="70"/>
    </row>
    <row r="317" spans="1:15" x14ac:dyDescent="0.25">
      <c r="A317" s="37"/>
      <c r="B317" s="37"/>
      <c r="C317" s="70"/>
      <c r="D317" s="37"/>
      <c r="E317" s="70"/>
      <c r="F317" s="70"/>
      <c r="G317" s="37"/>
      <c r="H317" s="70"/>
      <c r="I317" s="70"/>
      <c r="J317" s="37"/>
      <c r="K317" s="70"/>
      <c r="L317" s="70"/>
      <c r="M317" s="70"/>
      <c r="N317" s="70"/>
      <c r="O317" s="70"/>
    </row>
    <row r="318" spans="1:15" x14ac:dyDescent="0.25">
      <c r="A318" s="37"/>
      <c r="B318" s="37"/>
      <c r="C318" s="70"/>
      <c r="D318" s="37"/>
      <c r="E318" s="70"/>
      <c r="F318" s="70"/>
      <c r="G318" s="37"/>
      <c r="H318" s="70"/>
      <c r="I318" s="70"/>
      <c r="J318" s="37"/>
      <c r="K318" s="70"/>
      <c r="L318" s="70"/>
      <c r="M318" s="70"/>
      <c r="N318" s="70"/>
      <c r="O318" s="70"/>
    </row>
    <row r="319" spans="1:15" x14ac:dyDescent="0.25">
      <c r="A319" s="37"/>
      <c r="B319" s="37"/>
      <c r="C319" s="70"/>
      <c r="D319" s="37"/>
      <c r="E319" s="70"/>
      <c r="F319" s="70"/>
      <c r="G319" s="37"/>
      <c r="H319" s="70"/>
      <c r="I319" s="70"/>
      <c r="J319" s="37"/>
      <c r="K319" s="70"/>
      <c r="L319" s="70"/>
      <c r="M319" s="70"/>
      <c r="N319" s="70"/>
      <c r="O319" s="70"/>
    </row>
    <row r="320" spans="1:15" x14ac:dyDescent="0.25">
      <c r="A320" s="37"/>
      <c r="B320" s="37"/>
      <c r="C320" s="70"/>
      <c r="D320" s="37"/>
      <c r="E320" s="70"/>
      <c r="F320" s="70"/>
      <c r="G320" s="37"/>
      <c r="H320" s="70"/>
      <c r="I320" s="70"/>
      <c r="J320" s="37"/>
      <c r="K320" s="70"/>
      <c r="L320" s="70"/>
      <c r="M320" s="70"/>
      <c r="N320" s="70"/>
      <c r="O320" s="70"/>
    </row>
    <row r="321" spans="1:15" x14ac:dyDescent="0.25">
      <c r="A321" s="37"/>
      <c r="B321" s="37"/>
      <c r="C321" s="70"/>
      <c r="D321" s="37"/>
      <c r="E321" s="70"/>
      <c r="F321" s="70"/>
      <c r="G321" s="37"/>
      <c r="H321" s="70"/>
      <c r="I321" s="70"/>
      <c r="J321" s="37"/>
      <c r="K321" s="70"/>
      <c r="L321" s="70"/>
      <c r="M321" s="70"/>
      <c r="N321" s="70"/>
      <c r="O321" s="70"/>
    </row>
    <row r="322" spans="1:15" x14ac:dyDescent="0.25">
      <c r="A322" s="37"/>
      <c r="B322" s="37"/>
      <c r="C322" s="70"/>
      <c r="D322" s="37"/>
      <c r="E322" s="70"/>
      <c r="F322" s="70"/>
      <c r="G322" s="37"/>
      <c r="H322" s="70"/>
      <c r="I322" s="70"/>
      <c r="J322" s="37"/>
      <c r="K322" s="70"/>
      <c r="L322" s="70"/>
      <c r="M322" s="70"/>
      <c r="N322" s="70"/>
      <c r="O322" s="70"/>
    </row>
    <row r="323" spans="1:15" x14ac:dyDescent="0.25">
      <c r="A323" s="37"/>
      <c r="B323" s="37"/>
      <c r="C323" s="70"/>
      <c r="D323" s="37"/>
      <c r="E323" s="70"/>
      <c r="F323" s="70"/>
      <c r="G323" s="37"/>
      <c r="H323" s="70"/>
      <c r="I323" s="70"/>
      <c r="J323" s="37"/>
      <c r="K323" s="70"/>
      <c r="L323" s="70"/>
      <c r="M323" s="70"/>
      <c r="N323" s="70"/>
      <c r="O323" s="70"/>
    </row>
    <row r="324" spans="1:15" x14ac:dyDescent="0.25">
      <c r="A324" s="37"/>
      <c r="B324" s="37"/>
      <c r="C324" s="70"/>
      <c r="D324" s="37"/>
      <c r="E324" s="70"/>
      <c r="F324" s="70"/>
      <c r="G324" s="37"/>
      <c r="H324" s="70"/>
      <c r="I324" s="70"/>
      <c r="J324" s="37"/>
      <c r="K324" s="70"/>
      <c r="L324" s="70"/>
      <c r="M324" s="70"/>
      <c r="N324" s="70"/>
      <c r="O324" s="70"/>
    </row>
    <row r="325" spans="1:15" x14ac:dyDescent="0.25">
      <c r="A325" s="37"/>
      <c r="B325" s="37"/>
      <c r="C325" s="70"/>
      <c r="D325" s="37"/>
      <c r="E325" s="70"/>
      <c r="F325" s="70"/>
      <c r="G325" s="37"/>
      <c r="H325" s="70"/>
      <c r="I325" s="70"/>
      <c r="J325" s="37"/>
      <c r="K325" s="70"/>
      <c r="L325" s="70"/>
      <c r="M325" s="70"/>
      <c r="N325" s="70"/>
      <c r="O325" s="70"/>
    </row>
    <row r="326" spans="1:15" x14ac:dyDescent="0.25">
      <c r="A326" s="37"/>
      <c r="B326" s="37"/>
      <c r="C326" s="70"/>
      <c r="D326" s="37"/>
      <c r="E326" s="70"/>
      <c r="F326" s="70"/>
      <c r="G326" s="37"/>
      <c r="H326" s="70"/>
      <c r="I326" s="70"/>
      <c r="J326" s="37"/>
      <c r="K326" s="70"/>
      <c r="L326" s="70"/>
      <c r="M326" s="70"/>
      <c r="N326" s="70"/>
      <c r="O326" s="70"/>
    </row>
    <row r="327" spans="1:15" x14ac:dyDescent="0.25">
      <c r="A327" s="37"/>
      <c r="B327" s="37"/>
      <c r="C327" s="70"/>
      <c r="D327" s="37"/>
      <c r="E327" s="70"/>
      <c r="F327" s="70"/>
      <c r="G327" s="37"/>
      <c r="H327" s="70"/>
      <c r="I327" s="70"/>
      <c r="J327" s="37"/>
      <c r="K327" s="70"/>
      <c r="L327" s="70"/>
      <c r="M327" s="70"/>
      <c r="N327" s="70"/>
      <c r="O327" s="70"/>
    </row>
    <row r="328" spans="1:15" x14ac:dyDescent="0.25">
      <c r="A328" s="37"/>
      <c r="B328" s="37"/>
      <c r="C328" s="70"/>
      <c r="D328" s="37"/>
      <c r="E328" s="70"/>
      <c r="F328" s="70"/>
      <c r="G328" s="37"/>
      <c r="H328" s="70"/>
      <c r="I328" s="70"/>
      <c r="J328" s="37"/>
      <c r="K328" s="70"/>
      <c r="L328" s="70"/>
      <c r="M328" s="70"/>
      <c r="N328" s="70"/>
      <c r="O328" s="70"/>
    </row>
    <row r="329" spans="1:15" x14ac:dyDescent="0.25">
      <c r="A329" s="37"/>
      <c r="B329" s="37"/>
      <c r="C329" s="70"/>
      <c r="D329" s="37"/>
      <c r="E329" s="70"/>
      <c r="F329" s="70"/>
      <c r="G329" s="37"/>
      <c r="H329" s="70"/>
      <c r="I329" s="70"/>
      <c r="J329" s="37"/>
      <c r="K329" s="70"/>
      <c r="L329" s="70"/>
      <c r="M329" s="70"/>
      <c r="N329" s="70"/>
      <c r="O329" s="70"/>
    </row>
    <row r="330" spans="1:15" x14ac:dyDescent="0.25">
      <c r="A330" s="37"/>
      <c r="B330" s="37"/>
      <c r="C330" s="70"/>
      <c r="D330" s="37"/>
      <c r="E330" s="70"/>
      <c r="F330" s="70"/>
      <c r="G330" s="37"/>
      <c r="H330" s="70"/>
      <c r="I330" s="70"/>
      <c r="J330" s="37"/>
      <c r="K330" s="70"/>
      <c r="L330" s="70"/>
      <c r="M330" s="70"/>
      <c r="N330" s="70"/>
      <c r="O330" s="70"/>
    </row>
    <row r="331" spans="1:15" x14ac:dyDescent="0.25">
      <c r="A331" s="37"/>
      <c r="B331" s="37"/>
      <c r="C331" s="70"/>
      <c r="D331" s="37"/>
      <c r="E331" s="70"/>
      <c r="F331" s="70"/>
      <c r="G331" s="37"/>
      <c r="H331" s="70"/>
      <c r="I331" s="70"/>
      <c r="J331" s="37"/>
      <c r="K331" s="70"/>
      <c r="L331" s="70"/>
      <c r="M331" s="70"/>
      <c r="N331" s="70"/>
      <c r="O331" s="70"/>
    </row>
    <row r="332" spans="1:15" x14ac:dyDescent="0.25">
      <c r="A332" s="37"/>
      <c r="B332" s="37"/>
      <c r="C332" s="70"/>
      <c r="D332" s="37"/>
      <c r="E332" s="70"/>
      <c r="F332" s="70"/>
      <c r="G332" s="37"/>
      <c r="H332" s="70"/>
      <c r="I332" s="70"/>
      <c r="J332" s="37"/>
      <c r="K332" s="70"/>
      <c r="L332" s="70"/>
      <c r="M332" s="70"/>
      <c r="N332" s="70"/>
      <c r="O332" s="70"/>
    </row>
    <row r="333" spans="1:15" x14ac:dyDescent="0.25">
      <c r="A333" s="37"/>
      <c r="B333" s="37"/>
      <c r="C333" s="70"/>
      <c r="D333" s="37"/>
      <c r="E333" s="70"/>
      <c r="F333" s="70"/>
      <c r="G333" s="37"/>
      <c r="H333" s="70"/>
      <c r="I333" s="70"/>
      <c r="J333" s="37"/>
      <c r="K333" s="70"/>
      <c r="L333" s="70"/>
      <c r="M333" s="70"/>
      <c r="N333" s="70"/>
      <c r="O333" s="70"/>
    </row>
    <row r="334" spans="1:15" x14ac:dyDescent="0.25">
      <c r="A334" s="37"/>
      <c r="B334" s="37"/>
      <c r="C334" s="70"/>
      <c r="D334" s="37"/>
      <c r="E334" s="70"/>
      <c r="F334" s="70"/>
      <c r="G334" s="37"/>
      <c r="H334" s="70"/>
      <c r="I334" s="70"/>
      <c r="J334" s="37"/>
      <c r="K334" s="70"/>
      <c r="L334" s="70"/>
      <c r="M334" s="70"/>
      <c r="N334" s="70"/>
      <c r="O334" s="70"/>
    </row>
    <row r="335" spans="1:15" x14ac:dyDescent="0.25">
      <c r="A335" s="37"/>
      <c r="B335" s="37"/>
      <c r="C335" s="70"/>
      <c r="D335" s="37"/>
      <c r="E335" s="70"/>
      <c r="F335" s="70"/>
      <c r="G335" s="37"/>
      <c r="H335" s="70"/>
      <c r="I335" s="70"/>
      <c r="J335" s="37"/>
      <c r="K335" s="70"/>
      <c r="L335" s="70"/>
      <c r="M335" s="70"/>
      <c r="N335" s="70"/>
      <c r="O335" s="70"/>
    </row>
    <row r="336" spans="1:15" x14ac:dyDescent="0.25">
      <c r="A336" s="37"/>
      <c r="B336" s="37"/>
      <c r="C336" s="70"/>
      <c r="D336" s="37"/>
      <c r="E336" s="70"/>
      <c r="F336" s="70"/>
      <c r="G336" s="37"/>
      <c r="H336" s="70"/>
      <c r="I336" s="70"/>
      <c r="J336" s="37"/>
      <c r="K336" s="70"/>
      <c r="L336" s="70"/>
      <c r="M336" s="70"/>
      <c r="N336" s="70"/>
      <c r="O336" s="70"/>
    </row>
    <row r="337" spans="1:15" x14ac:dyDescent="0.25">
      <c r="A337" s="37"/>
      <c r="B337" s="37"/>
      <c r="C337" s="70"/>
      <c r="D337" s="37"/>
      <c r="E337" s="70"/>
      <c r="F337" s="70"/>
      <c r="G337" s="37"/>
      <c r="H337" s="70"/>
      <c r="I337" s="70"/>
      <c r="J337" s="37"/>
      <c r="K337" s="70"/>
      <c r="L337" s="70"/>
      <c r="M337" s="70"/>
      <c r="N337" s="70"/>
      <c r="O337" s="70"/>
    </row>
    <row r="338" spans="1:15" x14ac:dyDescent="0.25">
      <c r="A338" s="37"/>
      <c r="B338" s="37"/>
      <c r="C338" s="70"/>
      <c r="D338" s="37"/>
      <c r="E338" s="70"/>
      <c r="F338" s="70"/>
      <c r="G338" s="37"/>
      <c r="H338" s="70"/>
      <c r="I338" s="70"/>
      <c r="J338" s="37"/>
      <c r="K338" s="70"/>
      <c r="L338" s="70"/>
      <c r="M338" s="70"/>
      <c r="N338" s="70"/>
      <c r="O338" s="70"/>
    </row>
    <row r="339" spans="1:15" x14ac:dyDescent="0.25">
      <c r="A339" s="37"/>
      <c r="B339" s="37"/>
      <c r="C339" s="70"/>
      <c r="D339" s="37"/>
      <c r="E339" s="70"/>
      <c r="F339" s="70"/>
      <c r="G339" s="37"/>
      <c r="H339" s="70"/>
      <c r="I339" s="70"/>
      <c r="J339" s="37"/>
      <c r="K339" s="70"/>
      <c r="L339" s="70"/>
      <c r="M339" s="70"/>
      <c r="N339" s="70"/>
      <c r="O339" s="70"/>
    </row>
    <row r="340" spans="1:15" x14ac:dyDescent="0.25">
      <c r="A340" s="37"/>
      <c r="B340" s="37"/>
      <c r="C340" s="70"/>
      <c r="D340" s="37"/>
      <c r="E340" s="70"/>
      <c r="F340" s="70"/>
      <c r="G340" s="37"/>
      <c r="H340" s="70"/>
      <c r="I340" s="70"/>
      <c r="J340" s="37"/>
      <c r="K340" s="70"/>
      <c r="L340" s="70"/>
      <c r="M340" s="70"/>
      <c r="N340" s="70"/>
      <c r="O340" s="70"/>
    </row>
    <row r="341" spans="1:15" x14ac:dyDescent="0.25">
      <c r="A341" s="37"/>
      <c r="B341" s="37"/>
      <c r="C341" s="70"/>
      <c r="D341" s="37"/>
      <c r="E341" s="70"/>
      <c r="F341" s="70"/>
      <c r="G341" s="37"/>
      <c r="H341" s="70"/>
      <c r="I341" s="70"/>
      <c r="J341" s="37"/>
      <c r="K341" s="70"/>
      <c r="L341" s="70"/>
      <c r="M341" s="70"/>
      <c r="N341" s="70"/>
      <c r="O341" s="70"/>
    </row>
    <row r="342" spans="1:15" x14ac:dyDescent="0.25">
      <c r="A342" s="37"/>
      <c r="B342" s="37"/>
      <c r="C342" s="70"/>
      <c r="D342" s="37"/>
      <c r="E342" s="70"/>
      <c r="F342" s="70"/>
      <c r="G342" s="37"/>
      <c r="H342" s="70"/>
      <c r="I342" s="70"/>
      <c r="J342" s="37"/>
      <c r="K342" s="70"/>
      <c r="L342" s="70"/>
      <c r="M342" s="70"/>
      <c r="N342" s="70"/>
      <c r="O342" s="70"/>
    </row>
    <row r="343" spans="1:15" x14ac:dyDescent="0.25">
      <c r="A343" s="37"/>
      <c r="B343" s="37"/>
      <c r="C343" s="70"/>
      <c r="D343" s="37"/>
      <c r="E343" s="70"/>
      <c r="F343" s="70"/>
      <c r="G343" s="37"/>
      <c r="H343" s="70"/>
      <c r="I343" s="70"/>
      <c r="J343" s="37"/>
      <c r="K343" s="70"/>
      <c r="L343" s="70"/>
      <c r="M343" s="70"/>
      <c r="N343" s="70"/>
      <c r="O343" s="70"/>
    </row>
    <row r="344" spans="1:15" x14ac:dyDescent="0.25">
      <c r="A344" s="37"/>
      <c r="B344" s="37"/>
      <c r="C344" s="70"/>
      <c r="D344" s="37"/>
      <c r="E344" s="70"/>
      <c r="F344" s="70"/>
      <c r="G344" s="37"/>
      <c r="H344" s="70"/>
      <c r="I344" s="70"/>
      <c r="J344" s="37"/>
      <c r="K344" s="70"/>
      <c r="L344" s="70"/>
      <c r="M344" s="70"/>
      <c r="N344" s="70"/>
      <c r="O344" s="70"/>
    </row>
    <row r="345" spans="1:15" x14ac:dyDescent="0.25">
      <c r="A345" s="37"/>
      <c r="B345" s="37"/>
      <c r="C345" s="70"/>
      <c r="D345" s="37"/>
      <c r="E345" s="70"/>
      <c r="F345" s="70"/>
      <c r="G345" s="37"/>
      <c r="H345" s="70"/>
      <c r="I345" s="70"/>
      <c r="J345" s="37"/>
      <c r="K345" s="70"/>
      <c r="L345" s="70"/>
      <c r="M345" s="70"/>
      <c r="N345" s="70"/>
      <c r="O345" s="70"/>
    </row>
    <row r="346" spans="1:15" x14ac:dyDescent="0.25">
      <c r="A346" s="37"/>
      <c r="B346" s="37"/>
      <c r="C346" s="70"/>
      <c r="D346" s="37"/>
      <c r="E346" s="70"/>
      <c r="F346" s="70"/>
      <c r="G346" s="37"/>
      <c r="H346" s="70"/>
      <c r="I346" s="70"/>
      <c r="J346" s="37"/>
      <c r="K346" s="70"/>
      <c r="L346" s="70"/>
      <c r="M346" s="70"/>
      <c r="N346" s="70"/>
      <c r="O346" s="70"/>
    </row>
    <row r="347" spans="1:15" x14ac:dyDescent="0.25">
      <c r="A347" s="37"/>
      <c r="B347" s="37"/>
      <c r="C347" s="70"/>
      <c r="D347" s="37"/>
      <c r="E347" s="70"/>
      <c r="F347" s="70"/>
      <c r="G347" s="37"/>
      <c r="H347" s="70"/>
      <c r="I347" s="70"/>
      <c r="J347" s="37"/>
      <c r="K347" s="70"/>
      <c r="L347" s="70"/>
      <c r="M347" s="70"/>
      <c r="N347" s="70"/>
      <c r="O347" s="70"/>
    </row>
    <row r="348" spans="1:15" x14ac:dyDescent="0.25">
      <c r="A348" s="37"/>
      <c r="B348" s="37"/>
      <c r="C348" s="70"/>
      <c r="D348" s="37"/>
      <c r="E348" s="70"/>
      <c r="F348" s="70"/>
      <c r="G348" s="37"/>
      <c r="H348" s="70"/>
      <c r="I348" s="70"/>
      <c r="J348" s="37"/>
      <c r="K348" s="70"/>
      <c r="L348" s="70"/>
      <c r="M348" s="70"/>
      <c r="N348" s="70"/>
      <c r="O348" s="70"/>
    </row>
    <row r="349" spans="1:15" x14ac:dyDescent="0.25">
      <c r="A349" s="37"/>
      <c r="B349" s="37"/>
      <c r="C349" s="70"/>
      <c r="D349" s="37"/>
      <c r="E349" s="70"/>
      <c r="F349" s="70"/>
      <c r="G349" s="37"/>
      <c r="H349" s="70"/>
      <c r="I349" s="70"/>
      <c r="J349" s="37"/>
      <c r="K349" s="70"/>
      <c r="L349" s="70"/>
      <c r="M349" s="70"/>
      <c r="N349" s="70"/>
      <c r="O349" s="70"/>
    </row>
    <row r="350" spans="1:15" x14ac:dyDescent="0.25">
      <c r="A350" s="37"/>
      <c r="B350" s="37"/>
      <c r="C350" s="70"/>
      <c r="D350" s="37"/>
      <c r="E350" s="70"/>
      <c r="F350" s="70"/>
      <c r="G350" s="37"/>
      <c r="H350" s="70"/>
      <c r="I350" s="70"/>
      <c r="J350" s="37"/>
      <c r="K350" s="70"/>
      <c r="L350" s="70"/>
      <c r="M350" s="70"/>
      <c r="N350" s="70"/>
      <c r="O350" s="70"/>
    </row>
    <row r="351" spans="1:15" x14ac:dyDescent="0.25">
      <c r="A351" s="37"/>
      <c r="B351" s="37"/>
      <c r="C351" s="70"/>
      <c r="D351" s="37"/>
      <c r="E351" s="70"/>
      <c r="F351" s="70"/>
      <c r="G351" s="37"/>
      <c r="H351" s="70"/>
      <c r="I351" s="70"/>
      <c r="J351" s="37"/>
      <c r="K351" s="70"/>
      <c r="L351" s="70"/>
      <c r="M351" s="70"/>
      <c r="N351" s="70"/>
      <c r="O351" s="70"/>
    </row>
    <row r="352" spans="1:15" x14ac:dyDescent="0.25">
      <c r="A352" s="37"/>
      <c r="B352" s="37"/>
      <c r="C352" s="70"/>
      <c r="D352" s="37"/>
      <c r="E352" s="70"/>
      <c r="F352" s="70"/>
      <c r="G352" s="37"/>
      <c r="H352" s="70"/>
      <c r="I352" s="70"/>
      <c r="J352" s="37"/>
      <c r="K352" s="70"/>
      <c r="L352" s="70"/>
      <c r="M352" s="70"/>
      <c r="N352" s="70"/>
      <c r="O352" s="70"/>
    </row>
    <row r="353" spans="1:15" x14ac:dyDescent="0.25">
      <c r="A353" s="37"/>
      <c r="B353" s="37"/>
      <c r="C353" s="70"/>
      <c r="D353" s="37"/>
      <c r="E353" s="70"/>
      <c r="F353" s="70"/>
      <c r="G353" s="37"/>
      <c r="H353" s="70"/>
      <c r="I353" s="70"/>
      <c r="J353" s="37"/>
      <c r="K353" s="70"/>
      <c r="L353" s="70"/>
      <c r="M353" s="70"/>
      <c r="N353" s="70"/>
      <c r="O353" s="70"/>
    </row>
    <row r="354" spans="1:15" x14ac:dyDescent="0.25">
      <c r="A354" s="37"/>
      <c r="B354" s="37"/>
      <c r="C354" s="70"/>
      <c r="D354" s="37"/>
      <c r="E354" s="70"/>
      <c r="F354" s="70"/>
      <c r="G354" s="37"/>
      <c r="H354" s="70"/>
      <c r="I354" s="70"/>
      <c r="J354" s="37"/>
      <c r="K354" s="70"/>
      <c r="L354" s="70"/>
      <c r="M354" s="70"/>
      <c r="N354" s="70"/>
      <c r="O354" s="70"/>
    </row>
    <row r="355" spans="1:15" x14ac:dyDescent="0.25">
      <c r="A355" s="37"/>
      <c r="B355" s="37"/>
      <c r="C355" s="70"/>
      <c r="D355" s="37"/>
      <c r="E355" s="70"/>
      <c r="F355" s="70"/>
      <c r="G355" s="37"/>
      <c r="H355" s="70"/>
      <c r="I355" s="70"/>
      <c r="J355" s="37"/>
      <c r="K355" s="70"/>
      <c r="L355" s="70"/>
      <c r="M355" s="70"/>
      <c r="N355" s="70"/>
      <c r="O355" s="70"/>
    </row>
    <row r="356" spans="1:15" x14ac:dyDescent="0.25">
      <c r="A356" s="37"/>
      <c r="B356" s="37"/>
      <c r="C356" s="70"/>
      <c r="D356" s="37"/>
      <c r="E356" s="70"/>
      <c r="F356" s="70"/>
      <c r="G356" s="37"/>
      <c r="H356" s="70"/>
      <c r="I356" s="70"/>
      <c r="J356" s="37"/>
      <c r="K356" s="70"/>
      <c r="L356" s="70"/>
      <c r="M356" s="70"/>
      <c r="N356" s="70"/>
      <c r="O356" s="70"/>
    </row>
    <row r="357" spans="1:15" x14ac:dyDescent="0.25">
      <c r="A357" s="37"/>
      <c r="B357" s="37"/>
      <c r="C357" s="70"/>
      <c r="D357" s="37"/>
      <c r="E357" s="70"/>
      <c r="F357" s="70"/>
      <c r="G357" s="37"/>
      <c r="H357" s="70"/>
      <c r="I357" s="70"/>
      <c r="J357" s="37"/>
      <c r="K357" s="70"/>
      <c r="L357" s="70"/>
      <c r="M357" s="70"/>
      <c r="N357" s="70"/>
      <c r="O357" s="70"/>
    </row>
    <row r="358" spans="1:15" x14ac:dyDescent="0.25">
      <c r="A358" s="37"/>
      <c r="B358" s="37"/>
      <c r="C358" s="70"/>
      <c r="D358" s="37"/>
      <c r="E358" s="70"/>
      <c r="F358" s="70"/>
      <c r="G358" s="37"/>
      <c r="H358" s="70"/>
      <c r="I358" s="70"/>
      <c r="J358" s="37"/>
      <c r="K358" s="70"/>
      <c r="L358" s="70"/>
      <c r="M358" s="70"/>
      <c r="N358" s="70"/>
      <c r="O358" s="70"/>
    </row>
    <row r="359" spans="1:15" x14ac:dyDescent="0.25">
      <c r="A359" s="37"/>
      <c r="B359" s="37"/>
      <c r="C359" s="70"/>
      <c r="D359" s="37"/>
      <c r="E359" s="70"/>
      <c r="F359" s="70"/>
      <c r="G359" s="37"/>
      <c r="H359" s="70"/>
      <c r="I359" s="70"/>
      <c r="J359" s="37"/>
      <c r="K359" s="70"/>
      <c r="L359" s="70"/>
      <c r="M359" s="70"/>
      <c r="N359" s="70"/>
      <c r="O359" s="70"/>
    </row>
    <row r="360" spans="1:15" x14ac:dyDescent="0.25">
      <c r="A360" s="37"/>
      <c r="B360" s="37"/>
      <c r="C360" s="70"/>
      <c r="D360" s="37"/>
      <c r="E360" s="70"/>
      <c r="F360" s="70"/>
      <c r="G360" s="37"/>
      <c r="H360" s="70"/>
      <c r="I360" s="70"/>
      <c r="J360" s="37"/>
      <c r="K360" s="70"/>
      <c r="L360" s="70"/>
      <c r="M360" s="70"/>
      <c r="N360" s="70"/>
      <c r="O360" s="70"/>
    </row>
    <row r="361" spans="1:15" x14ac:dyDescent="0.25">
      <c r="A361" s="37"/>
      <c r="B361" s="37"/>
      <c r="C361" s="70"/>
      <c r="D361" s="37"/>
      <c r="E361" s="70"/>
      <c r="F361" s="70"/>
      <c r="G361" s="37"/>
      <c r="H361" s="70"/>
      <c r="I361" s="70"/>
      <c r="J361" s="37"/>
      <c r="K361" s="70"/>
      <c r="L361" s="70"/>
      <c r="M361" s="70"/>
      <c r="N361" s="70"/>
      <c r="O361" s="70"/>
    </row>
    <row r="362" spans="1:15" x14ac:dyDescent="0.25">
      <c r="A362" s="37"/>
      <c r="B362" s="37"/>
      <c r="C362" s="70"/>
      <c r="D362" s="37"/>
      <c r="E362" s="70"/>
      <c r="F362" s="70"/>
      <c r="G362" s="37"/>
      <c r="H362" s="70"/>
      <c r="I362" s="70"/>
      <c r="J362" s="37"/>
      <c r="K362" s="70"/>
      <c r="L362" s="70"/>
      <c r="M362" s="70"/>
      <c r="N362" s="70"/>
      <c r="O362" s="70"/>
    </row>
    <row r="363" spans="1:15" x14ac:dyDescent="0.25">
      <c r="A363" s="37"/>
      <c r="B363" s="37"/>
      <c r="C363" s="70"/>
      <c r="D363" s="37"/>
      <c r="E363" s="70"/>
      <c r="F363" s="70"/>
      <c r="G363" s="37"/>
      <c r="H363" s="70"/>
      <c r="I363" s="70"/>
      <c r="J363" s="37"/>
      <c r="K363" s="70"/>
      <c r="L363" s="70"/>
      <c r="M363" s="70"/>
      <c r="N363" s="70"/>
      <c r="O363" s="70"/>
    </row>
    <row r="364" spans="1:15" x14ac:dyDescent="0.25">
      <c r="A364" s="37"/>
      <c r="B364" s="37"/>
      <c r="C364" s="70"/>
      <c r="D364" s="37"/>
      <c r="E364" s="70"/>
      <c r="F364" s="70"/>
      <c r="G364" s="37"/>
      <c r="H364" s="70"/>
      <c r="I364" s="70"/>
      <c r="J364" s="37"/>
      <c r="K364" s="70"/>
      <c r="L364" s="70"/>
      <c r="M364" s="70"/>
      <c r="N364" s="70"/>
      <c r="O364" s="70"/>
    </row>
    <row r="365" spans="1:15" x14ac:dyDescent="0.25">
      <c r="A365" s="37"/>
      <c r="B365" s="37"/>
      <c r="C365" s="70"/>
      <c r="D365" s="37"/>
      <c r="E365" s="70"/>
      <c r="F365" s="70"/>
      <c r="G365" s="37"/>
      <c r="H365" s="70"/>
      <c r="I365" s="70"/>
      <c r="J365" s="37"/>
      <c r="K365" s="70"/>
      <c r="L365" s="70"/>
      <c r="M365" s="70"/>
      <c r="N365" s="70"/>
      <c r="O365" s="70"/>
    </row>
    <row r="366" spans="1:15" x14ac:dyDescent="0.25">
      <c r="A366" s="37"/>
      <c r="B366" s="37"/>
      <c r="C366" s="70"/>
      <c r="D366" s="37"/>
      <c r="E366" s="70"/>
      <c r="F366" s="70"/>
      <c r="G366" s="37"/>
      <c r="H366" s="70"/>
      <c r="I366" s="70"/>
      <c r="J366" s="37"/>
      <c r="K366" s="70"/>
      <c r="L366" s="70"/>
      <c r="M366" s="70"/>
      <c r="N366" s="70"/>
      <c r="O366" s="70"/>
    </row>
    <row r="367" spans="1:15" x14ac:dyDescent="0.25">
      <c r="A367" s="37"/>
      <c r="B367" s="37"/>
      <c r="C367" s="70"/>
      <c r="D367" s="37"/>
      <c r="E367" s="70"/>
      <c r="F367" s="70"/>
      <c r="G367" s="37"/>
      <c r="H367" s="70"/>
      <c r="I367" s="70"/>
      <c r="J367" s="37"/>
      <c r="K367" s="70"/>
      <c r="L367" s="70"/>
      <c r="M367" s="70"/>
      <c r="N367" s="70"/>
      <c r="O367" s="70"/>
    </row>
    <row r="368" spans="1:15" x14ac:dyDescent="0.25">
      <c r="A368" s="37"/>
      <c r="B368" s="37"/>
      <c r="C368" s="70"/>
      <c r="D368" s="37"/>
      <c r="E368" s="70"/>
      <c r="F368" s="70"/>
      <c r="G368" s="37"/>
      <c r="H368" s="70"/>
      <c r="I368" s="70"/>
      <c r="J368" s="37"/>
      <c r="K368" s="70"/>
      <c r="L368" s="70"/>
      <c r="M368" s="70"/>
      <c r="N368" s="70"/>
      <c r="O368" s="70"/>
    </row>
    <row r="369" spans="1:15" x14ac:dyDescent="0.25">
      <c r="A369" s="37"/>
      <c r="B369" s="37"/>
      <c r="C369" s="70"/>
      <c r="D369" s="37"/>
      <c r="E369" s="70"/>
      <c r="F369" s="70"/>
      <c r="G369" s="37"/>
      <c r="H369" s="70"/>
      <c r="I369" s="70"/>
      <c r="J369" s="37"/>
      <c r="K369" s="70"/>
      <c r="L369" s="70"/>
      <c r="M369" s="70"/>
      <c r="N369" s="70"/>
      <c r="O369" s="70"/>
    </row>
    <row r="370" spans="1:15" x14ac:dyDescent="0.25">
      <c r="A370" s="37"/>
      <c r="B370" s="37"/>
      <c r="C370" s="70"/>
      <c r="D370" s="37"/>
      <c r="E370" s="70"/>
      <c r="F370" s="70"/>
      <c r="G370" s="37"/>
      <c r="H370" s="70"/>
      <c r="I370" s="70"/>
      <c r="J370" s="37"/>
      <c r="K370" s="70"/>
      <c r="L370" s="70"/>
      <c r="M370" s="70"/>
      <c r="N370" s="70"/>
      <c r="O370" s="70"/>
    </row>
    <row r="371" spans="1:15" x14ac:dyDescent="0.25">
      <c r="A371" s="37"/>
      <c r="B371" s="37"/>
      <c r="C371" s="70"/>
      <c r="D371" s="37"/>
      <c r="E371" s="70"/>
      <c r="F371" s="70"/>
      <c r="G371" s="37"/>
      <c r="H371" s="70"/>
      <c r="I371" s="70"/>
      <c r="J371" s="37"/>
      <c r="K371" s="70"/>
      <c r="L371" s="70"/>
      <c r="M371" s="70"/>
      <c r="N371" s="70"/>
      <c r="O371" s="70"/>
    </row>
    <row r="372" spans="1:15" x14ac:dyDescent="0.25">
      <c r="A372" s="37"/>
      <c r="B372" s="37"/>
      <c r="C372" s="70"/>
      <c r="D372" s="37"/>
      <c r="E372" s="70"/>
      <c r="F372" s="70"/>
      <c r="G372" s="37"/>
      <c r="H372" s="70"/>
      <c r="I372" s="70"/>
      <c r="J372" s="37"/>
      <c r="K372" s="70"/>
      <c r="L372" s="70"/>
      <c r="M372" s="70"/>
      <c r="N372" s="70"/>
      <c r="O372" s="70"/>
    </row>
    <row r="373" spans="1:15" x14ac:dyDescent="0.25">
      <c r="A373" s="37"/>
      <c r="B373" s="37"/>
      <c r="C373" s="70"/>
      <c r="D373" s="37"/>
      <c r="E373" s="70"/>
      <c r="F373" s="70"/>
      <c r="G373" s="37"/>
      <c r="H373" s="70"/>
      <c r="I373" s="70"/>
      <c r="J373" s="37"/>
      <c r="K373" s="70"/>
      <c r="L373" s="70"/>
      <c r="M373" s="70"/>
      <c r="N373" s="70"/>
      <c r="O373" s="70"/>
    </row>
    <row r="374" spans="1:15" x14ac:dyDescent="0.25">
      <c r="A374" s="37"/>
      <c r="B374" s="37"/>
      <c r="C374" s="70"/>
      <c r="D374" s="37"/>
      <c r="E374" s="70"/>
      <c r="F374" s="70"/>
      <c r="G374" s="37"/>
      <c r="H374" s="70"/>
      <c r="I374" s="70"/>
      <c r="J374" s="37"/>
      <c r="K374" s="70"/>
      <c r="L374" s="70"/>
      <c r="M374" s="70"/>
      <c r="N374" s="70"/>
      <c r="O374" s="70"/>
    </row>
    <row r="375" spans="1:15" x14ac:dyDescent="0.25">
      <c r="A375" s="37"/>
      <c r="B375" s="37"/>
      <c r="C375" s="70"/>
      <c r="D375" s="37"/>
      <c r="E375" s="70"/>
      <c r="F375" s="70"/>
      <c r="G375" s="37"/>
      <c r="H375" s="70"/>
      <c r="I375" s="70"/>
      <c r="J375" s="37"/>
      <c r="K375" s="70"/>
      <c r="L375" s="70"/>
      <c r="M375" s="70"/>
      <c r="N375" s="70"/>
      <c r="O375" s="70"/>
    </row>
    <row r="376" spans="1:15" x14ac:dyDescent="0.25">
      <c r="A376" s="37"/>
      <c r="B376" s="37"/>
      <c r="C376" s="70"/>
      <c r="D376" s="37"/>
      <c r="E376" s="70"/>
      <c r="F376" s="70"/>
      <c r="G376" s="37"/>
      <c r="H376" s="70"/>
      <c r="I376" s="70"/>
      <c r="J376" s="37"/>
      <c r="K376" s="70"/>
      <c r="L376" s="70"/>
      <c r="M376" s="70"/>
      <c r="N376" s="70"/>
      <c r="O376" s="70"/>
    </row>
    <row r="377" spans="1:15" x14ac:dyDescent="0.25">
      <c r="A377" s="37"/>
      <c r="B377" s="37"/>
      <c r="C377" s="70"/>
      <c r="D377" s="37"/>
      <c r="E377" s="70"/>
      <c r="F377" s="70"/>
      <c r="G377" s="37"/>
      <c r="H377" s="70"/>
      <c r="I377" s="70"/>
      <c r="J377" s="37"/>
      <c r="K377" s="70"/>
      <c r="L377" s="70"/>
      <c r="M377" s="70"/>
      <c r="N377" s="70"/>
      <c r="O377" s="70"/>
    </row>
    <row r="378" spans="1:15" x14ac:dyDescent="0.25">
      <c r="A378" s="37"/>
      <c r="B378" s="37"/>
      <c r="C378" s="70"/>
      <c r="D378" s="37"/>
      <c r="E378" s="70"/>
      <c r="F378" s="70"/>
      <c r="G378" s="37"/>
      <c r="H378" s="70"/>
      <c r="I378" s="70"/>
      <c r="J378" s="37"/>
      <c r="K378" s="70"/>
      <c r="L378" s="70"/>
      <c r="M378" s="70"/>
      <c r="N378" s="70"/>
      <c r="O378" s="70"/>
    </row>
    <row r="379" spans="1:15" x14ac:dyDescent="0.25">
      <c r="A379" s="37"/>
      <c r="B379" s="37"/>
      <c r="C379" s="70"/>
      <c r="D379" s="37"/>
      <c r="E379" s="70"/>
      <c r="F379" s="70"/>
      <c r="G379" s="37"/>
      <c r="H379" s="70"/>
      <c r="I379" s="70"/>
      <c r="J379" s="37"/>
      <c r="K379" s="70"/>
      <c r="L379" s="70"/>
      <c r="M379" s="70"/>
      <c r="N379" s="70"/>
      <c r="O379" s="70"/>
    </row>
    <row r="380" spans="1:15" x14ac:dyDescent="0.25">
      <c r="A380" s="37"/>
      <c r="B380" s="37"/>
      <c r="C380" s="70"/>
      <c r="D380" s="37"/>
      <c r="E380" s="70"/>
      <c r="F380" s="70"/>
      <c r="G380" s="37"/>
      <c r="H380" s="70"/>
      <c r="I380" s="70"/>
      <c r="J380" s="37"/>
      <c r="K380" s="70"/>
      <c r="L380" s="70"/>
      <c r="M380" s="70"/>
      <c r="N380" s="70"/>
      <c r="O380" s="70"/>
    </row>
    <row r="381" spans="1:15" x14ac:dyDescent="0.25">
      <c r="A381" s="37"/>
      <c r="B381" s="37"/>
      <c r="C381" s="70"/>
      <c r="D381" s="37"/>
      <c r="E381" s="70"/>
      <c r="F381" s="70"/>
      <c r="G381" s="37"/>
      <c r="H381" s="70"/>
      <c r="I381" s="70"/>
      <c r="J381" s="37"/>
      <c r="K381" s="70"/>
      <c r="L381" s="70"/>
      <c r="M381" s="70"/>
      <c r="N381" s="70"/>
      <c r="O381" s="70"/>
    </row>
    <row r="382" spans="1:15" x14ac:dyDescent="0.25">
      <c r="A382" s="37"/>
      <c r="B382" s="37"/>
      <c r="C382" s="70"/>
      <c r="D382" s="37"/>
      <c r="E382" s="70"/>
      <c r="F382" s="70"/>
      <c r="G382" s="37"/>
      <c r="H382" s="70"/>
      <c r="I382" s="70"/>
      <c r="J382" s="37"/>
      <c r="K382" s="70"/>
      <c r="L382" s="70"/>
      <c r="M382" s="70"/>
      <c r="N382" s="70"/>
      <c r="O382" s="70"/>
    </row>
    <row r="383" spans="1:15" x14ac:dyDescent="0.25">
      <c r="A383" s="37"/>
      <c r="B383" s="37"/>
      <c r="C383" s="70"/>
      <c r="D383" s="37"/>
      <c r="E383" s="70"/>
      <c r="F383" s="70"/>
      <c r="G383" s="37"/>
      <c r="H383" s="70"/>
      <c r="I383" s="70"/>
      <c r="J383" s="37"/>
      <c r="K383" s="70"/>
      <c r="L383" s="70"/>
      <c r="M383" s="70"/>
      <c r="N383" s="70"/>
      <c r="O383" s="70"/>
    </row>
    <row r="384" spans="1:15" x14ac:dyDescent="0.25">
      <c r="A384" s="37"/>
      <c r="B384" s="37"/>
      <c r="C384" s="70"/>
      <c r="D384" s="37"/>
      <c r="E384" s="70"/>
      <c r="F384" s="70"/>
      <c r="G384" s="37"/>
      <c r="H384" s="70"/>
      <c r="I384" s="70"/>
      <c r="J384" s="37"/>
      <c r="K384" s="70"/>
      <c r="L384" s="70"/>
      <c r="M384" s="70"/>
      <c r="N384" s="70"/>
      <c r="O384" s="70"/>
    </row>
    <row r="385" spans="1:15" x14ac:dyDescent="0.25">
      <c r="A385" s="37"/>
      <c r="B385" s="37"/>
      <c r="C385" s="70"/>
      <c r="D385" s="37"/>
      <c r="E385" s="70"/>
      <c r="F385" s="70"/>
      <c r="G385" s="37"/>
      <c r="H385" s="70"/>
      <c r="I385" s="70"/>
      <c r="J385" s="37"/>
      <c r="K385" s="70"/>
      <c r="L385" s="70"/>
      <c r="M385" s="70"/>
      <c r="N385" s="70"/>
      <c r="O385" s="70"/>
    </row>
    <row r="386" spans="1:15" x14ac:dyDescent="0.25">
      <c r="A386" s="37"/>
      <c r="B386" s="37"/>
      <c r="C386" s="70"/>
      <c r="D386" s="37"/>
      <c r="E386" s="70"/>
      <c r="F386" s="70"/>
      <c r="G386" s="37"/>
      <c r="H386" s="70"/>
      <c r="I386" s="70"/>
      <c r="J386" s="37"/>
      <c r="K386" s="70"/>
      <c r="L386" s="70"/>
      <c r="M386" s="70"/>
      <c r="N386" s="70"/>
      <c r="O386" s="70"/>
    </row>
    <row r="387" spans="1:15" x14ac:dyDescent="0.25">
      <c r="A387" s="37"/>
      <c r="B387" s="37"/>
      <c r="C387" s="70"/>
      <c r="D387" s="37"/>
      <c r="E387" s="70"/>
      <c r="F387" s="70"/>
      <c r="G387" s="37"/>
      <c r="H387" s="70"/>
      <c r="I387" s="70"/>
      <c r="J387" s="37"/>
      <c r="K387" s="70"/>
      <c r="L387" s="70"/>
      <c r="M387" s="70"/>
      <c r="N387" s="70"/>
      <c r="O387" s="70"/>
    </row>
    <row r="388" spans="1:15" x14ac:dyDescent="0.25">
      <c r="A388" s="37"/>
      <c r="B388" s="37"/>
      <c r="C388" s="70"/>
      <c r="D388" s="37"/>
      <c r="E388" s="70"/>
      <c r="F388" s="70"/>
      <c r="G388" s="37"/>
      <c r="H388" s="70"/>
      <c r="I388" s="70"/>
      <c r="J388" s="37"/>
      <c r="K388" s="70"/>
      <c r="L388" s="70"/>
      <c r="M388" s="70"/>
      <c r="N388" s="70"/>
      <c r="O388" s="70"/>
    </row>
    <row r="389" spans="1:15" x14ac:dyDescent="0.25">
      <c r="A389" s="37"/>
      <c r="B389" s="37"/>
      <c r="C389" s="70"/>
      <c r="D389" s="37"/>
      <c r="E389" s="70"/>
      <c r="F389" s="70"/>
      <c r="G389" s="37"/>
      <c r="H389" s="70"/>
      <c r="I389" s="70"/>
      <c r="J389" s="37"/>
      <c r="K389" s="70"/>
      <c r="L389" s="70"/>
      <c r="M389" s="70"/>
      <c r="N389" s="70"/>
      <c r="O389" s="70"/>
    </row>
    <row r="390" spans="1:15" x14ac:dyDescent="0.25">
      <c r="A390" s="37"/>
      <c r="B390" s="37"/>
      <c r="C390" s="70"/>
      <c r="D390" s="37"/>
      <c r="E390" s="70"/>
      <c r="F390" s="70"/>
      <c r="G390" s="37"/>
      <c r="H390" s="70"/>
      <c r="I390" s="70"/>
      <c r="J390" s="37"/>
      <c r="K390" s="70"/>
      <c r="L390" s="70"/>
      <c r="M390" s="70"/>
      <c r="N390" s="70"/>
      <c r="O390" s="70"/>
    </row>
    <row r="391" spans="1:15" x14ac:dyDescent="0.25">
      <c r="A391" s="37"/>
      <c r="B391" s="37"/>
      <c r="C391" s="70"/>
      <c r="D391" s="37"/>
      <c r="E391" s="70"/>
      <c r="F391" s="70"/>
      <c r="G391" s="37"/>
      <c r="H391" s="70"/>
      <c r="I391" s="70"/>
      <c r="J391" s="37"/>
      <c r="K391" s="70"/>
      <c r="L391" s="70"/>
      <c r="M391" s="70"/>
      <c r="N391" s="70"/>
      <c r="O391" s="70"/>
    </row>
    <row r="392" spans="1:15" x14ac:dyDescent="0.25">
      <c r="A392" s="37"/>
      <c r="B392" s="37"/>
      <c r="C392" s="70"/>
      <c r="D392" s="37"/>
      <c r="E392" s="70"/>
      <c r="F392" s="70"/>
      <c r="G392" s="37"/>
      <c r="H392" s="70"/>
      <c r="I392" s="70"/>
      <c r="J392" s="37"/>
      <c r="K392" s="70"/>
      <c r="L392" s="70"/>
      <c r="M392" s="70"/>
      <c r="N392" s="70"/>
      <c r="O392" s="70"/>
    </row>
    <row r="393" spans="1:15" x14ac:dyDescent="0.25">
      <c r="A393" s="37"/>
      <c r="B393" s="37"/>
      <c r="C393" s="70"/>
      <c r="D393" s="37"/>
      <c r="E393" s="70"/>
      <c r="F393" s="70"/>
      <c r="G393" s="37"/>
      <c r="H393" s="70"/>
      <c r="I393" s="70"/>
      <c r="J393" s="37"/>
      <c r="K393" s="70"/>
      <c r="L393" s="70"/>
      <c r="M393" s="70"/>
      <c r="N393" s="70"/>
      <c r="O393" s="70"/>
    </row>
    <row r="394" spans="1:15" x14ac:dyDescent="0.25">
      <c r="A394" s="37"/>
      <c r="B394" s="37"/>
      <c r="C394" s="70"/>
      <c r="D394" s="37"/>
      <c r="E394" s="70"/>
      <c r="F394" s="70"/>
      <c r="G394" s="37"/>
      <c r="H394" s="70"/>
      <c r="I394" s="70"/>
      <c r="J394" s="37"/>
      <c r="K394" s="70"/>
      <c r="L394" s="70"/>
      <c r="M394" s="70"/>
      <c r="N394" s="70"/>
      <c r="O394" s="70"/>
    </row>
    <row r="395" spans="1:15" x14ac:dyDescent="0.25">
      <c r="A395" s="37"/>
      <c r="B395" s="37"/>
      <c r="C395" s="70"/>
      <c r="D395" s="37"/>
      <c r="E395" s="70"/>
      <c r="F395" s="70"/>
      <c r="G395" s="37"/>
      <c r="H395" s="70"/>
      <c r="I395" s="70"/>
      <c r="J395" s="37"/>
      <c r="K395" s="70"/>
      <c r="L395" s="70"/>
      <c r="M395" s="70"/>
      <c r="N395" s="70"/>
      <c r="O395" s="70"/>
    </row>
    <row r="396" spans="1:15" x14ac:dyDescent="0.25">
      <c r="A396" s="37"/>
      <c r="B396" s="37"/>
      <c r="C396" s="70"/>
      <c r="D396" s="37"/>
      <c r="E396" s="70"/>
      <c r="F396" s="70"/>
      <c r="G396" s="37"/>
      <c r="H396" s="70"/>
      <c r="I396" s="70"/>
      <c r="J396" s="37"/>
      <c r="K396" s="70"/>
      <c r="L396" s="70"/>
      <c r="M396" s="70"/>
      <c r="N396" s="70"/>
      <c r="O396" s="70"/>
    </row>
    <row r="397" spans="1:15" x14ac:dyDescent="0.25">
      <c r="A397" s="37"/>
      <c r="B397" s="37"/>
      <c r="C397" s="70"/>
      <c r="D397" s="37"/>
      <c r="E397" s="70"/>
      <c r="F397" s="70"/>
      <c r="G397" s="37"/>
      <c r="H397" s="70"/>
      <c r="I397" s="70"/>
      <c r="J397" s="37"/>
      <c r="K397" s="70"/>
      <c r="L397" s="70"/>
      <c r="M397" s="70"/>
      <c r="N397" s="70"/>
      <c r="O397" s="70"/>
    </row>
    <row r="398" spans="1:15" x14ac:dyDescent="0.25">
      <c r="A398" s="37"/>
      <c r="B398" s="37"/>
      <c r="C398" s="70"/>
      <c r="D398" s="37"/>
      <c r="E398" s="70"/>
      <c r="F398" s="70"/>
      <c r="G398" s="37"/>
      <c r="H398" s="70"/>
      <c r="I398" s="70"/>
      <c r="J398" s="37"/>
      <c r="K398" s="70"/>
      <c r="L398" s="70"/>
      <c r="M398" s="70"/>
      <c r="N398" s="70"/>
      <c r="O398" s="70"/>
    </row>
    <row r="399" spans="1:15" x14ac:dyDescent="0.25">
      <c r="A399" s="37"/>
      <c r="B399" s="37"/>
      <c r="C399" s="70"/>
      <c r="D399" s="37"/>
      <c r="E399" s="70"/>
      <c r="F399" s="70"/>
      <c r="G399" s="37"/>
      <c r="H399" s="70"/>
      <c r="I399" s="70"/>
      <c r="J399" s="37"/>
      <c r="K399" s="70"/>
      <c r="L399" s="70"/>
      <c r="M399" s="70"/>
      <c r="N399" s="70"/>
      <c r="O399" s="70"/>
    </row>
    <row r="400" spans="1:15" x14ac:dyDescent="0.25">
      <c r="A400" s="37"/>
      <c r="B400" s="37"/>
      <c r="C400" s="70"/>
      <c r="D400" s="37"/>
      <c r="E400" s="70"/>
      <c r="F400" s="70"/>
      <c r="G400" s="37"/>
      <c r="H400" s="70"/>
      <c r="I400" s="70"/>
      <c r="J400" s="37"/>
      <c r="K400" s="70"/>
      <c r="L400" s="70"/>
      <c r="M400" s="70"/>
      <c r="N400" s="70"/>
      <c r="O400" s="70"/>
    </row>
    <row r="401" spans="1:15" x14ac:dyDescent="0.25">
      <c r="A401" s="37"/>
      <c r="B401" s="37"/>
      <c r="C401" s="70"/>
      <c r="D401" s="37"/>
      <c r="E401" s="70"/>
      <c r="F401" s="70"/>
      <c r="G401" s="37"/>
      <c r="H401" s="70"/>
      <c r="I401" s="70"/>
      <c r="J401" s="37"/>
      <c r="K401" s="70"/>
      <c r="L401" s="70"/>
      <c r="M401" s="70"/>
      <c r="N401" s="70"/>
      <c r="O401" s="70"/>
    </row>
    <row r="402" spans="1:15" x14ac:dyDescent="0.25">
      <c r="A402" s="37"/>
      <c r="B402" s="37"/>
      <c r="C402" s="70"/>
      <c r="D402" s="37"/>
      <c r="E402" s="70"/>
      <c r="F402" s="70"/>
      <c r="G402" s="37"/>
      <c r="H402" s="70"/>
      <c r="I402" s="70"/>
      <c r="J402" s="37"/>
      <c r="K402" s="70"/>
      <c r="L402" s="70"/>
      <c r="M402" s="70"/>
      <c r="N402" s="70"/>
      <c r="O402" s="70"/>
    </row>
    <row r="403" spans="1:15" x14ac:dyDescent="0.25">
      <c r="A403" s="37"/>
      <c r="B403" s="37"/>
      <c r="C403" s="70"/>
      <c r="D403" s="37"/>
      <c r="E403" s="70"/>
      <c r="F403" s="70"/>
      <c r="G403" s="37"/>
      <c r="H403" s="70"/>
      <c r="I403" s="70"/>
      <c r="J403" s="37"/>
      <c r="K403" s="70"/>
      <c r="L403" s="70"/>
      <c r="M403" s="70"/>
      <c r="N403" s="70"/>
      <c r="O403" s="70"/>
    </row>
    <row r="404" spans="1:15" x14ac:dyDescent="0.25">
      <c r="A404" s="37"/>
      <c r="B404" s="37"/>
      <c r="C404" s="70"/>
      <c r="D404" s="37"/>
      <c r="E404" s="70"/>
      <c r="F404" s="70"/>
      <c r="G404" s="37"/>
      <c r="H404" s="70"/>
      <c r="I404" s="70"/>
      <c r="J404" s="37"/>
      <c r="K404" s="70"/>
      <c r="L404" s="70"/>
      <c r="M404" s="70"/>
      <c r="N404" s="70"/>
      <c r="O404" s="70"/>
    </row>
    <row r="405" spans="1:15" x14ac:dyDescent="0.25">
      <c r="A405" s="37"/>
      <c r="B405" s="37"/>
      <c r="C405" s="70"/>
      <c r="D405" s="37"/>
      <c r="E405" s="70"/>
      <c r="F405" s="70"/>
      <c r="G405" s="37"/>
      <c r="H405" s="70"/>
      <c r="I405" s="70"/>
      <c r="J405" s="37"/>
      <c r="K405" s="70"/>
      <c r="L405" s="70"/>
      <c r="M405" s="70"/>
      <c r="N405" s="70"/>
      <c r="O405" s="70"/>
    </row>
    <row r="406" spans="1:15" x14ac:dyDescent="0.25">
      <c r="A406" s="37"/>
      <c r="B406" s="37"/>
      <c r="C406" s="70"/>
      <c r="D406" s="37"/>
      <c r="E406" s="70"/>
      <c r="F406" s="70"/>
      <c r="G406" s="37"/>
      <c r="H406" s="70"/>
      <c r="I406" s="70"/>
      <c r="J406" s="37"/>
      <c r="K406" s="70"/>
      <c r="L406" s="70"/>
      <c r="M406" s="70"/>
      <c r="N406" s="70"/>
      <c r="O406" s="70"/>
    </row>
    <row r="407" spans="1:15" x14ac:dyDescent="0.25">
      <c r="A407" s="37"/>
      <c r="B407" s="37"/>
      <c r="C407" s="70"/>
      <c r="D407" s="37"/>
      <c r="E407" s="70"/>
      <c r="F407" s="70"/>
      <c r="G407" s="37"/>
      <c r="H407" s="70"/>
      <c r="I407" s="70"/>
      <c r="J407" s="37"/>
      <c r="K407" s="70"/>
      <c r="L407" s="70"/>
      <c r="M407" s="70"/>
      <c r="N407" s="70"/>
      <c r="O407" s="70"/>
    </row>
    <row r="408" spans="1:15" x14ac:dyDescent="0.25">
      <c r="A408" s="37"/>
      <c r="B408" s="37"/>
      <c r="C408" s="70"/>
      <c r="D408" s="37"/>
      <c r="E408" s="70"/>
      <c r="F408" s="70"/>
      <c r="G408" s="37"/>
      <c r="H408" s="70"/>
      <c r="I408" s="70"/>
      <c r="J408" s="37"/>
      <c r="K408" s="70"/>
      <c r="L408" s="70"/>
      <c r="M408" s="70"/>
      <c r="N408" s="70"/>
      <c r="O408" s="70"/>
    </row>
    <row r="409" spans="1:15" x14ac:dyDescent="0.25">
      <c r="A409" s="37"/>
      <c r="B409" s="37"/>
      <c r="C409" s="70"/>
      <c r="D409" s="37"/>
      <c r="E409" s="70"/>
      <c r="F409" s="70"/>
      <c r="G409" s="37"/>
      <c r="H409" s="70"/>
      <c r="I409" s="70"/>
      <c r="J409" s="37"/>
      <c r="K409" s="70"/>
      <c r="L409" s="70"/>
      <c r="M409" s="70"/>
      <c r="N409" s="70"/>
      <c r="O409" s="70"/>
    </row>
    <row r="410" spans="1:15" x14ac:dyDescent="0.25">
      <c r="A410" s="37"/>
      <c r="B410" s="37"/>
      <c r="C410" s="70"/>
      <c r="D410" s="37"/>
      <c r="E410" s="70"/>
      <c r="F410" s="70"/>
      <c r="G410" s="37"/>
      <c r="H410" s="70"/>
      <c r="I410" s="70"/>
      <c r="J410" s="37"/>
      <c r="K410" s="70"/>
      <c r="L410" s="70"/>
      <c r="M410" s="70"/>
      <c r="N410" s="70"/>
      <c r="O410" s="70"/>
    </row>
    <row r="411" spans="1:15" x14ac:dyDescent="0.25">
      <c r="A411" s="37"/>
      <c r="B411" s="37"/>
      <c r="C411" s="70"/>
      <c r="D411" s="37"/>
      <c r="E411" s="70"/>
      <c r="F411" s="70"/>
      <c r="G411" s="37"/>
      <c r="H411" s="70"/>
      <c r="I411" s="70"/>
      <c r="J411" s="37"/>
      <c r="K411" s="70"/>
      <c r="L411" s="70"/>
      <c r="M411" s="70"/>
      <c r="N411" s="70"/>
      <c r="O411" s="70"/>
    </row>
    <row r="412" spans="1:15" x14ac:dyDescent="0.25">
      <c r="A412" s="37"/>
      <c r="B412" s="37"/>
      <c r="C412" s="70"/>
      <c r="D412" s="37"/>
      <c r="E412" s="70"/>
      <c r="F412" s="70"/>
      <c r="G412" s="37"/>
      <c r="H412" s="70"/>
      <c r="I412" s="70"/>
      <c r="J412" s="37"/>
      <c r="K412" s="70"/>
      <c r="L412" s="70"/>
      <c r="M412" s="70"/>
      <c r="N412" s="70"/>
      <c r="O412" s="70"/>
    </row>
    <row r="413" spans="1:15" x14ac:dyDescent="0.25">
      <c r="A413" s="37"/>
      <c r="B413" s="37"/>
      <c r="C413" s="70"/>
      <c r="D413" s="37"/>
      <c r="E413" s="70"/>
      <c r="F413" s="70"/>
      <c r="G413" s="37"/>
      <c r="H413" s="70"/>
      <c r="I413" s="70"/>
      <c r="J413" s="37"/>
      <c r="K413" s="70"/>
      <c r="L413" s="70"/>
      <c r="M413" s="70"/>
      <c r="N413" s="70"/>
      <c r="O413" s="70"/>
    </row>
    <row r="414" spans="1:15" x14ac:dyDescent="0.25">
      <c r="A414" s="37"/>
      <c r="B414" s="37"/>
      <c r="C414" s="70"/>
      <c r="D414" s="37"/>
      <c r="E414" s="70"/>
      <c r="F414" s="70"/>
      <c r="G414" s="37"/>
      <c r="H414" s="70"/>
      <c r="I414" s="70"/>
      <c r="J414" s="37"/>
      <c r="K414" s="70"/>
      <c r="L414" s="70"/>
      <c r="M414" s="70"/>
      <c r="N414" s="70"/>
      <c r="O414" s="70"/>
    </row>
    <row r="415" spans="1:15" x14ac:dyDescent="0.25">
      <c r="A415" s="37"/>
      <c r="B415" s="37"/>
      <c r="C415" s="70"/>
      <c r="D415" s="37"/>
      <c r="E415" s="70"/>
      <c r="F415" s="70"/>
      <c r="G415" s="37"/>
      <c r="H415" s="70"/>
      <c r="I415" s="70"/>
      <c r="J415" s="37"/>
      <c r="K415" s="70"/>
      <c r="L415" s="70"/>
      <c r="M415" s="70"/>
      <c r="N415" s="70"/>
      <c r="O415" s="70"/>
    </row>
    <row r="416" spans="1:15" x14ac:dyDescent="0.25">
      <c r="A416" s="37"/>
      <c r="B416" s="37"/>
      <c r="C416" s="70"/>
      <c r="D416" s="37"/>
      <c r="E416" s="70"/>
      <c r="F416" s="70"/>
      <c r="G416" s="37"/>
      <c r="H416" s="70"/>
      <c r="I416" s="70"/>
      <c r="J416" s="37"/>
      <c r="K416" s="70"/>
      <c r="L416" s="70"/>
      <c r="M416" s="70"/>
      <c r="N416" s="70"/>
      <c r="O416" s="70"/>
    </row>
    <row r="417" spans="1:15" x14ac:dyDescent="0.25">
      <c r="A417" s="37"/>
      <c r="B417" s="37"/>
      <c r="C417" s="70"/>
      <c r="D417" s="37"/>
      <c r="E417" s="70"/>
      <c r="F417" s="70"/>
      <c r="G417" s="37"/>
      <c r="H417" s="70"/>
      <c r="I417" s="70"/>
      <c r="J417" s="37"/>
      <c r="K417" s="70"/>
      <c r="L417" s="70"/>
      <c r="M417" s="70"/>
      <c r="N417" s="70"/>
      <c r="O417" s="70"/>
    </row>
    <row r="418" spans="1:15" x14ac:dyDescent="0.25">
      <c r="A418" s="37"/>
      <c r="B418" s="37"/>
      <c r="C418" s="70"/>
      <c r="D418" s="37"/>
      <c r="E418" s="70"/>
      <c r="F418" s="70"/>
      <c r="G418" s="37"/>
      <c r="H418" s="70"/>
      <c r="I418" s="70"/>
      <c r="J418" s="37"/>
      <c r="K418" s="70"/>
      <c r="L418" s="70"/>
      <c r="M418" s="70"/>
      <c r="N418" s="70"/>
      <c r="O418" s="70"/>
    </row>
    <row r="419" spans="1:15" x14ac:dyDescent="0.25">
      <c r="A419" s="37"/>
      <c r="B419" s="37"/>
      <c r="C419" s="70"/>
      <c r="D419" s="37"/>
      <c r="E419" s="70"/>
      <c r="F419" s="70"/>
      <c r="G419" s="37"/>
      <c r="H419" s="70"/>
      <c r="I419" s="70"/>
      <c r="J419" s="37"/>
      <c r="K419" s="70"/>
      <c r="L419" s="70"/>
      <c r="M419" s="70"/>
      <c r="N419" s="70"/>
      <c r="O419" s="70"/>
    </row>
    <row r="420" spans="1:15" x14ac:dyDescent="0.25">
      <c r="A420" s="37"/>
      <c r="B420" s="37"/>
      <c r="C420" s="70"/>
      <c r="D420" s="37"/>
      <c r="E420" s="70"/>
      <c r="F420" s="70"/>
      <c r="G420" s="37"/>
      <c r="H420" s="70"/>
      <c r="I420" s="70"/>
      <c r="J420" s="37"/>
      <c r="K420" s="70"/>
      <c r="L420" s="70"/>
      <c r="M420" s="70"/>
      <c r="N420" s="70"/>
      <c r="O420" s="70"/>
    </row>
    <row r="421" spans="1:15" x14ac:dyDescent="0.25">
      <c r="A421" s="37"/>
      <c r="B421" s="37"/>
      <c r="C421" s="70"/>
      <c r="D421" s="37"/>
      <c r="E421" s="70"/>
      <c r="F421" s="70"/>
      <c r="G421" s="37"/>
      <c r="H421" s="70"/>
      <c r="I421" s="70"/>
      <c r="J421" s="37"/>
      <c r="K421" s="70"/>
      <c r="L421" s="70"/>
      <c r="M421" s="70"/>
      <c r="N421" s="70"/>
      <c r="O421" s="70"/>
    </row>
    <row r="422" spans="1:15" x14ac:dyDescent="0.25">
      <c r="A422" s="37"/>
      <c r="B422" s="37"/>
      <c r="C422" s="70"/>
      <c r="D422" s="37"/>
      <c r="E422" s="70"/>
      <c r="F422" s="70"/>
      <c r="G422" s="37"/>
      <c r="H422" s="70"/>
      <c r="I422" s="70"/>
      <c r="J422" s="37"/>
      <c r="K422" s="70"/>
      <c r="L422" s="70"/>
      <c r="M422" s="70"/>
      <c r="N422" s="70"/>
      <c r="O422" s="70"/>
    </row>
    <row r="423" spans="1:15" x14ac:dyDescent="0.25">
      <c r="A423" s="37"/>
      <c r="B423" s="37"/>
      <c r="C423" s="70"/>
      <c r="D423" s="37"/>
      <c r="E423" s="70"/>
      <c r="F423" s="70"/>
      <c r="G423" s="37"/>
      <c r="H423" s="70"/>
      <c r="I423" s="70"/>
      <c r="J423" s="37"/>
      <c r="K423" s="70"/>
      <c r="L423" s="70"/>
      <c r="M423" s="70"/>
      <c r="N423" s="70"/>
      <c r="O423" s="70"/>
    </row>
    <row r="424" spans="1:15" x14ac:dyDescent="0.25">
      <c r="A424" s="37"/>
      <c r="B424" s="37"/>
      <c r="C424" s="70"/>
      <c r="D424" s="37"/>
      <c r="E424" s="70"/>
      <c r="F424" s="70"/>
      <c r="G424" s="37"/>
      <c r="H424" s="70"/>
      <c r="I424" s="70"/>
      <c r="J424" s="37"/>
      <c r="K424" s="70"/>
      <c r="L424" s="70"/>
      <c r="M424" s="70"/>
      <c r="N424" s="70"/>
      <c r="O424" s="70"/>
    </row>
    <row r="425" spans="1:15" x14ac:dyDescent="0.25">
      <c r="A425" s="37"/>
      <c r="B425" s="37"/>
      <c r="C425" s="70"/>
      <c r="D425" s="37"/>
      <c r="E425" s="70"/>
      <c r="F425" s="70"/>
      <c r="G425" s="37"/>
      <c r="H425" s="70"/>
      <c r="I425" s="70"/>
      <c r="J425" s="37"/>
      <c r="K425" s="70"/>
      <c r="L425" s="70"/>
      <c r="M425" s="70"/>
      <c r="N425" s="70"/>
      <c r="O425" s="70"/>
    </row>
    <row r="426" spans="1:15" x14ac:dyDescent="0.25">
      <c r="A426" s="37"/>
      <c r="B426" s="37"/>
      <c r="C426" s="70"/>
      <c r="D426" s="37"/>
      <c r="E426" s="70"/>
      <c r="F426" s="70"/>
      <c r="G426" s="37"/>
      <c r="H426" s="70"/>
      <c r="I426" s="70"/>
      <c r="J426" s="37"/>
      <c r="K426" s="70"/>
      <c r="L426" s="70"/>
      <c r="M426" s="70"/>
      <c r="N426" s="70"/>
      <c r="O426" s="70"/>
    </row>
    <row r="427" spans="1:15" x14ac:dyDescent="0.25">
      <c r="A427" s="37"/>
      <c r="B427" s="37"/>
      <c r="C427" s="70"/>
      <c r="D427" s="37"/>
      <c r="E427" s="70"/>
      <c r="F427" s="70"/>
      <c r="G427" s="37"/>
      <c r="H427" s="70"/>
      <c r="I427" s="70"/>
      <c r="J427" s="37"/>
      <c r="K427" s="70"/>
      <c r="L427" s="70"/>
      <c r="M427" s="70"/>
      <c r="N427" s="70"/>
      <c r="O427" s="70"/>
    </row>
    <row r="428" spans="1:15" x14ac:dyDescent="0.25">
      <c r="A428" s="37"/>
      <c r="B428" s="37"/>
      <c r="C428" s="70"/>
      <c r="D428" s="37"/>
      <c r="E428" s="70"/>
      <c r="F428" s="70"/>
      <c r="G428" s="37"/>
      <c r="H428" s="70"/>
      <c r="I428" s="70"/>
      <c r="J428" s="37"/>
      <c r="K428" s="70"/>
      <c r="L428" s="70"/>
      <c r="M428" s="70"/>
      <c r="N428" s="70"/>
      <c r="O428" s="70"/>
    </row>
    <row r="429" spans="1:15" x14ac:dyDescent="0.25">
      <c r="A429" s="37"/>
      <c r="B429" s="37"/>
      <c r="C429" s="70"/>
      <c r="D429" s="37"/>
      <c r="E429" s="70"/>
      <c r="F429" s="70"/>
      <c r="G429" s="37"/>
      <c r="H429" s="70"/>
      <c r="I429" s="70"/>
      <c r="J429" s="37"/>
      <c r="K429" s="70"/>
      <c r="L429" s="70"/>
      <c r="M429" s="70"/>
      <c r="N429" s="70"/>
      <c r="O429" s="70"/>
    </row>
    <row r="430" spans="1:15" x14ac:dyDescent="0.25">
      <c r="A430" s="37"/>
      <c r="B430" s="37"/>
      <c r="C430" s="70"/>
      <c r="D430" s="37"/>
      <c r="E430" s="70"/>
      <c r="F430" s="70"/>
      <c r="G430" s="37"/>
      <c r="H430" s="70"/>
      <c r="I430" s="70"/>
      <c r="J430" s="37"/>
      <c r="K430" s="70"/>
      <c r="L430" s="70"/>
      <c r="M430" s="70"/>
      <c r="N430" s="70"/>
      <c r="O430" s="70"/>
    </row>
    <row r="431" spans="1:15" x14ac:dyDescent="0.25">
      <c r="A431" s="37"/>
      <c r="B431" s="37"/>
      <c r="C431" s="70"/>
      <c r="D431" s="37"/>
      <c r="E431" s="70"/>
      <c r="F431" s="70"/>
      <c r="G431" s="37"/>
      <c r="H431" s="70"/>
      <c r="I431" s="70"/>
      <c r="J431" s="37"/>
      <c r="K431" s="70"/>
      <c r="L431" s="70"/>
      <c r="M431" s="70"/>
      <c r="N431" s="70"/>
      <c r="O431" s="70"/>
    </row>
    <row r="432" spans="1:15" x14ac:dyDescent="0.25">
      <c r="A432" s="37"/>
      <c r="B432" s="37"/>
      <c r="C432" s="70"/>
      <c r="D432" s="37"/>
      <c r="E432" s="70"/>
      <c r="F432" s="70"/>
      <c r="G432" s="37"/>
      <c r="H432" s="70"/>
      <c r="I432" s="70"/>
      <c r="J432" s="37"/>
      <c r="K432" s="70"/>
      <c r="L432" s="70"/>
      <c r="M432" s="70"/>
      <c r="N432" s="70"/>
      <c r="O432" s="70"/>
    </row>
    <row r="433" spans="1:15" x14ac:dyDescent="0.25">
      <c r="A433" s="37"/>
      <c r="B433" s="37"/>
      <c r="C433" s="70"/>
      <c r="D433" s="37"/>
      <c r="E433" s="70"/>
      <c r="F433" s="70"/>
      <c r="G433" s="37"/>
      <c r="H433" s="70"/>
      <c r="I433" s="70"/>
      <c r="J433" s="37"/>
      <c r="K433" s="70"/>
      <c r="L433" s="70"/>
      <c r="M433" s="70"/>
      <c r="N433" s="70"/>
      <c r="O433" s="70"/>
    </row>
    <row r="434" spans="1:15" x14ac:dyDescent="0.25">
      <c r="A434" s="37"/>
      <c r="B434" s="37"/>
      <c r="C434" s="70"/>
      <c r="D434" s="37"/>
      <c r="E434" s="70"/>
      <c r="F434" s="70"/>
      <c r="G434" s="37"/>
      <c r="H434" s="70"/>
      <c r="I434" s="70"/>
      <c r="J434" s="37"/>
      <c r="K434" s="70"/>
      <c r="L434" s="70"/>
      <c r="M434" s="70"/>
      <c r="N434" s="70"/>
      <c r="O434" s="70"/>
    </row>
    <row r="435" spans="1:15" x14ac:dyDescent="0.25">
      <c r="A435" s="37"/>
      <c r="B435" s="37"/>
      <c r="C435" s="70"/>
      <c r="D435" s="37"/>
      <c r="E435" s="70"/>
      <c r="F435" s="70"/>
      <c r="G435" s="37"/>
      <c r="H435" s="70"/>
      <c r="I435" s="70"/>
      <c r="J435" s="37"/>
      <c r="K435" s="70"/>
      <c r="L435" s="70"/>
      <c r="M435" s="70"/>
      <c r="N435" s="70"/>
      <c r="O435" s="70"/>
    </row>
    <row r="436" spans="1:15" x14ac:dyDescent="0.25">
      <c r="A436" s="37"/>
      <c r="B436" s="37"/>
      <c r="C436" s="70"/>
      <c r="D436" s="37"/>
      <c r="E436" s="70"/>
      <c r="F436" s="70"/>
      <c r="G436" s="37"/>
      <c r="H436" s="70"/>
      <c r="I436" s="70"/>
      <c r="J436" s="37"/>
      <c r="K436" s="70"/>
      <c r="L436" s="70"/>
      <c r="M436" s="70"/>
      <c r="N436" s="70"/>
      <c r="O436" s="70"/>
    </row>
    <row r="437" spans="1:15" x14ac:dyDescent="0.25">
      <c r="A437" s="37"/>
      <c r="B437" s="37"/>
      <c r="C437" s="70"/>
      <c r="D437" s="37"/>
      <c r="E437" s="70"/>
      <c r="F437" s="70"/>
      <c r="G437" s="37"/>
      <c r="H437" s="70"/>
      <c r="I437" s="70"/>
      <c r="J437" s="37"/>
      <c r="K437" s="70"/>
      <c r="L437" s="70"/>
      <c r="M437" s="70"/>
      <c r="N437" s="70"/>
      <c r="O437" s="70"/>
    </row>
    <row r="438" spans="1:15" x14ac:dyDescent="0.25">
      <c r="A438" s="37"/>
      <c r="B438" s="37"/>
      <c r="C438" s="70"/>
      <c r="D438" s="37"/>
      <c r="E438" s="70"/>
      <c r="F438" s="70"/>
      <c r="G438" s="37"/>
      <c r="H438" s="70"/>
      <c r="I438" s="70"/>
      <c r="J438" s="37"/>
      <c r="K438" s="70"/>
      <c r="L438" s="70"/>
      <c r="M438" s="70"/>
      <c r="N438" s="70"/>
      <c r="O438" s="70"/>
    </row>
    <row r="439" spans="1:15" x14ac:dyDescent="0.25">
      <c r="A439" s="37"/>
      <c r="B439" s="37"/>
      <c r="C439" s="70"/>
      <c r="D439" s="37"/>
      <c r="E439" s="70"/>
      <c r="F439" s="70"/>
      <c r="G439" s="37"/>
      <c r="H439" s="70"/>
      <c r="I439" s="70"/>
      <c r="J439" s="37"/>
      <c r="K439" s="70"/>
      <c r="L439" s="70"/>
      <c r="M439" s="70"/>
      <c r="N439" s="70"/>
      <c r="O439" s="70"/>
    </row>
    <row r="440" spans="1:15" x14ac:dyDescent="0.25">
      <c r="A440" s="37"/>
      <c r="B440" s="37"/>
      <c r="C440" s="70"/>
      <c r="D440" s="37"/>
      <c r="E440" s="70"/>
      <c r="F440" s="70"/>
      <c r="G440" s="37"/>
      <c r="H440" s="70"/>
      <c r="I440" s="70"/>
      <c r="J440" s="37"/>
      <c r="K440" s="70"/>
      <c r="L440" s="70"/>
      <c r="M440" s="70"/>
      <c r="N440" s="70"/>
      <c r="O440" s="70"/>
    </row>
    <row r="441" spans="1:15" x14ac:dyDescent="0.25">
      <c r="A441" s="37"/>
      <c r="B441" s="37"/>
      <c r="C441" s="70"/>
      <c r="D441" s="37"/>
      <c r="E441" s="70"/>
      <c r="F441" s="70"/>
      <c r="G441" s="37"/>
      <c r="H441" s="70"/>
      <c r="I441" s="70"/>
      <c r="J441" s="37"/>
      <c r="K441" s="70"/>
      <c r="L441" s="70"/>
      <c r="M441" s="70"/>
      <c r="N441" s="70"/>
      <c r="O441" s="70"/>
    </row>
    <row r="442" spans="1:15" x14ac:dyDescent="0.25">
      <c r="A442" s="37"/>
      <c r="B442" s="37"/>
      <c r="C442" s="70"/>
      <c r="D442" s="37"/>
      <c r="E442" s="70"/>
      <c r="F442" s="70"/>
      <c r="G442" s="37"/>
      <c r="H442" s="70"/>
      <c r="I442" s="70"/>
      <c r="J442" s="37"/>
      <c r="K442" s="70"/>
      <c r="L442" s="70"/>
      <c r="M442" s="70"/>
      <c r="N442" s="70"/>
      <c r="O442" s="70"/>
    </row>
    <row r="443" spans="1:15" x14ac:dyDescent="0.25">
      <c r="A443" s="37"/>
      <c r="B443" s="37"/>
      <c r="C443" s="70"/>
      <c r="D443" s="37"/>
      <c r="E443" s="70"/>
      <c r="F443" s="70"/>
      <c r="G443" s="37"/>
      <c r="H443" s="70"/>
      <c r="I443" s="70"/>
      <c r="J443" s="37"/>
      <c r="K443" s="70"/>
      <c r="L443" s="70"/>
      <c r="M443" s="70"/>
      <c r="N443" s="70"/>
      <c r="O443" s="70"/>
    </row>
    <row r="444" spans="1:15" x14ac:dyDescent="0.25">
      <c r="A444" s="37"/>
      <c r="B444" s="37"/>
      <c r="C444" s="70"/>
      <c r="D444" s="37"/>
      <c r="E444" s="70"/>
      <c r="F444" s="70"/>
      <c r="G444" s="37"/>
      <c r="H444" s="70"/>
      <c r="I444" s="70"/>
      <c r="J444" s="37"/>
      <c r="K444" s="70"/>
      <c r="L444" s="70"/>
      <c r="M444" s="70"/>
      <c r="N444" s="70"/>
      <c r="O444" s="70"/>
    </row>
    <row r="445" spans="1:15" x14ac:dyDescent="0.25">
      <c r="A445" s="37"/>
      <c r="B445" s="37"/>
      <c r="C445" s="70"/>
      <c r="D445" s="37"/>
      <c r="E445" s="70"/>
      <c r="F445" s="70"/>
      <c r="G445" s="37"/>
      <c r="H445" s="70"/>
      <c r="I445" s="70"/>
      <c r="J445" s="37"/>
      <c r="K445" s="70"/>
      <c r="L445" s="70"/>
      <c r="M445" s="70"/>
      <c r="N445" s="70"/>
      <c r="O445" s="70"/>
    </row>
    <row r="446" spans="1:15" x14ac:dyDescent="0.25">
      <c r="A446" s="37"/>
      <c r="B446" s="37"/>
      <c r="C446" s="70"/>
      <c r="D446" s="37"/>
      <c r="E446" s="70"/>
      <c r="F446" s="70"/>
      <c r="G446" s="37"/>
      <c r="H446" s="70"/>
      <c r="I446" s="70"/>
      <c r="J446" s="37"/>
      <c r="K446" s="70"/>
      <c r="L446" s="70"/>
      <c r="M446" s="70"/>
      <c r="N446" s="70"/>
      <c r="O446" s="70"/>
    </row>
    <row r="447" spans="1:15" x14ac:dyDescent="0.25">
      <c r="A447" s="37"/>
      <c r="B447" s="37"/>
      <c r="C447" s="70"/>
      <c r="D447" s="37"/>
      <c r="E447" s="70"/>
      <c r="F447" s="70"/>
      <c r="G447" s="37"/>
      <c r="H447" s="70"/>
      <c r="I447" s="70"/>
      <c r="J447" s="37"/>
      <c r="K447" s="70"/>
      <c r="L447" s="70"/>
      <c r="M447" s="70"/>
      <c r="N447" s="70"/>
      <c r="O447" s="70"/>
    </row>
    <row r="448" spans="1:15" x14ac:dyDescent="0.25">
      <c r="A448" s="37"/>
      <c r="B448" s="37"/>
      <c r="C448" s="70"/>
      <c r="D448" s="37"/>
      <c r="E448" s="70"/>
      <c r="F448" s="70"/>
      <c r="G448" s="37"/>
      <c r="H448" s="70"/>
      <c r="I448" s="70"/>
      <c r="J448" s="37"/>
      <c r="K448" s="70"/>
      <c r="L448" s="70"/>
      <c r="M448" s="70"/>
      <c r="N448" s="70"/>
      <c r="O448" s="70"/>
    </row>
    <row r="449" spans="1:15" x14ac:dyDescent="0.25">
      <c r="A449" s="37"/>
      <c r="B449" s="37"/>
      <c r="C449" s="70"/>
      <c r="D449" s="37"/>
      <c r="E449" s="70"/>
      <c r="F449" s="70"/>
      <c r="G449" s="37"/>
      <c r="H449" s="70"/>
      <c r="I449" s="70"/>
      <c r="J449" s="37"/>
      <c r="K449" s="70"/>
      <c r="L449" s="70"/>
      <c r="M449" s="70"/>
      <c r="N449" s="70"/>
      <c r="O449" s="70"/>
    </row>
    <row r="450" spans="1:15" x14ac:dyDescent="0.25">
      <c r="A450" s="37"/>
      <c r="B450" s="37"/>
      <c r="C450" s="70"/>
      <c r="D450" s="37"/>
      <c r="E450" s="70"/>
      <c r="F450" s="70"/>
      <c r="G450" s="37"/>
      <c r="H450" s="70"/>
      <c r="I450" s="70"/>
      <c r="J450" s="37"/>
      <c r="K450" s="70"/>
      <c r="L450" s="70"/>
      <c r="M450" s="70"/>
      <c r="N450" s="70"/>
      <c r="O450" s="70"/>
    </row>
    <row r="451" spans="1:15" x14ac:dyDescent="0.25">
      <c r="A451" s="37"/>
      <c r="B451" s="37"/>
      <c r="C451" s="70"/>
      <c r="D451" s="37"/>
      <c r="E451" s="70"/>
      <c r="F451" s="70"/>
      <c r="G451" s="37"/>
      <c r="H451" s="70"/>
      <c r="I451" s="70"/>
      <c r="J451" s="37"/>
      <c r="K451" s="70"/>
      <c r="L451" s="70"/>
      <c r="M451" s="70"/>
      <c r="N451" s="70"/>
      <c r="O451" s="70"/>
    </row>
    <row r="452" spans="1:15" x14ac:dyDescent="0.25">
      <c r="A452" s="37"/>
      <c r="B452" s="37"/>
      <c r="C452" s="70"/>
      <c r="D452" s="37"/>
      <c r="E452" s="70"/>
      <c r="F452" s="70"/>
      <c r="G452" s="37"/>
      <c r="H452" s="70"/>
      <c r="I452" s="70"/>
      <c r="J452" s="37"/>
      <c r="K452" s="70"/>
      <c r="L452" s="70"/>
      <c r="M452" s="70"/>
      <c r="N452" s="70"/>
      <c r="O452" s="70"/>
    </row>
    <row r="453" spans="1:15" x14ac:dyDescent="0.25">
      <c r="A453" s="37"/>
      <c r="B453" s="37"/>
      <c r="C453" s="70"/>
      <c r="D453" s="37"/>
      <c r="E453" s="70"/>
      <c r="F453" s="70"/>
      <c r="G453" s="37"/>
      <c r="H453" s="70"/>
      <c r="I453" s="70"/>
      <c r="J453" s="37"/>
      <c r="K453" s="70"/>
      <c r="L453" s="70"/>
      <c r="M453" s="70"/>
      <c r="N453" s="70"/>
      <c r="O453" s="70"/>
    </row>
    <row r="454" spans="1:15" x14ac:dyDescent="0.25">
      <c r="A454" s="37"/>
      <c r="B454" s="37"/>
      <c r="C454" s="70"/>
      <c r="D454" s="37"/>
      <c r="E454" s="70"/>
      <c r="F454" s="70"/>
      <c r="G454" s="37"/>
      <c r="H454" s="70"/>
      <c r="I454" s="70"/>
      <c r="J454" s="37"/>
      <c r="K454" s="70"/>
      <c r="L454" s="70"/>
      <c r="M454" s="70"/>
      <c r="N454" s="70"/>
      <c r="O454" s="70"/>
    </row>
    <row r="455" spans="1:15" x14ac:dyDescent="0.25">
      <c r="A455" s="37"/>
      <c r="B455" s="37"/>
      <c r="C455" s="70"/>
      <c r="D455" s="37"/>
      <c r="E455" s="70"/>
      <c r="F455" s="70"/>
      <c r="G455" s="37"/>
      <c r="H455" s="70"/>
      <c r="I455" s="70"/>
      <c r="J455" s="37"/>
      <c r="K455" s="70"/>
      <c r="L455" s="70"/>
      <c r="M455" s="70"/>
      <c r="N455" s="70"/>
      <c r="O455" s="70"/>
    </row>
    <row r="456" spans="1:15" x14ac:dyDescent="0.25">
      <c r="A456" s="37"/>
      <c r="B456" s="37"/>
      <c r="C456" s="70"/>
      <c r="D456" s="37"/>
      <c r="E456" s="70"/>
      <c r="F456" s="70"/>
      <c r="G456" s="37"/>
      <c r="H456" s="70"/>
      <c r="I456" s="70"/>
      <c r="J456" s="37"/>
      <c r="K456" s="70"/>
      <c r="L456" s="70"/>
      <c r="M456" s="70"/>
      <c r="N456" s="70"/>
      <c r="O456" s="70"/>
    </row>
    <row r="457" spans="1:15" x14ac:dyDescent="0.25">
      <c r="A457" s="37"/>
      <c r="B457" s="37"/>
      <c r="C457" s="70"/>
      <c r="D457" s="37"/>
      <c r="E457" s="70"/>
      <c r="F457" s="70"/>
      <c r="G457" s="37"/>
      <c r="H457" s="70"/>
      <c r="I457" s="70"/>
      <c r="J457" s="37"/>
      <c r="K457" s="70"/>
      <c r="L457" s="70"/>
      <c r="M457" s="70"/>
      <c r="N457" s="70"/>
      <c r="O457" s="70"/>
    </row>
    <row r="458" spans="1:15" x14ac:dyDescent="0.25">
      <c r="A458" s="37"/>
      <c r="B458" s="37"/>
      <c r="C458" s="70"/>
      <c r="D458" s="37"/>
      <c r="E458" s="70"/>
      <c r="F458" s="70"/>
      <c r="G458" s="37"/>
      <c r="H458" s="70"/>
      <c r="I458" s="70"/>
      <c r="J458" s="37"/>
      <c r="K458" s="70"/>
      <c r="L458" s="70"/>
      <c r="M458" s="70"/>
      <c r="N458" s="70"/>
      <c r="O458" s="70"/>
    </row>
    <row r="459" spans="1:15" x14ac:dyDescent="0.25">
      <c r="A459" s="37"/>
      <c r="B459" s="37"/>
      <c r="C459" s="70"/>
      <c r="D459" s="37"/>
      <c r="E459" s="70"/>
      <c r="F459" s="70"/>
      <c r="G459" s="37"/>
      <c r="H459" s="70"/>
      <c r="I459" s="70"/>
      <c r="J459" s="37"/>
      <c r="K459" s="70"/>
      <c r="L459" s="70"/>
      <c r="M459" s="70"/>
      <c r="N459" s="70"/>
      <c r="O459" s="70"/>
    </row>
    <row r="460" spans="1:15" x14ac:dyDescent="0.25">
      <c r="A460" s="37"/>
      <c r="B460" s="37"/>
      <c r="C460" s="70"/>
      <c r="D460" s="37"/>
      <c r="E460" s="70"/>
      <c r="F460" s="70"/>
      <c r="G460" s="37"/>
      <c r="H460" s="70"/>
      <c r="I460" s="70"/>
      <c r="J460" s="37"/>
      <c r="K460" s="70"/>
      <c r="L460" s="70"/>
      <c r="M460" s="70"/>
      <c r="N460" s="70"/>
      <c r="O460" s="70"/>
    </row>
    <row r="461" spans="1:15" x14ac:dyDescent="0.25">
      <c r="A461" s="37"/>
      <c r="B461" s="37"/>
      <c r="C461" s="70"/>
      <c r="D461" s="37"/>
      <c r="E461" s="70"/>
      <c r="F461" s="70"/>
      <c r="G461" s="37"/>
      <c r="H461" s="70"/>
      <c r="I461" s="70"/>
      <c r="J461" s="37"/>
      <c r="K461" s="70"/>
      <c r="L461" s="70"/>
      <c r="M461" s="70"/>
      <c r="N461" s="70"/>
      <c r="O461" s="70"/>
    </row>
    <row r="462" spans="1:15" x14ac:dyDescent="0.25">
      <c r="A462" s="37"/>
      <c r="B462" s="37"/>
      <c r="C462" s="70"/>
      <c r="D462" s="37"/>
      <c r="E462" s="70"/>
      <c r="F462" s="70"/>
      <c r="G462" s="37"/>
      <c r="H462" s="70"/>
      <c r="I462" s="70"/>
      <c r="J462" s="37"/>
      <c r="K462" s="70"/>
      <c r="L462" s="70"/>
      <c r="M462" s="70"/>
      <c r="N462" s="70"/>
      <c r="O462" s="70"/>
    </row>
    <row r="463" spans="1:15" x14ac:dyDescent="0.25">
      <c r="A463" s="37"/>
      <c r="B463" s="37"/>
      <c r="C463" s="70"/>
      <c r="D463" s="37"/>
      <c r="E463" s="70"/>
      <c r="F463" s="70"/>
      <c r="G463" s="37"/>
      <c r="H463" s="70"/>
      <c r="I463" s="70"/>
      <c r="J463" s="37"/>
      <c r="K463" s="70"/>
      <c r="L463" s="70"/>
      <c r="M463" s="70"/>
      <c r="N463" s="70"/>
      <c r="O463" s="70"/>
    </row>
    <row r="464" spans="1:15" x14ac:dyDescent="0.25">
      <c r="A464" s="37"/>
      <c r="B464" s="37"/>
      <c r="C464" s="70"/>
      <c r="D464" s="37"/>
      <c r="E464" s="70"/>
      <c r="F464" s="70"/>
      <c r="G464" s="37"/>
      <c r="H464" s="70"/>
      <c r="I464" s="70"/>
      <c r="J464" s="37"/>
      <c r="K464" s="70"/>
      <c r="L464" s="70"/>
      <c r="M464" s="70"/>
      <c r="N464" s="70"/>
      <c r="O464" s="70"/>
    </row>
    <row r="465" spans="1:15" x14ac:dyDescent="0.25">
      <c r="A465" s="37"/>
      <c r="B465" s="37"/>
      <c r="C465" s="70"/>
      <c r="D465" s="37"/>
      <c r="E465" s="70"/>
      <c r="F465" s="70"/>
      <c r="G465" s="37"/>
      <c r="H465" s="70"/>
      <c r="I465" s="70"/>
      <c r="J465" s="37"/>
      <c r="K465" s="70"/>
      <c r="L465" s="70"/>
      <c r="M465" s="70"/>
      <c r="N465" s="70"/>
      <c r="O465" s="70"/>
    </row>
    <row r="466" spans="1:15" x14ac:dyDescent="0.25">
      <c r="A466" s="37"/>
      <c r="B466" s="37"/>
      <c r="C466" s="70"/>
      <c r="D466" s="37"/>
      <c r="E466" s="70"/>
      <c r="F466" s="70"/>
      <c r="G466" s="37"/>
      <c r="H466" s="70"/>
      <c r="I466" s="70"/>
      <c r="J466" s="37"/>
      <c r="K466" s="70"/>
      <c r="L466" s="70"/>
      <c r="M466" s="70"/>
      <c r="N466" s="70"/>
      <c r="O466" s="70"/>
    </row>
    <row r="467" spans="1:15" x14ac:dyDescent="0.25">
      <c r="A467" s="37"/>
      <c r="B467" s="37"/>
      <c r="C467" s="70"/>
      <c r="D467" s="37"/>
      <c r="E467" s="70"/>
      <c r="F467" s="70"/>
      <c r="G467" s="37"/>
      <c r="H467" s="70"/>
      <c r="I467" s="70"/>
      <c r="J467" s="37"/>
      <c r="K467" s="70"/>
      <c r="L467" s="70"/>
      <c r="M467" s="70"/>
      <c r="N467" s="70"/>
      <c r="O467" s="70"/>
    </row>
    <row r="468" spans="1:15" x14ac:dyDescent="0.25">
      <c r="A468" s="37"/>
      <c r="B468" s="37"/>
      <c r="C468" s="70"/>
      <c r="D468" s="37"/>
      <c r="E468" s="70"/>
      <c r="F468" s="70"/>
      <c r="G468" s="37"/>
      <c r="H468" s="70"/>
      <c r="I468" s="70"/>
      <c r="J468" s="37"/>
      <c r="K468" s="70"/>
      <c r="L468" s="70"/>
      <c r="M468" s="70"/>
      <c r="N468" s="70"/>
      <c r="O468" s="70"/>
    </row>
    <row r="469" spans="1:15" x14ac:dyDescent="0.25">
      <c r="A469" s="37"/>
      <c r="B469" s="37"/>
      <c r="C469" s="70"/>
      <c r="D469" s="37"/>
      <c r="E469" s="70"/>
      <c r="F469" s="70"/>
      <c r="G469" s="37"/>
      <c r="H469" s="70"/>
      <c r="I469" s="70"/>
      <c r="J469" s="37"/>
      <c r="K469" s="70"/>
      <c r="L469" s="70"/>
      <c r="M469" s="70"/>
      <c r="N469" s="70"/>
      <c r="O469" s="70"/>
    </row>
    <row r="470" spans="1:15" x14ac:dyDescent="0.25">
      <c r="A470" s="37"/>
      <c r="B470" s="37"/>
      <c r="C470" s="70"/>
      <c r="D470" s="37"/>
      <c r="E470" s="70"/>
      <c r="F470" s="70"/>
      <c r="G470" s="37"/>
      <c r="H470" s="70"/>
      <c r="I470" s="70"/>
      <c r="J470" s="37"/>
      <c r="K470" s="70"/>
      <c r="L470" s="70"/>
      <c r="M470" s="70"/>
      <c r="N470" s="70"/>
      <c r="O470" s="70"/>
    </row>
    <row r="471" spans="1:15" x14ac:dyDescent="0.25">
      <c r="A471" s="37"/>
      <c r="B471" s="37"/>
      <c r="C471" s="70"/>
      <c r="D471" s="37"/>
      <c r="E471" s="70"/>
      <c r="F471" s="70"/>
      <c r="G471" s="37"/>
      <c r="H471" s="70"/>
      <c r="I471" s="70"/>
      <c r="J471" s="37"/>
      <c r="K471" s="70"/>
      <c r="L471" s="70"/>
      <c r="M471" s="70"/>
      <c r="N471" s="70"/>
      <c r="O471" s="70"/>
    </row>
    <row r="472" spans="1:15" x14ac:dyDescent="0.25">
      <c r="A472" s="37"/>
      <c r="B472" s="37"/>
      <c r="C472" s="70"/>
      <c r="D472" s="37"/>
      <c r="E472" s="70"/>
      <c r="F472" s="70"/>
      <c r="G472" s="37"/>
      <c r="H472" s="70"/>
      <c r="I472" s="70"/>
      <c r="J472" s="37"/>
      <c r="K472" s="70"/>
      <c r="L472" s="70"/>
      <c r="M472" s="70"/>
      <c r="N472" s="70"/>
      <c r="O472" s="70"/>
    </row>
    <row r="473" spans="1:15" x14ac:dyDescent="0.25">
      <c r="A473" s="37"/>
      <c r="B473" s="37"/>
      <c r="C473" s="70"/>
      <c r="D473" s="37"/>
      <c r="E473" s="70"/>
      <c r="F473" s="70"/>
      <c r="G473" s="37"/>
      <c r="H473" s="70"/>
      <c r="I473" s="70"/>
      <c r="J473" s="37"/>
      <c r="K473" s="70"/>
      <c r="L473" s="70"/>
      <c r="M473" s="70"/>
      <c r="N473" s="70"/>
      <c r="O473" s="70"/>
    </row>
    <row r="474" spans="1:15" x14ac:dyDescent="0.25">
      <c r="A474" s="37"/>
      <c r="B474" s="37"/>
      <c r="C474" s="70"/>
      <c r="D474" s="37"/>
      <c r="E474" s="70"/>
      <c r="F474" s="70"/>
      <c r="G474" s="37"/>
      <c r="H474" s="70"/>
      <c r="I474" s="70"/>
      <c r="J474" s="37"/>
      <c r="K474" s="70"/>
      <c r="L474" s="70"/>
      <c r="M474" s="70"/>
      <c r="N474" s="70"/>
      <c r="O474" s="70"/>
    </row>
    <row r="475" spans="1:15" x14ac:dyDescent="0.25">
      <c r="A475" s="37"/>
      <c r="B475" s="37"/>
      <c r="C475" s="70"/>
      <c r="D475" s="37"/>
      <c r="E475" s="70"/>
      <c r="F475" s="70"/>
      <c r="G475" s="37"/>
      <c r="H475" s="70"/>
      <c r="I475" s="70"/>
      <c r="J475" s="37"/>
      <c r="K475" s="70"/>
      <c r="L475" s="70"/>
      <c r="M475" s="70"/>
      <c r="N475" s="70"/>
      <c r="O475" s="70"/>
    </row>
    <row r="476" spans="1:15" x14ac:dyDescent="0.25">
      <c r="A476" s="37"/>
      <c r="B476" s="37"/>
      <c r="C476" s="70"/>
      <c r="D476" s="37"/>
      <c r="E476" s="70"/>
      <c r="F476" s="70"/>
      <c r="G476" s="37"/>
      <c r="H476" s="70"/>
      <c r="I476" s="70"/>
      <c r="J476" s="37"/>
      <c r="K476" s="70"/>
      <c r="L476" s="70"/>
      <c r="M476" s="70"/>
      <c r="N476" s="70"/>
      <c r="O476" s="70"/>
    </row>
    <row r="477" spans="1:15" x14ac:dyDescent="0.25">
      <c r="A477" s="37"/>
      <c r="B477" s="37"/>
      <c r="C477" s="70"/>
      <c r="D477" s="37"/>
      <c r="E477" s="70"/>
      <c r="F477" s="70"/>
      <c r="G477" s="37"/>
      <c r="H477" s="70"/>
      <c r="I477" s="70"/>
      <c r="J477" s="37"/>
      <c r="K477" s="70"/>
      <c r="L477" s="70"/>
      <c r="M477" s="70"/>
      <c r="N477" s="70"/>
      <c r="O477" s="70"/>
    </row>
    <row r="478" spans="1:15" x14ac:dyDescent="0.25">
      <c r="A478" s="37"/>
      <c r="B478" s="37"/>
      <c r="C478" s="70"/>
      <c r="D478" s="37"/>
      <c r="E478" s="70"/>
      <c r="F478" s="70"/>
      <c r="G478" s="37"/>
      <c r="H478" s="70"/>
      <c r="I478" s="70"/>
      <c r="J478" s="37"/>
      <c r="K478" s="70"/>
      <c r="L478" s="70"/>
      <c r="M478" s="70"/>
      <c r="N478" s="70"/>
      <c r="O478" s="70"/>
    </row>
    <row r="479" spans="1:15" x14ac:dyDescent="0.25">
      <c r="A479" s="37"/>
      <c r="B479" s="37"/>
      <c r="C479" s="70"/>
      <c r="D479" s="37"/>
      <c r="E479" s="70"/>
      <c r="F479" s="70"/>
      <c r="G479" s="37"/>
      <c r="H479" s="70"/>
      <c r="I479" s="70"/>
      <c r="J479" s="37"/>
      <c r="K479" s="70"/>
      <c r="L479" s="70"/>
      <c r="M479" s="70"/>
      <c r="N479" s="70"/>
      <c r="O479" s="70"/>
    </row>
    <row r="480" spans="1:15" x14ac:dyDescent="0.25">
      <c r="A480" s="37"/>
      <c r="B480" s="37"/>
      <c r="C480" s="70"/>
      <c r="D480" s="37"/>
      <c r="E480" s="70"/>
      <c r="F480" s="70"/>
      <c r="G480" s="37"/>
      <c r="H480" s="70"/>
      <c r="I480" s="70"/>
      <c r="J480" s="37"/>
      <c r="K480" s="70"/>
      <c r="L480" s="70"/>
      <c r="M480" s="70"/>
      <c r="N480" s="70"/>
      <c r="O480" s="70"/>
    </row>
    <row r="481" spans="1:15" x14ac:dyDescent="0.25">
      <c r="A481" s="37"/>
      <c r="B481" s="37"/>
      <c r="C481" s="70"/>
      <c r="D481" s="37"/>
      <c r="E481" s="70"/>
      <c r="F481" s="70"/>
      <c r="G481" s="37"/>
      <c r="H481" s="70"/>
      <c r="I481" s="70"/>
      <c r="J481" s="37"/>
      <c r="K481" s="70"/>
      <c r="L481" s="70"/>
      <c r="M481" s="70"/>
      <c r="N481" s="70"/>
      <c r="O481" s="70"/>
    </row>
    <row r="482" spans="1:15" x14ac:dyDescent="0.25">
      <c r="A482" s="37"/>
      <c r="B482" s="37"/>
      <c r="C482" s="70"/>
      <c r="D482" s="37"/>
      <c r="E482" s="70"/>
      <c r="F482" s="70"/>
      <c r="G482" s="37"/>
      <c r="H482" s="70"/>
      <c r="I482" s="70"/>
      <c r="J482" s="37"/>
      <c r="K482" s="70"/>
      <c r="L482" s="70"/>
      <c r="M482" s="70"/>
      <c r="N482" s="70"/>
      <c r="O482" s="70"/>
    </row>
    <row r="483" spans="1:15" x14ac:dyDescent="0.25">
      <c r="A483" s="37"/>
      <c r="B483" s="37"/>
      <c r="C483" s="70"/>
      <c r="D483" s="37"/>
      <c r="E483" s="70"/>
      <c r="F483" s="70"/>
      <c r="G483" s="37"/>
      <c r="H483" s="70"/>
      <c r="I483" s="70"/>
      <c r="J483" s="37"/>
      <c r="K483" s="70"/>
      <c r="L483" s="70"/>
      <c r="M483" s="70"/>
      <c r="N483" s="70"/>
      <c r="O483" s="70"/>
    </row>
    <row r="484" spans="1:15" x14ac:dyDescent="0.25">
      <c r="A484" s="37"/>
      <c r="B484" s="37"/>
      <c r="C484" s="70"/>
      <c r="D484" s="37"/>
      <c r="E484" s="70"/>
      <c r="F484" s="70"/>
      <c r="G484" s="37"/>
      <c r="H484" s="70"/>
      <c r="I484" s="70"/>
      <c r="J484" s="37"/>
      <c r="K484" s="70"/>
      <c r="L484" s="70"/>
      <c r="M484" s="70"/>
      <c r="N484" s="70"/>
      <c r="O484" s="70"/>
    </row>
    <row r="485" spans="1:15" x14ac:dyDescent="0.25">
      <c r="A485" s="37"/>
      <c r="B485" s="37"/>
      <c r="C485" s="70"/>
      <c r="D485" s="37"/>
      <c r="E485" s="70"/>
      <c r="F485" s="70"/>
      <c r="G485" s="37"/>
      <c r="H485" s="70"/>
      <c r="I485" s="70"/>
      <c r="J485" s="37"/>
      <c r="K485" s="70"/>
      <c r="L485" s="70"/>
      <c r="M485" s="70"/>
      <c r="N485" s="70"/>
      <c r="O485" s="70"/>
    </row>
    <row r="486" spans="1:15" x14ac:dyDescent="0.25">
      <c r="A486" s="37"/>
      <c r="B486" s="37"/>
      <c r="C486" s="70"/>
      <c r="D486" s="37"/>
      <c r="E486" s="70"/>
      <c r="F486" s="70"/>
      <c r="G486" s="37"/>
      <c r="H486" s="70"/>
      <c r="I486" s="70"/>
      <c r="J486" s="37"/>
      <c r="K486" s="70"/>
      <c r="L486" s="70"/>
      <c r="M486" s="70"/>
      <c r="N486" s="70"/>
      <c r="O486" s="70"/>
    </row>
    <row r="487" spans="1:15" x14ac:dyDescent="0.25">
      <c r="A487" s="37"/>
      <c r="B487" s="37"/>
      <c r="C487" s="70"/>
      <c r="D487" s="37"/>
      <c r="E487" s="70"/>
      <c r="F487" s="70"/>
      <c r="G487" s="37"/>
      <c r="H487" s="70"/>
      <c r="I487" s="70"/>
      <c r="J487" s="37"/>
      <c r="K487" s="70"/>
      <c r="L487" s="70"/>
      <c r="M487" s="70"/>
      <c r="N487" s="70"/>
      <c r="O487" s="70"/>
    </row>
    <row r="488" spans="1:15" x14ac:dyDescent="0.25">
      <c r="A488" s="37"/>
      <c r="B488" s="37"/>
      <c r="C488" s="70"/>
      <c r="D488" s="37"/>
      <c r="E488" s="70"/>
      <c r="F488" s="70"/>
      <c r="G488" s="37"/>
      <c r="H488" s="70"/>
      <c r="I488" s="70"/>
      <c r="J488" s="37"/>
      <c r="K488" s="70"/>
      <c r="L488" s="70"/>
      <c r="M488" s="70"/>
      <c r="N488" s="70"/>
      <c r="O488" s="70"/>
    </row>
    <row r="489" spans="1:15" x14ac:dyDescent="0.25">
      <c r="A489" s="37"/>
      <c r="B489" s="37"/>
      <c r="C489" s="70"/>
      <c r="D489" s="37"/>
      <c r="E489" s="70"/>
      <c r="F489" s="70"/>
      <c r="G489" s="37"/>
      <c r="H489" s="70"/>
      <c r="I489" s="70"/>
      <c r="J489" s="37"/>
      <c r="K489" s="70"/>
      <c r="L489" s="70"/>
      <c r="M489" s="70"/>
      <c r="N489" s="70"/>
      <c r="O489" s="70"/>
    </row>
    <row r="490" spans="1:15" x14ac:dyDescent="0.25">
      <c r="A490" s="37"/>
      <c r="B490" s="37"/>
      <c r="C490" s="70"/>
      <c r="D490" s="37"/>
      <c r="E490" s="70"/>
      <c r="F490" s="70"/>
      <c r="G490" s="37"/>
      <c r="H490" s="70"/>
      <c r="I490" s="70"/>
      <c r="J490" s="37"/>
      <c r="K490" s="70"/>
      <c r="L490" s="70"/>
      <c r="M490" s="70"/>
      <c r="N490" s="70"/>
      <c r="O490" s="70"/>
    </row>
    <row r="491" spans="1:15" x14ac:dyDescent="0.25">
      <c r="A491" s="37"/>
      <c r="B491" s="37"/>
      <c r="C491" s="70"/>
      <c r="D491" s="37"/>
      <c r="E491" s="70"/>
      <c r="F491" s="70"/>
      <c r="G491" s="37"/>
      <c r="H491" s="70"/>
      <c r="I491" s="70"/>
      <c r="J491" s="37"/>
      <c r="K491" s="70"/>
      <c r="L491" s="70"/>
      <c r="M491" s="70"/>
      <c r="N491" s="70"/>
      <c r="O491" s="70"/>
    </row>
    <row r="492" spans="1:15" x14ac:dyDescent="0.25">
      <c r="A492" s="37"/>
      <c r="B492" s="37"/>
      <c r="C492" s="70"/>
      <c r="D492" s="37"/>
      <c r="E492" s="70"/>
      <c r="F492" s="70"/>
      <c r="G492" s="37"/>
      <c r="H492" s="70"/>
      <c r="I492" s="70"/>
      <c r="J492" s="37"/>
      <c r="K492" s="70"/>
      <c r="L492" s="70"/>
      <c r="M492" s="70"/>
      <c r="N492" s="70"/>
      <c r="O492" s="70"/>
    </row>
    <row r="493" spans="1:15" x14ac:dyDescent="0.25">
      <c r="A493" s="37"/>
      <c r="B493" s="37"/>
      <c r="C493" s="70"/>
      <c r="D493" s="37"/>
      <c r="E493" s="70"/>
      <c r="F493" s="70"/>
      <c r="G493" s="37"/>
      <c r="H493" s="70"/>
      <c r="I493" s="70"/>
      <c r="J493" s="37"/>
      <c r="K493" s="70"/>
      <c r="L493" s="70"/>
      <c r="M493" s="70"/>
      <c r="N493" s="70"/>
      <c r="O493" s="70"/>
    </row>
    <row r="494" spans="1:15" x14ac:dyDescent="0.25">
      <c r="A494" s="37"/>
      <c r="B494" s="37"/>
      <c r="C494" s="70"/>
      <c r="D494" s="37"/>
      <c r="E494" s="70"/>
      <c r="F494" s="70"/>
      <c r="G494" s="37"/>
      <c r="H494" s="70"/>
      <c r="I494" s="70"/>
      <c r="J494" s="37"/>
      <c r="K494" s="70"/>
      <c r="L494" s="70"/>
      <c r="M494" s="70"/>
      <c r="N494" s="70"/>
      <c r="O494" s="70"/>
    </row>
    <row r="495" spans="1:15" x14ac:dyDescent="0.25">
      <c r="A495" s="37"/>
      <c r="B495" s="37"/>
      <c r="C495" s="70"/>
      <c r="D495" s="37"/>
      <c r="E495" s="70"/>
      <c r="F495" s="70"/>
      <c r="G495" s="37"/>
      <c r="H495" s="70"/>
      <c r="I495" s="70"/>
      <c r="J495" s="37"/>
      <c r="K495" s="70"/>
      <c r="L495" s="70"/>
      <c r="M495" s="70"/>
      <c r="N495" s="70"/>
      <c r="O495" s="70"/>
    </row>
    <row r="496" spans="1:15" x14ac:dyDescent="0.25">
      <c r="A496" s="37"/>
      <c r="B496" s="37"/>
      <c r="C496" s="70"/>
      <c r="D496" s="37"/>
      <c r="E496" s="70"/>
      <c r="F496" s="70"/>
      <c r="G496" s="37"/>
      <c r="H496" s="70"/>
      <c r="I496" s="70"/>
      <c r="J496" s="37"/>
      <c r="K496" s="70"/>
      <c r="L496" s="70"/>
      <c r="M496" s="70"/>
      <c r="N496" s="70"/>
      <c r="O496" s="70"/>
    </row>
    <row r="497" spans="1:15" x14ac:dyDescent="0.25">
      <c r="A497" s="37"/>
      <c r="B497" s="37"/>
      <c r="C497" s="70"/>
      <c r="D497" s="37"/>
      <c r="E497" s="70"/>
      <c r="F497" s="70"/>
      <c r="G497" s="37"/>
      <c r="H497" s="70"/>
      <c r="I497" s="70"/>
      <c r="J497" s="37"/>
      <c r="K497" s="70"/>
      <c r="L497" s="70"/>
      <c r="M497" s="70"/>
      <c r="N497" s="70"/>
      <c r="O497" s="70"/>
    </row>
    <row r="498" spans="1:15" x14ac:dyDescent="0.25">
      <c r="A498" s="37"/>
      <c r="B498" s="37"/>
      <c r="C498" s="70"/>
      <c r="D498" s="37"/>
      <c r="E498" s="70"/>
      <c r="F498" s="70"/>
      <c r="G498" s="37"/>
      <c r="H498" s="70"/>
      <c r="I498" s="70"/>
      <c r="J498" s="37"/>
      <c r="K498" s="70"/>
      <c r="L498" s="70"/>
      <c r="M498" s="70"/>
      <c r="N498" s="70"/>
      <c r="O498" s="70"/>
    </row>
    <row r="499" spans="1:15" x14ac:dyDescent="0.25">
      <c r="A499" s="37"/>
      <c r="B499" s="37"/>
      <c r="C499" s="70"/>
      <c r="D499" s="37"/>
      <c r="E499" s="70"/>
      <c r="F499" s="70"/>
      <c r="G499" s="37"/>
      <c r="H499" s="70"/>
      <c r="I499" s="70"/>
      <c r="J499" s="37"/>
      <c r="K499" s="70"/>
      <c r="L499" s="70"/>
      <c r="M499" s="70"/>
      <c r="N499" s="70"/>
      <c r="O499" s="70"/>
    </row>
    <row r="500" spans="1:15" x14ac:dyDescent="0.25">
      <c r="A500" s="37"/>
      <c r="B500" s="37"/>
      <c r="C500" s="70"/>
      <c r="D500" s="37"/>
      <c r="E500" s="70"/>
      <c r="F500" s="70"/>
      <c r="G500" s="37"/>
      <c r="H500" s="70"/>
      <c r="I500" s="70"/>
      <c r="J500" s="37"/>
      <c r="K500" s="70"/>
      <c r="L500" s="70"/>
      <c r="M500" s="70"/>
      <c r="N500" s="70"/>
      <c r="O500" s="70"/>
    </row>
    <row r="501" spans="1:15" x14ac:dyDescent="0.25">
      <c r="A501" s="37"/>
      <c r="B501" s="37"/>
      <c r="C501" s="70"/>
      <c r="D501" s="37"/>
      <c r="E501" s="70"/>
      <c r="F501" s="70"/>
      <c r="G501" s="37"/>
      <c r="H501" s="70"/>
      <c r="I501" s="70"/>
      <c r="J501" s="37"/>
      <c r="K501" s="70"/>
      <c r="L501" s="70"/>
      <c r="M501" s="70"/>
      <c r="N501" s="70"/>
      <c r="O501" s="70"/>
    </row>
    <row r="502" spans="1:15" x14ac:dyDescent="0.25">
      <c r="A502" s="37"/>
      <c r="B502" s="37"/>
      <c r="C502" s="70"/>
      <c r="D502" s="37"/>
      <c r="E502" s="70"/>
      <c r="F502" s="70"/>
      <c r="G502" s="37"/>
      <c r="H502" s="70"/>
      <c r="I502" s="70"/>
      <c r="J502" s="37"/>
      <c r="K502" s="70"/>
      <c r="L502" s="70"/>
      <c r="M502" s="70"/>
      <c r="N502" s="70"/>
      <c r="O502" s="70"/>
    </row>
    <row r="503" spans="1:15" x14ac:dyDescent="0.25">
      <c r="A503" s="37"/>
      <c r="B503" s="37"/>
      <c r="C503" s="70"/>
      <c r="D503" s="37"/>
      <c r="E503" s="70"/>
      <c r="F503" s="70"/>
      <c r="G503" s="37"/>
      <c r="H503" s="70"/>
      <c r="I503" s="70"/>
      <c r="J503" s="37"/>
      <c r="K503" s="70"/>
      <c r="L503" s="70"/>
      <c r="M503" s="70"/>
      <c r="N503" s="70"/>
      <c r="O503" s="70"/>
    </row>
    <row r="504" spans="1:15" x14ac:dyDescent="0.25">
      <c r="A504" s="37"/>
      <c r="B504" s="37"/>
      <c r="C504" s="70"/>
      <c r="D504" s="37"/>
      <c r="E504" s="70"/>
      <c r="F504" s="70"/>
      <c r="G504" s="37"/>
      <c r="H504" s="70"/>
      <c r="I504" s="70"/>
      <c r="J504" s="37"/>
      <c r="K504" s="70"/>
      <c r="L504" s="70"/>
      <c r="M504" s="70"/>
      <c r="N504" s="70"/>
      <c r="O504" s="70"/>
    </row>
    <row r="505" spans="1:15" x14ac:dyDescent="0.25">
      <c r="A505" s="37"/>
      <c r="B505" s="37"/>
      <c r="C505" s="70"/>
      <c r="D505" s="37"/>
      <c r="E505" s="70"/>
      <c r="F505" s="70"/>
      <c r="G505" s="37"/>
      <c r="H505" s="70"/>
      <c r="I505" s="70"/>
      <c r="J505" s="37"/>
      <c r="K505" s="70"/>
      <c r="L505" s="70"/>
      <c r="M505" s="70"/>
      <c r="N505" s="70"/>
      <c r="O505" s="70"/>
    </row>
    <row r="506" spans="1:15" x14ac:dyDescent="0.25">
      <c r="A506" s="37"/>
      <c r="B506" s="37"/>
      <c r="C506" s="70"/>
      <c r="D506" s="37"/>
      <c r="E506" s="70"/>
      <c r="F506" s="70"/>
      <c r="G506" s="37"/>
      <c r="H506" s="70"/>
      <c r="I506" s="70"/>
      <c r="J506" s="37"/>
      <c r="K506" s="70"/>
      <c r="L506" s="70"/>
      <c r="M506" s="70"/>
      <c r="N506" s="70"/>
      <c r="O506" s="70"/>
    </row>
    <row r="507" spans="1:15" x14ac:dyDescent="0.25">
      <c r="A507" s="37"/>
      <c r="B507" s="37"/>
      <c r="C507" s="70"/>
      <c r="D507" s="37"/>
      <c r="E507" s="70"/>
      <c r="F507" s="70"/>
      <c r="G507" s="37"/>
      <c r="H507" s="70"/>
      <c r="I507" s="70"/>
      <c r="J507" s="37"/>
      <c r="K507" s="70"/>
      <c r="L507" s="70"/>
      <c r="M507" s="70"/>
      <c r="N507" s="70"/>
      <c r="O507" s="70"/>
    </row>
    <row r="508" spans="1:15" x14ac:dyDescent="0.25">
      <c r="A508" s="37"/>
      <c r="B508" s="37"/>
      <c r="C508" s="70"/>
      <c r="D508" s="37"/>
      <c r="E508" s="70"/>
      <c r="F508" s="70"/>
      <c r="G508" s="37"/>
      <c r="H508" s="70"/>
      <c r="I508" s="70"/>
      <c r="J508" s="37"/>
      <c r="K508" s="70"/>
      <c r="L508" s="70"/>
      <c r="M508" s="70"/>
      <c r="N508" s="70"/>
      <c r="O508" s="70"/>
    </row>
    <row r="509" spans="1:15" x14ac:dyDescent="0.25">
      <c r="A509" s="37"/>
      <c r="B509" s="37"/>
      <c r="C509" s="70"/>
      <c r="D509" s="37"/>
      <c r="E509" s="70"/>
      <c r="F509" s="70"/>
      <c r="G509" s="37"/>
      <c r="H509" s="70"/>
      <c r="I509" s="70"/>
      <c r="J509" s="37"/>
      <c r="K509" s="70"/>
      <c r="L509" s="70"/>
      <c r="M509" s="70"/>
      <c r="N509" s="70"/>
      <c r="O509" s="70"/>
    </row>
    <row r="510" spans="1:15" x14ac:dyDescent="0.25">
      <c r="A510" s="37"/>
      <c r="B510" s="37"/>
      <c r="C510" s="70"/>
      <c r="D510" s="37"/>
      <c r="E510" s="70"/>
      <c r="F510" s="70"/>
      <c r="G510" s="37"/>
      <c r="H510" s="70"/>
      <c r="I510" s="70"/>
      <c r="J510" s="37"/>
      <c r="K510" s="70"/>
      <c r="L510" s="70"/>
      <c r="M510" s="70"/>
      <c r="N510" s="70"/>
      <c r="O510" s="70"/>
    </row>
    <row r="511" spans="1:15" x14ac:dyDescent="0.25">
      <c r="A511" s="37"/>
      <c r="B511" s="37"/>
      <c r="C511" s="70"/>
      <c r="D511" s="37"/>
      <c r="E511" s="70"/>
      <c r="F511" s="70"/>
      <c r="G511" s="37"/>
      <c r="H511" s="70"/>
      <c r="I511" s="70"/>
      <c r="J511" s="37"/>
      <c r="K511" s="70"/>
      <c r="L511" s="70"/>
      <c r="M511" s="70"/>
      <c r="N511" s="70"/>
      <c r="O511" s="70"/>
    </row>
    <row r="512" spans="1:15" x14ac:dyDescent="0.25">
      <c r="A512" s="37"/>
      <c r="B512" s="37"/>
      <c r="C512" s="70"/>
      <c r="D512" s="37"/>
      <c r="E512" s="70"/>
      <c r="F512" s="70"/>
      <c r="G512" s="37"/>
      <c r="H512" s="70"/>
      <c r="I512" s="70"/>
      <c r="J512" s="37"/>
      <c r="K512" s="70"/>
      <c r="L512" s="70"/>
      <c r="M512" s="70"/>
      <c r="N512" s="70"/>
      <c r="O512" s="70"/>
    </row>
    <row r="513" spans="1:15" x14ac:dyDescent="0.25">
      <c r="A513" s="37"/>
      <c r="B513" s="37"/>
      <c r="C513" s="70"/>
      <c r="D513" s="37"/>
      <c r="E513" s="70"/>
      <c r="F513" s="70"/>
      <c r="G513" s="37"/>
      <c r="H513" s="70"/>
      <c r="I513" s="70"/>
      <c r="J513" s="37"/>
      <c r="K513" s="70"/>
      <c r="L513" s="70"/>
      <c r="M513" s="70"/>
      <c r="N513" s="70"/>
      <c r="O513" s="70"/>
    </row>
    <row r="514" spans="1:15" x14ac:dyDescent="0.25">
      <c r="A514" s="37"/>
      <c r="B514" s="37"/>
      <c r="C514" s="70"/>
      <c r="D514" s="37"/>
      <c r="E514" s="70"/>
      <c r="F514" s="70"/>
      <c r="G514" s="37"/>
      <c r="H514" s="70"/>
      <c r="I514" s="70"/>
      <c r="J514" s="37"/>
      <c r="K514" s="70"/>
      <c r="L514" s="70"/>
      <c r="M514" s="70"/>
      <c r="N514" s="70"/>
      <c r="O514" s="70"/>
    </row>
    <row r="515" spans="1:15" x14ac:dyDescent="0.25">
      <c r="A515" s="37"/>
      <c r="B515" s="37"/>
      <c r="C515" s="70"/>
      <c r="D515" s="37"/>
      <c r="E515" s="70"/>
      <c r="F515" s="70"/>
      <c r="G515" s="37"/>
      <c r="H515" s="70"/>
      <c r="I515" s="70"/>
      <c r="J515" s="37"/>
      <c r="K515" s="70"/>
      <c r="L515" s="70"/>
      <c r="M515" s="70"/>
      <c r="N515" s="70"/>
      <c r="O515" s="70"/>
    </row>
    <row r="516" spans="1:15" x14ac:dyDescent="0.25">
      <c r="A516" s="37"/>
      <c r="B516" s="37"/>
      <c r="C516" s="70"/>
      <c r="D516" s="37"/>
      <c r="E516" s="70"/>
      <c r="F516" s="70"/>
      <c r="G516" s="37"/>
      <c r="H516" s="70"/>
      <c r="I516" s="70"/>
      <c r="J516" s="37"/>
      <c r="K516" s="70"/>
      <c r="L516" s="70"/>
      <c r="M516" s="70"/>
      <c r="N516" s="70"/>
      <c r="O516" s="70"/>
    </row>
    <row r="517" spans="1:15" x14ac:dyDescent="0.25">
      <c r="A517" s="37"/>
      <c r="B517" s="37"/>
      <c r="C517" s="70"/>
      <c r="D517" s="37"/>
      <c r="E517" s="70"/>
      <c r="F517" s="70"/>
      <c r="G517" s="37"/>
      <c r="H517" s="70"/>
      <c r="I517" s="70"/>
      <c r="J517" s="37"/>
      <c r="K517" s="70"/>
      <c r="L517" s="70"/>
      <c r="M517" s="70"/>
      <c r="N517" s="70"/>
      <c r="O517" s="70"/>
    </row>
    <row r="518" spans="1:15" x14ac:dyDescent="0.25">
      <c r="A518" s="37"/>
      <c r="B518" s="37"/>
      <c r="C518" s="70"/>
      <c r="D518" s="37"/>
      <c r="E518" s="70"/>
      <c r="F518" s="70"/>
      <c r="G518" s="37"/>
      <c r="H518" s="70"/>
      <c r="I518" s="70"/>
      <c r="J518" s="37"/>
      <c r="K518" s="70"/>
      <c r="L518" s="70"/>
      <c r="M518" s="70"/>
      <c r="N518" s="70"/>
      <c r="O518" s="70"/>
    </row>
    <row r="519" spans="1:15" x14ac:dyDescent="0.25">
      <c r="A519" s="37"/>
      <c r="B519" s="37"/>
      <c r="C519" s="70"/>
      <c r="D519" s="37"/>
      <c r="E519" s="70"/>
      <c r="F519" s="70"/>
      <c r="G519" s="37"/>
      <c r="H519" s="70"/>
      <c r="I519" s="70"/>
      <c r="J519" s="37"/>
      <c r="K519" s="70"/>
      <c r="L519" s="70"/>
      <c r="M519" s="70"/>
      <c r="N519" s="70"/>
      <c r="O519" s="70"/>
    </row>
    <row r="520" spans="1:15" x14ac:dyDescent="0.25">
      <c r="A520" s="37"/>
      <c r="B520" s="37"/>
      <c r="C520" s="70"/>
      <c r="D520" s="37"/>
      <c r="E520" s="70"/>
      <c r="F520" s="70"/>
      <c r="G520" s="37"/>
      <c r="H520" s="70"/>
      <c r="I520" s="70"/>
      <c r="J520" s="37"/>
      <c r="K520" s="70"/>
      <c r="L520" s="70"/>
      <c r="M520" s="70"/>
      <c r="N520" s="70"/>
      <c r="O520" s="70"/>
    </row>
    <row r="521" spans="1:15" x14ac:dyDescent="0.25">
      <c r="A521" s="37"/>
      <c r="B521" s="37"/>
      <c r="C521" s="70"/>
      <c r="D521" s="37"/>
      <c r="E521" s="70"/>
      <c r="F521" s="70"/>
      <c r="G521" s="37"/>
      <c r="H521" s="70"/>
      <c r="I521" s="70"/>
      <c r="J521" s="37"/>
      <c r="K521" s="70"/>
      <c r="L521" s="70"/>
      <c r="M521" s="70"/>
      <c r="N521" s="70"/>
      <c r="O521" s="70"/>
    </row>
    <row r="522" spans="1:15" x14ac:dyDescent="0.25">
      <c r="A522" s="37"/>
      <c r="B522" s="37"/>
      <c r="C522" s="70"/>
      <c r="D522" s="37"/>
      <c r="E522" s="70"/>
      <c r="F522" s="70"/>
      <c r="G522" s="37"/>
      <c r="H522" s="70"/>
      <c r="I522" s="70"/>
      <c r="J522" s="37"/>
      <c r="K522" s="70"/>
      <c r="L522" s="70"/>
      <c r="M522" s="70"/>
      <c r="N522" s="70"/>
      <c r="O522" s="70"/>
    </row>
    <row r="523" spans="1:15" x14ac:dyDescent="0.25">
      <c r="A523" s="37"/>
      <c r="B523" s="37"/>
      <c r="C523" s="70"/>
      <c r="D523" s="37"/>
      <c r="E523" s="70"/>
      <c r="F523" s="70"/>
      <c r="G523" s="37"/>
      <c r="H523" s="70"/>
      <c r="I523" s="70"/>
      <c r="J523" s="37"/>
      <c r="K523" s="70"/>
      <c r="L523" s="70"/>
      <c r="M523" s="70"/>
      <c r="N523" s="70"/>
      <c r="O523" s="70"/>
    </row>
    <row r="524" spans="1:15" x14ac:dyDescent="0.25">
      <c r="A524" s="37"/>
      <c r="B524" s="37"/>
      <c r="C524" s="70"/>
      <c r="D524" s="37"/>
      <c r="E524" s="70"/>
      <c r="F524" s="70"/>
      <c r="G524" s="37"/>
      <c r="H524" s="70"/>
      <c r="I524" s="70"/>
      <c r="J524" s="37"/>
      <c r="K524" s="70"/>
      <c r="L524" s="70"/>
      <c r="M524" s="70"/>
      <c r="N524" s="70"/>
      <c r="O524" s="70"/>
    </row>
    <row r="525" spans="1:15" x14ac:dyDescent="0.25">
      <c r="A525" s="37"/>
      <c r="B525" s="37"/>
      <c r="C525" s="70"/>
      <c r="D525" s="37"/>
      <c r="E525" s="70"/>
      <c r="F525" s="70"/>
      <c r="G525" s="37"/>
      <c r="H525" s="70"/>
      <c r="I525" s="70"/>
      <c r="J525" s="37"/>
      <c r="K525" s="70"/>
      <c r="L525" s="70"/>
      <c r="M525" s="70"/>
      <c r="N525" s="70"/>
      <c r="O525" s="70"/>
    </row>
    <row r="526" spans="1:15" x14ac:dyDescent="0.25">
      <c r="A526" s="37"/>
      <c r="B526" s="37"/>
      <c r="C526" s="70"/>
      <c r="D526" s="37"/>
      <c r="E526" s="70"/>
      <c r="F526" s="70"/>
      <c r="G526" s="37"/>
      <c r="H526" s="70"/>
      <c r="I526" s="70"/>
      <c r="J526" s="37"/>
      <c r="K526" s="70"/>
      <c r="L526" s="70"/>
      <c r="M526" s="70"/>
      <c r="N526" s="70"/>
      <c r="O526" s="70"/>
    </row>
    <row r="527" spans="1:15" x14ac:dyDescent="0.25">
      <c r="A527" s="37"/>
      <c r="B527" s="37"/>
      <c r="C527" s="70"/>
      <c r="D527" s="37"/>
      <c r="E527" s="70"/>
      <c r="F527" s="70"/>
      <c r="G527" s="37"/>
      <c r="H527" s="70"/>
      <c r="I527" s="70"/>
      <c r="J527" s="37"/>
      <c r="K527" s="70"/>
      <c r="L527" s="70"/>
      <c r="M527" s="70"/>
      <c r="N527" s="70"/>
      <c r="O527" s="70"/>
    </row>
    <row r="528" spans="1:15" x14ac:dyDescent="0.25">
      <c r="A528" s="37"/>
      <c r="B528" s="37"/>
      <c r="C528" s="70"/>
      <c r="D528" s="37"/>
      <c r="E528" s="70"/>
      <c r="F528" s="70"/>
      <c r="G528" s="37"/>
      <c r="H528" s="70"/>
      <c r="I528" s="70"/>
      <c r="J528" s="37"/>
      <c r="K528" s="70"/>
      <c r="L528" s="70"/>
      <c r="M528" s="70"/>
      <c r="N528" s="70"/>
      <c r="O528" s="70"/>
    </row>
    <row r="529" spans="1:15" x14ac:dyDescent="0.25">
      <c r="A529" s="37"/>
      <c r="B529" s="37"/>
      <c r="C529" s="70"/>
      <c r="D529" s="37"/>
      <c r="E529" s="70"/>
      <c r="F529" s="70"/>
      <c r="G529" s="37"/>
      <c r="H529" s="70"/>
      <c r="I529" s="70"/>
      <c r="J529" s="37"/>
      <c r="K529" s="70"/>
      <c r="L529" s="70"/>
      <c r="M529" s="70"/>
      <c r="N529" s="70"/>
      <c r="O529" s="70"/>
    </row>
    <row r="530" spans="1:15" x14ac:dyDescent="0.25">
      <c r="A530" s="37"/>
      <c r="B530" s="37"/>
      <c r="C530" s="70"/>
      <c r="D530" s="37"/>
      <c r="E530" s="70"/>
      <c r="F530" s="70"/>
      <c r="G530" s="37"/>
      <c r="H530" s="70"/>
      <c r="I530" s="70"/>
      <c r="J530" s="37"/>
      <c r="K530" s="70"/>
      <c r="L530" s="70"/>
      <c r="M530" s="70"/>
      <c r="N530" s="70"/>
      <c r="O530" s="70"/>
    </row>
    <row r="531" spans="1:15" x14ac:dyDescent="0.25">
      <c r="A531" s="37"/>
      <c r="B531" s="37"/>
      <c r="C531" s="70"/>
      <c r="D531" s="37"/>
      <c r="E531" s="70"/>
      <c r="F531" s="70"/>
      <c r="G531" s="37"/>
      <c r="H531" s="70"/>
      <c r="I531" s="70"/>
      <c r="J531" s="37"/>
      <c r="K531" s="70"/>
      <c r="L531" s="70"/>
      <c r="M531" s="70"/>
      <c r="N531" s="70"/>
      <c r="O531" s="70"/>
    </row>
    <row r="532" spans="1:15" x14ac:dyDescent="0.25">
      <c r="A532" s="37"/>
      <c r="B532" s="37"/>
      <c r="C532" s="70"/>
      <c r="D532" s="37"/>
      <c r="E532" s="70"/>
      <c r="F532" s="70"/>
      <c r="G532" s="37"/>
      <c r="H532" s="70"/>
      <c r="I532" s="70"/>
      <c r="J532" s="37"/>
      <c r="K532" s="70"/>
      <c r="L532" s="70"/>
      <c r="M532" s="70"/>
      <c r="N532" s="70"/>
      <c r="O532" s="70"/>
    </row>
    <row r="533" spans="1:15" x14ac:dyDescent="0.25">
      <c r="A533" s="37"/>
      <c r="B533" s="37"/>
      <c r="C533" s="70"/>
      <c r="D533" s="37"/>
      <c r="E533" s="70"/>
      <c r="F533" s="70"/>
      <c r="G533" s="37"/>
      <c r="H533" s="70"/>
      <c r="I533" s="70"/>
      <c r="J533" s="37"/>
      <c r="K533" s="70"/>
      <c r="L533" s="70"/>
      <c r="M533" s="70"/>
      <c r="N533" s="70"/>
      <c r="O533" s="70"/>
    </row>
    <row r="534" spans="1:15" x14ac:dyDescent="0.25">
      <c r="A534" s="37"/>
      <c r="B534" s="37"/>
      <c r="C534" s="70"/>
      <c r="D534" s="37"/>
      <c r="E534" s="70"/>
      <c r="F534" s="70"/>
      <c r="G534" s="37"/>
      <c r="H534" s="70"/>
      <c r="I534" s="70"/>
      <c r="J534" s="37"/>
      <c r="K534" s="70"/>
      <c r="L534" s="70"/>
      <c r="M534" s="70"/>
      <c r="N534" s="70"/>
      <c r="O534" s="70"/>
    </row>
    <row r="535" spans="1:15" x14ac:dyDescent="0.25">
      <c r="D535" s="37"/>
      <c r="E535" s="70"/>
      <c r="F535" s="70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7"/>
  <sheetViews>
    <sheetView topLeftCell="B5" workbookViewId="0">
      <pane ySplit="3" topLeftCell="A39" activePane="bottomLeft" state="frozen"/>
      <selection activeCell="A5" sqref="A5"/>
      <selection pane="bottomLeft" activeCell="O55" sqref="O55"/>
    </sheetView>
  </sheetViews>
  <sheetFormatPr baseColWidth="10" defaultRowHeight="15" x14ac:dyDescent="0.25"/>
  <cols>
    <col min="1" max="1" width="7.7109375" style="7" customWidth="1"/>
    <col min="2" max="2" width="8.7109375" style="7" customWidth="1"/>
    <col min="3" max="3" width="23.7109375" customWidth="1"/>
    <col min="4" max="4" width="7.7109375" style="7" customWidth="1"/>
    <col min="5" max="5" width="8.7109375" customWidth="1"/>
    <col min="6" max="6" width="23.7109375" customWidth="1"/>
    <col min="7" max="7" width="7.7109375" style="7" customWidth="1"/>
    <col min="8" max="8" width="8.7109375" customWidth="1"/>
    <col min="9" max="9" width="23.7109375" customWidth="1"/>
    <col min="10" max="10" width="7.7109375" style="7" customWidth="1"/>
    <col min="11" max="11" width="8.7109375" customWidth="1"/>
    <col min="12" max="12" width="23.7109375" customWidth="1"/>
    <col min="13" max="13" width="7.7109375" customWidth="1"/>
    <col min="14" max="14" width="8.85546875" customWidth="1"/>
    <col min="15" max="15" width="23.7109375" customWidth="1"/>
    <col min="16" max="16" width="1" customWidth="1"/>
    <col min="17" max="17" width="9.85546875" customWidth="1"/>
    <col min="18" max="18" width="13.7109375" customWidth="1"/>
  </cols>
  <sheetData>
    <row r="1" spans="1:18" ht="15.75" x14ac:dyDescent="0.25">
      <c r="A1" s="108" t="s">
        <v>10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10" t="s">
        <v>15</v>
      </c>
      <c r="M1" s="110"/>
      <c r="N1" s="6">
        <v>2014</v>
      </c>
      <c r="O1" s="5"/>
    </row>
    <row r="2" spans="1:18" ht="15.75" x14ac:dyDescent="0.25">
      <c r="A2" s="8">
        <v>2013</v>
      </c>
    </row>
    <row r="3" spans="1:18" ht="15.75" x14ac:dyDescent="0.25">
      <c r="A3" s="30" t="s">
        <v>7</v>
      </c>
      <c r="C3" s="116" t="s">
        <v>8</v>
      </c>
      <c r="D3" s="116"/>
      <c r="E3" s="28" t="s">
        <v>9</v>
      </c>
      <c r="F3" s="4" t="e">
        <f>#REF!+#REF!+#REF!+#REF!+#REF!</f>
        <v>#REF!</v>
      </c>
      <c r="H3" s="4" t="s">
        <v>3</v>
      </c>
      <c r="I3" s="2" t="e">
        <f>#REF!+#REF!+#REF!+#REF!+#REF!</f>
        <v>#REF!</v>
      </c>
    </row>
    <row r="5" spans="1:18" x14ac:dyDescent="0.25">
      <c r="A5" s="111" t="s">
        <v>0</v>
      </c>
      <c r="B5" s="111"/>
      <c r="C5" s="111"/>
      <c r="D5" s="112" t="s">
        <v>4</v>
      </c>
      <c r="E5" s="112"/>
      <c r="F5" s="112"/>
      <c r="G5" s="113" t="s">
        <v>5</v>
      </c>
      <c r="H5" s="113"/>
      <c r="I5" s="113"/>
      <c r="J5" s="124" t="s">
        <v>6</v>
      </c>
      <c r="K5" s="124"/>
      <c r="L5" s="124"/>
      <c r="M5" s="125" t="s">
        <v>17</v>
      </c>
      <c r="N5" s="125"/>
      <c r="O5" s="125"/>
      <c r="Q5" s="117" t="s">
        <v>18</v>
      </c>
      <c r="R5" s="117"/>
    </row>
    <row r="6" spans="1:18" x14ac:dyDescent="0.25">
      <c r="A6" s="9">
        <f>SUBTOTAL(3,A8:A121)</f>
        <v>39</v>
      </c>
      <c r="B6" s="9">
        <f>SUBTOTAL(9,B8:B121)</f>
        <v>19165</v>
      </c>
      <c r="C6" s="47">
        <v>42127</v>
      </c>
      <c r="D6" s="9">
        <f>SUBTOTAL(3,D8:D120)</f>
        <v>21</v>
      </c>
      <c r="E6" s="1">
        <f>SUBTOTAL(9,E8:E120)</f>
        <v>8590</v>
      </c>
      <c r="F6" s="50">
        <v>42134</v>
      </c>
      <c r="G6" s="9">
        <f>SUBTOTAL(3,G8:G120)</f>
        <v>55</v>
      </c>
      <c r="H6" s="1">
        <f>SUBTOTAL(9,H8:H120)</f>
        <v>25890</v>
      </c>
      <c r="I6" s="51">
        <v>42141</v>
      </c>
      <c r="J6" s="9">
        <f>SUBTOTAL(3,J8:J110)</f>
        <v>40</v>
      </c>
      <c r="K6" s="1">
        <f>SUBTOTAL(9,K8:K110)</f>
        <v>28110</v>
      </c>
      <c r="L6" s="75">
        <v>42148</v>
      </c>
      <c r="M6" s="1">
        <f>SUBTOTAL(3,M8:M122)</f>
        <v>32</v>
      </c>
      <c r="N6" s="1">
        <f>SUBTOTAL(9,N8:N122)</f>
        <v>25640</v>
      </c>
      <c r="O6" s="97">
        <v>42155</v>
      </c>
      <c r="Q6" s="42">
        <f>+A6+D6+G6+J6+M6</f>
        <v>187</v>
      </c>
      <c r="R6" s="41">
        <f>+B6+E6+H6+K6+N6</f>
        <v>107395</v>
      </c>
    </row>
    <row r="7" spans="1:18" x14ac:dyDescent="0.25">
      <c r="A7" s="48" t="s">
        <v>1</v>
      </c>
      <c r="B7" s="48" t="s">
        <v>3</v>
      </c>
      <c r="C7" s="48" t="s">
        <v>2</v>
      </c>
      <c r="D7" s="49" t="s">
        <v>1</v>
      </c>
      <c r="E7" s="49" t="s">
        <v>3</v>
      </c>
      <c r="F7" s="49" t="s">
        <v>2</v>
      </c>
      <c r="G7" s="52" t="s">
        <v>1</v>
      </c>
      <c r="H7" s="52" t="s">
        <v>3</v>
      </c>
      <c r="I7" s="52" t="s">
        <v>2</v>
      </c>
      <c r="J7" s="72" t="s">
        <v>1</v>
      </c>
      <c r="K7" s="72" t="s">
        <v>3</v>
      </c>
      <c r="L7" s="72" t="s">
        <v>2</v>
      </c>
      <c r="M7" s="53" t="s">
        <v>1</v>
      </c>
      <c r="N7" s="53" t="s">
        <v>3</v>
      </c>
      <c r="O7" s="53" t="s">
        <v>2</v>
      </c>
      <c r="Q7" s="40" t="s">
        <v>9</v>
      </c>
      <c r="R7" s="40" t="s">
        <v>3</v>
      </c>
    </row>
    <row r="8" spans="1:18" x14ac:dyDescent="0.25">
      <c r="A8" s="25">
        <v>9371</v>
      </c>
      <c r="B8" s="61">
        <v>400</v>
      </c>
      <c r="C8" s="26"/>
      <c r="D8" s="20">
        <v>9410</v>
      </c>
      <c r="E8" s="82">
        <v>400</v>
      </c>
      <c r="F8" s="21" t="s">
        <v>145</v>
      </c>
      <c r="G8" s="17">
        <v>9431</v>
      </c>
      <c r="H8" s="79">
        <v>400</v>
      </c>
      <c r="I8" s="18"/>
      <c r="J8" s="73">
        <v>9486</v>
      </c>
      <c r="K8" s="83">
        <v>1200</v>
      </c>
      <c r="L8" s="74" t="s">
        <v>42</v>
      </c>
      <c r="M8" s="87">
        <v>9526</v>
      </c>
      <c r="N8" s="85">
        <v>600</v>
      </c>
      <c r="O8" s="23" t="s">
        <v>260</v>
      </c>
      <c r="Q8" s="44"/>
      <c r="R8" s="44"/>
    </row>
    <row r="9" spans="1:18" x14ac:dyDescent="0.25">
      <c r="A9" s="25">
        <v>9372</v>
      </c>
      <c r="B9" s="61">
        <v>310</v>
      </c>
      <c r="C9" s="26" t="s">
        <v>267</v>
      </c>
      <c r="D9" s="20"/>
      <c r="E9" s="82"/>
      <c r="F9" s="21" t="s">
        <v>27</v>
      </c>
      <c r="G9" s="17">
        <v>9432</v>
      </c>
      <c r="H9" s="79">
        <v>160</v>
      </c>
      <c r="I9" s="18" t="s">
        <v>49</v>
      </c>
      <c r="J9" s="73"/>
      <c r="K9" s="83"/>
      <c r="L9" s="74" t="s">
        <v>25</v>
      </c>
      <c r="M9" s="87"/>
      <c r="N9" s="85"/>
      <c r="O9" s="23" t="s">
        <v>33</v>
      </c>
    </row>
    <row r="10" spans="1:18" x14ac:dyDescent="0.25">
      <c r="A10" s="25">
        <v>9373</v>
      </c>
      <c r="B10" s="61">
        <v>800</v>
      </c>
      <c r="C10" s="26" t="s">
        <v>145</v>
      </c>
      <c r="D10" s="20">
        <v>9411</v>
      </c>
      <c r="E10" s="82">
        <v>600</v>
      </c>
      <c r="F10" s="21" t="s">
        <v>222</v>
      </c>
      <c r="G10" s="17">
        <v>9433</v>
      </c>
      <c r="H10" s="79">
        <v>160</v>
      </c>
      <c r="I10" s="18" t="s">
        <v>49</v>
      </c>
      <c r="J10" s="73">
        <v>9487</v>
      </c>
      <c r="K10" s="83">
        <v>300</v>
      </c>
      <c r="L10" s="74"/>
      <c r="M10" s="87">
        <v>9527</v>
      </c>
      <c r="N10" s="85">
        <v>160</v>
      </c>
      <c r="O10" s="23" t="s">
        <v>293</v>
      </c>
    </row>
    <row r="11" spans="1:18" x14ac:dyDescent="0.25">
      <c r="A11" s="25"/>
      <c r="B11" s="61"/>
      <c r="C11" s="26" t="s">
        <v>25</v>
      </c>
      <c r="D11" s="20">
        <v>9412</v>
      </c>
      <c r="E11" s="82">
        <v>1200</v>
      </c>
      <c r="F11" s="21" t="s">
        <v>272</v>
      </c>
      <c r="G11" s="17">
        <v>9434</v>
      </c>
      <c r="H11" s="79">
        <v>160</v>
      </c>
      <c r="I11" s="18" t="s">
        <v>276</v>
      </c>
      <c r="J11" s="73">
        <v>9488</v>
      </c>
      <c r="K11" s="83">
        <v>560</v>
      </c>
      <c r="L11" s="74" t="s">
        <v>282</v>
      </c>
      <c r="M11" s="87">
        <v>9528</v>
      </c>
      <c r="N11" s="85">
        <v>600</v>
      </c>
      <c r="O11" s="23" t="s">
        <v>294</v>
      </c>
    </row>
    <row r="12" spans="1:18" x14ac:dyDescent="0.25">
      <c r="A12" s="25">
        <v>9374</v>
      </c>
      <c r="B12" s="61">
        <v>800</v>
      </c>
      <c r="C12" s="26" t="s">
        <v>261</v>
      </c>
      <c r="D12" s="20"/>
      <c r="E12" s="82"/>
      <c r="F12" s="21" t="s">
        <v>25</v>
      </c>
      <c r="G12" s="17">
        <v>9435</v>
      </c>
      <c r="H12" s="79">
        <v>400</v>
      </c>
      <c r="I12" s="18"/>
      <c r="J12" s="73"/>
      <c r="K12" s="83"/>
      <c r="L12" s="74" t="s">
        <v>283</v>
      </c>
      <c r="M12" s="87"/>
      <c r="N12" s="85"/>
      <c r="O12" s="23" t="s">
        <v>27</v>
      </c>
    </row>
    <row r="13" spans="1:18" x14ac:dyDescent="0.25">
      <c r="A13" s="25"/>
      <c r="B13" s="61"/>
      <c r="C13" s="26" t="s">
        <v>25</v>
      </c>
      <c r="D13" s="20">
        <v>9413</v>
      </c>
      <c r="E13" s="82">
        <v>400</v>
      </c>
      <c r="F13" s="21"/>
      <c r="G13" s="17">
        <v>9436</v>
      </c>
      <c r="H13" s="79">
        <v>800</v>
      </c>
      <c r="I13" s="18" t="s">
        <v>261</v>
      </c>
      <c r="J13" s="73">
        <v>9489</v>
      </c>
      <c r="K13" s="83">
        <v>400</v>
      </c>
      <c r="L13" s="74" t="s">
        <v>284</v>
      </c>
      <c r="M13" s="87">
        <v>9529</v>
      </c>
      <c r="N13" s="85">
        <v>160</v>
      </c>
      <c r="O13" s="23" t="s">
        <v>293</v>
      </c>
    </row>
    <row r="14" spans="1:18" x14ac:dyDescent="0.25">
      <c r="A14" s="25">
        <v>9375</v>
      </c>
      <c r="B14" s="61">
        <v>800</v>
      </c>
      <c r="C14" s="26" t="s">
        <v>40</v>
      </c>
      <c r="D14" s="20">
        <v>9414</v>
      </c>
      <c r="E14" s="82">
        <v>400</v>
      </c>
      <c r="F14" s="21"/>
      <c r="G14" s="17"/>
      <c r="H14" s="79"/>
      <c r="I14" s="18" t="s">
        <v>25</v>
      </c>
      <c r="J14" s="73">
        <v>9490</v>
      </c>
      <c r="K14" s="83">
        <v>160</v>
      </c>
      <c r="L14" s="74" t="s">
        <v>23</v>
      </c>
      <c r="M14" s="87">
        <v>9530</v>
      </c>
      <c r="N14" s="85">
        <v>1120</v>
      </c>
      <c r="O14" s="43" t="s">
        <v>145</v>
      </c>
    </row>
    <row r="15" spans="1:18" x14ac:dyDescent="0.25">
      <c r="A15" s="25"/>
      <c r="B15" s="61"/>
      <c r="C15" s="26" t="s">
        <v>27</v>
      </c>
      <c r="D15" s="20">
        <v>9415</v>
      </c>
      <c r="E15" s="82">
        <v>400</v>
      </c>
      <c r="F15" s="21"/>
      <c r="G15" s="17">
        <v>9437</v>
      </c>
      <c r="H15" s="79">
        <v>400</v>
      </c>
      <c r="I15" s="18"/>
      <c r="J15" s="73"/>
      <c r="K15" s="83"/>
      <c r="L15" s="105">
        <v>7137</v>
      </c>
      <c r="M15" s="87"/>
      <c r="N15" s="85"/>
      <c r="O15" s="23" t="s">
        <v>295</v>
      </c>
    </row>
    <row r="16" spans="1:18" x14ac:dyDescent="0.25">
      <c r="A16" s="25">
        <v>9376</v>
      </c>
      <c r="B16" s="61">
        <v>800</v>
      </c>
      <c r="C16" s="26" t="s">
        <v>261</v>
      </c>
      <c r="D16" s="20">
        <v>9416</v>
      </c>
      <c r="E16" s="82">
        <v>200</v>
      </c>
      <c r="F16" s="21"/>
      <c r="G16" s="17">
        <v>9438</v>
      </c>
      <c r="H16" s="79">
        <v>300</v>
      </c>
      <c r="I16" s="18"/>
      <c r="J16" s="73">
        <v>9491</v>
      </c>
      <c r="K16" s="83">
        <v>150</v>
      </c>
      <c r="L16" s="74"/>
      <c r="M16" s="87">
        <v>9531</v>
      </c>
      <c r="N16" s="85">
        <v>200</v>
      </c>
      <c r="O16" s="23" t="s">
        <v>222</v>
      </c>
    </row>
    <row r="17" spans="1:15" x14ac:dyDescent="0.25">
      <c r="A17" s="25"/>
      <c r="B17" s="61"/>
      <c r="C17" s="26" t="s">
        <v>25</v>
      </c>
      <c r="D17" s="20">
        <v>9417</v>
      </c>
      <c r="E17" s="82">
        <v>500</v>
      </c>
      <c r="F17" s="21" t="s">
        <v>273</v>
      </c>
      <c r="G17" s="17">
        <v>9439</v>
      </c>
      <c r="H17" s="79">
        <v>400</v>
      </c>
      <c r="I17" s="18" t="s">
        <v>222</v>
      </c>
      <c r="J17" s="73">
        <v>9492</v>
      </c>
      <c r="K17" s="83">
        <v>1600</v>
      </c>
      <c r="L17" s="74" t="s">
        <v>285</v>
      </c>
      <c r="M17" s="87">
        <v>9532</v>
      </c>
      <c r="N17" s="85">
        <v>200</v>
      </c>
      <c r="O17" s="23" t="s">
        <v>274</v>
      </c>
    </row>
    <row r="18" spans="1:15" x14ac:dyDescent="0.25">
      <c r="A18" s="25">
        <v>9377</v>
      </c>
      <c r="B18" s="61">
        <v>125</v>
      </c>
      <c r="C18" s="26"/>
      <c r="D18" s="20"/>
      <c r="E18" s="82"/>
      <c r="F18" s="45" t="s">
        <v>81</v>
      </c>
      <c r="G18" s="17">
        <v>9440</v>
      </c>
      <c r="H18" s="79">
        <v>400</v>
      </c>
      <c r="I18" s="18"/>
      <c r="J18" s="73"/>
      <c r="K18" s="83"/>
      <c r="L18" s="74" t="s">
        <v>25</v>
      </c>
      <c r="M18" s="87">
        <v>9533</v>
      </c>
      <c r="N18" s="85">
        <v>800</v>
      </c>
      <c r="O18" s="23" t="s">
        <v>261</v>
      </c>
    </row>
    <row r="19" spans="1:15" x14ac:dyDescent="0.25">
      <c r="A19" s="25">
        <v>9378</v>
      </c>
      <c r="B19" s="61">
        <v>400</v>
      </c>
      <c r="C19" s="26" t="s">
        <v>229</v>
      </c>
      <c r="D19" s="20">
        <v>9418</v>
      </c>
      <c r="E19" s="82">
        <v>400</v>
      </c>
      <c r="F19" s="21" t="s">
        <v>274</v>
      </c>
      <c r="G19" s="17">
        <v>9441</v>
      </c>
      <c r="H19" s="79">
        <v>200</v>
      </c>
      <c r="I19" s="18"/>
      <c r="J19" s="73">
        <v>9493</v>
      </c>
      <c r="K19" s="83">
        <v>2880</v>
      </c>
      <c r="L19" s="74" t="s">
        <v>187</v>
      </c>
      <c r="M19" s="87"/>
      <c r="N19" s="85"/>
      <c r="O19" s="23" t="s">
        <v>296</v>
      </c>
    </row>
    <row r="20" spans="1:15" x14ac:dyDescent="0.25">
      <c r="A20" s="25">
        <v>9379</v>
      </c>
      <c r="B20" s="61">
        <v>200</v>
      </c>
      <c r="C20" s="26"/>
      <c r="D20" s="20">
        <v>9419</v>
      </c>
      <c r="E20" s="82">
        <v>160</v>
      </c>
      <c r="F20" s="21" t="s">
        <v>23</v>
      </c>
      <c r="G20" s="17">
        <v>9442</v>
      </c>
      <c r="H20" s="79">
        <v>400</v>
      </c>
      <c r="I20" s="18" t="s">
        <v>222</v>
      </c>
      <c r="J20" s="73"/>
      <c r="K20" s="83"/>
      <c r="L20" s="74" t="s">
        <v>286</v>
      </c>
      <c r="M20" s="87">
        <v>9534</v>
      </c>
      <c r="N20" s="85">
        <v>800</v>
      </c>
      <c r="O20" s="23" t="s">
        <v>260</v>
      </c>
    </row>
    <row r="21" spans="1:15" x14ac:dyDescent="0.25">
      <c r="A21" s="25">
        <v>9380</v>
      </c>
      <c r="B21" s="61">
        <v>300</v>
      </c>
      <c r="C21" s="26"/>
      <c r="D21" s="20">
        <v>9420</v>
      </c>
      <c r="E21" s="82">
        <v>200</v>
      </c>
      <c r="F21" s="21"/>
      <c r="G21" s="17">
        <v>9443</v>
      </c>
      <c r="H21" s="79">
        <v>560</v>
      </c>
      <c r="I21" s="18" t="s">
        <v>277</v>
      </c>
      <c r="J21" s="73"/>
      <c r="K21" s="83"/>
      <c r="L21" s="74" t="s">
        <v>287</v>
      </c>
      <c r="M21" s="87"/>
      <c r="N21" s="85"/>
      <c r="O21" s="23" t="s">
        <v>25</v>
      </c>
    </row>
    <row r="22" spans="1:15" x14ac:dyDescent="0.25">
      <c r="A22" s="25">
        <v>9381</v>
      </c>
      <c r="B22" s="61">
        <v>160</v>
      </c>
      <c r="C22" s="26" t="s">
        <v>23</v>
      </c>
      <c r="D22" s="20">
        <v>9421</v>
      </c>
      <c r="E22" s="82">
        <v>400</v>
      </c>
      <c r="F22" s="21"/>
      <c r="G22" s="17"/>
      <c r="H22" s="79"/>
      <c r="I22" s="18" t="s">
        <v>278</v>
      </c>
      <c r="J22" s="73"/>
      <c r="K22" s="83"/>
      <c r="L22" s="74" t="s">
        <v>288</v>
      </c>
      <c r="M22" s="87">
        <v>9535</v>
      </c>
      <c r="N22" s="85">
        <v>300</v>
      </c>
      <c r="O22" s="23" t="s">
        <v>274</v>
      </c>
    </row>
    <row r="23" spans="1:15" x14ac:dyDescent="0.25">
      <c r="A23" s="25"/>
      <c r="B23" s="61"/>
      <c r="C23" s="26" t="s">
        <v>268</v>
      </c>
      <c r="D23" s="20">
        <v>9422</v>
      </c>
      <c r="E23" s="82">
        <v>400</v>
      </c>
      <c r="F23" s="21"/>
      <c r="G23" s="17">
        <v>9444</v>
      </c>
      <c r="H23" s="79">
        <v>560</v>
      </c>
      <c r="I23" s="18" t="s">
        <v>277</v>
      </c>
      <c r="J23" s="73">
        <v>9494</v>
      </c>
      <c r="K23" s="83">
        <v>400</v>
      </c>
      <c r="L23" s="74"/>
      <c r="M23" s="87">
        <v>9536</v>
      </c>
      <c r="N23" s="85">
        <v>800</v>
      </c>
      <c r="O23" s="23" t="s">
        <v>260</v>
      </c>
    </row>
    <row r="24" spans="1:15" x14ac:dyDescent="0.25">
      <c r="A24" s="25">
        <v>9382</v>
      </c>
      <c r="B24" s="61">
        <v>400</v>
      </c>
      <c r="C24" s="26"/>
      <c r="D24" s="20">
        <v>9423</v>
      </c>
      <c r="E24" s="82">
        <v>300</v>
      </c>
      <c r="F24" s="21"/>
      <c r="G24" s="17"/>
      <c r="H24" s="79"/>
      <c r="I24" s="18" t="s">
        <v>279</v>
      </c>
      <c r="J24" s="73">
        <v>9495</v>
      </c>
      <c r="K24" s="83">
        <v>300</v>
      </c>
      <c r="L24" s="74"/>
      <c r="M24" s="87"/>
      <c r="N24" s="85"/>
      <c r="O24" s="23" t="s">
        <v>25</v>
      </c>
    </row>
    <row r="25" spans="1:15" x14ac:dyDescent="0.25">
      <c r="A25" s="25">
        <v>9383</v>
      </c>
      <c r="B25" s="61">
        <v>400</v>
      </c>
      <c r="C25" s="26"/>
      <c r="D25" s="20">
        <v>9424</v>
      </c>
      <c r="E25" s="82">
        <v>400</v>
      </c>
      <c r="F25" s="21" t="s">
        <v>222</v>
      </c>
      <c r="G25" s="17">
        <v>9445</v>
      </c>
      <c r="H25" s="79">
        <v>800</v>
      </c>
      <c r="I25" s="18" t="s">
        <v>261</v>
      </c>
      <c r="J25" s="73">
        <v>9496</v>
      </c>
      <c r="K25" s="83">
        <v>800</v>
      </c>
      <c r="L25" s="74" t="s">
        <v>261</v>
      </c>
      <c r="M25" s="87">
        <v>9537</v>
      </c>
      <c r="N25" s="85">
        <v>400</v>
      </c>
      <c r="O25" s="23" t="s">
        <v>274</v>
      </c>
    </row>
    <row r="26" spans="1:15" x14ac:dyDescent="0.25">
      <c r="A26" s="25">
        <v>9384</v>
      </c>
      <c r="B26" s="61">
        <v>400</v>
      </c>
      <c r="C26" s="26"/>
      <c r="D26" s="20">
        <v>9425</v>
      </c>
      <c r="E26" s="82">
        <v>400</v>
      </c>
      <c r="F26" s="21" t="s">
        <v>222</v>
      </c>
      <c r="G26" s="17"/>
      <c r="H26" s="79"/>
      <c r="I26" s="18" t="s">
        <v>25</v>
      </c>
      <c r="J26" s="73"/>
      <c r="K26" s="83"/>
      <c r="L26" s="74" t="s">
        <v>25</v>
      </c>
      <c r="M26" s="87">
        <v>9538</v>
      </c>
      <c r="N26" s="85">
        <v>400</v>
      </c>
      <c r="O26" s="23" t="s">
        <v>229</v>
      </c>
    </row>
    <row r="27" spans="1:15" x14ac:dyDescent="0.25">
      <c r="A27" s="25">
        <v>9385</v>
      </c>
      <c r="B27" s="61">
        <v>400</v>
      </c>
      <c r="C27" s="26"/>
      <c r="D27" s="20">
        <v>9426</v>
      </c>
      <c r="E27" s="82">
        <v>480</v>
      </c>
      <c r="F27" s="21" t="s">
        <v>275</v>
      </c>
      <c r="G27" s="17">
        <v>9446</v>
      </c>
      <c r="H27" s="79">
        <v>400</v>
      </c>
      <c r="I27" s="18" t="s">
        <v>261</v>
      </c>
      <c r="J27" s="73">
        <v>9497</v>
      </c>
      <c r="K27" s="83">
        <v>1200</v>
      </c>
      <c r="L27" s="74" t="s">
        <v>271</v>
      </c>
      <c r="M27" s="87">
        <v>9539</v>
      </c>
      <c r="N27" s="85">
        <v>300</v>
      </c>
      <c r="O27" s="43" t="s">
        <v>248</v>
      </c>
    </row>
    <row r="28" spans="1:15" x14ac:dyDescent="0.25">
      <c r="A28" s="25">
        <v>9386</v>
      </c>
      <c r="B28" s="61">
        <v>1800</v>
      </c>
      <c r="C28" s="26" t="s">
        <v>269</v>
      </c>
      <c r="D28" s="20">
        <v>9427</v>
      </c>
      <c r="E28" s="82">
        <v>300</v>
      </c>
      <c r="F28" s="21"/>
      <c r="G28" s="17"/>
      <c r="H28" s="79"/>
      <c r="I28" s="18" t="s">
        <v>27</v>
      </c>
      <c r="J28" s="73"/>
      <c r="K28" s="83"/>
      <c r="L28" s="74" t="s">
        <v>33</v>
      </c>
      <c r="M28" s="87">
        <v>9540</v>
      </c>
      <c r="N28" s="85">
        <v>400</v>
      </c>
      <c r="O28" s="23" t="s">
        <v>274</v>
      </c>
    </row>
    <row r="29" spans="1:15" x14ac:dyDescent="0.25">
      <c r="A29" s="25"/>
      <c r="B29" s="61"/>
      <c r="C29" s="26" t="s">
        <v>270</v>
      </c>
      <c r="D29" s="20">
        <v>9428</v>
      </c>
      <c r="E29" s="82">
        <v>350</v>
      </c>
      <c r="F29" s="21"/>
      <c r="G29" s="17">
        <v>9447</v>
      </c>
      <c r="H29" s="79">
        <v>300</v>
      </c>
      <c r="I29" s="18"/>
      <c r="J29" s="73">
        <v>9498</v>
      </c>
      <c r="K29" s="83">
        <v>800</v>
      </c>
      <c r="L29" s="74" t="s">
        <v>261</v>
      </c>
      <c r="M29" s="87">
        <v>9541</v>
      </c>
      <c r="N29" s="85">
        <v>400</v>
      </c>
      <c r="O29" s="23" t="s">
        <v>145</v>
      </c>
    </row>
    <row r="30" spans="1:15" x14ac:dyDescent="0.25">
      <c r="A30" s="25"/>
      <c r="B30" s="61"/>
      <c r="C30" s="26" t="s">
        <v>27</v>
      </c>
      <c r="D30" s="20">
        <v>9429</v>
      </c>
      <c r="E30" s="82">
        <v>400</v>
      </c>
      <c r="F30" s="21" t="s">
        <v>222</v>
      </c>
      <c r="G30" s="17">
        <v>9448</v>
      </c>
      <c r="H30" s="79">
        <v>400</v>
      </c>
      <c r="I30" s="18"/>
      <c r="J30" s="73"/>
      <c r="K30" s="83"/>
      <c r="L30" s="74" t="s">
        <v>25</v>
      </c>
      <c r="M30" s="87"/>
      <c r="N30" s="85"/>
      <c r="O30" s="23" t="s">
        <v>27</v>
      </c>
    </row>
    <row r="31" spans="1:15" x14ac:dyDescent="0.25">
      <c r="A31" s="25">
        <v>9387</v>
      </c>
      <c r="B31" s="61">
        <v>400</v>
      </c>
      <c r="C31" s="26"/>
      <c r="D31" s="20">
        <v>9430</v>
      </c>
      <c r="E31" s="82">
        <v>300</v>
      </c>
      <c r="F31" s="21"/>
      <c r="G31" s="17">
        <v>9449</v>
      </c>
      <c r="H31" s="79">
        <v>400</v>
      </c>
      <c r="I31" s="18"/>
      <c r="J31" s="73">
        <v>9499</v>
      </c>
      <c r="K31" s="83">
        <v>1600</v>
      </c>
      <c r="L31" s="74" t="s">
        <v>271</v>
      </c>
      <c r="M31" s="87">
        <v>9542</v>
      </c>
      <c r="N31" s="85">
        <v>400</v>
      </c>
      <c r="O31" s="23" t="s">
        <v>248</v>
      </c>
    </row>
    <row r="32" spans="1:15" x14ac:dyDescent="0.25">
      <c r="A32" s="25">
        <v>9388</v>
      </c>
      <c r="B32" s="61">
        <v>800</v>
      </c>
      <c r="C32" s="26" t="s">
        <v>261</v>
      </c>
      <c r="D32" s="20"/>
      <c r="E32" s="82"/>
      <c r="F32" s="21"/>
      <c r="G32" s="17">
        <v>9450</v>
      </c>
      <c r="H32" s="79">
        <v>400</v>
      </c>
      <c r="I32" s="18"/>
      <c r="J32" s="73"/>
      <c r="K32" s="83"/>
      <c r="L32" s="74" t="s">
        <v>25</v>
      </c>
      <c r="M32" s="87">
        <v>9543</v>
      </c>
      <c r="N32" s="85">
        <v>400</v>
      </c>
      <c r="O32" s="23" t="s">
        <v>248</v>
      </c>
    </row>
    <row r="33" spans="1:15" x14ac:dyDescent="0.25">
      <c r="A33" s="25"/>
      <c r="B33" s="61"/>
      <c r="C33" s="26" t="s">
        <v>25</v>
      </c>
      <c r="D33" s="20"/>
      <c r="E33" s="82"/>
      <c r="F33" s="21"/>
      <c r="G33" s="17">
        <v>9451</v>
      </c>
      <c r="H33" s="79">
        <v>200</v>
      </c>
      <c r="I33" s="18" t="s">
        <v>261</v>
      </c>
      <c r="J33" s="73">
        <v>9500</v>
      </c>
      <c r="K33" s="83"/>
      <c r="L33" s="74" t="s">
        <v>289</v>
      </c>
      <c r="M33" s="87">
        <v>9544</v>
      </c>
      <c r="N33" s="85">
        <v>300</v>
      </c>
      <c r="O33" s="23" t="s">
        <v>248</v>
      </c>
    </row>
    <row r="34" spans="1:15" x14ac:dyDescent="0.25">
      <c r="A34" s="25">
        <v>9389</v>
      </c>
      <c r="B34" s="61">
        <v>400</v>
      </c>
      <c r="C34" s="26" t="s">
        <v>222</v>
      </c>
      <c r="D34" s="20"/>
      <c r="E34" s="82"/>
      <c r="F34" s="21"/>
      <c r="G34" s="17"/>
      <c r="H34" s="79"/>
      <c r="I34" s="18" t="s">
        <v>86</v>
      </c>
      <c r="J34" s="73"/>
      <c r="K34" s="83"/>
      <c r="L34" s="74" t="s">
        <v>290</v>
      </c>
      <c r="M34" s="87">
        <v>9545</v>
      </c>
      <c r="N34" s="85">
        <v>200</v>
      </c>
      <c r="O34" s="43" t="s">
        <v>274</v>
      </c>
    </row>
    <row r="35" spans="1:15" x14ac:dyDescent="0.25">
      <c r="A35" s="25">
        <v>9390</v>
      </c>
      <c r="B35" s="61">
        <v>800</v>
      </c>
      <c r="C35" s="26" t="s">
        <v>261</v>
      </c>
      <c r="D35" s="20"/>
      <c r="E35" s="82"/>
      <c r="F35" s="21"/>
      <c r="G35" s="17">
        <v>9452</v>
      </c>
      <c r="H35" s="79">
        <v>300</v>
      </c>
      <c r="I35" s="18"/>
      <c r="J35" s="73">
        <v>9501</v>
      </c>
      <c r="K35" s="83">
        <v>200</v>
      </c>
      <c r="L35" s="74" t="s">
        <v>229</v>
      </c>
      <c r="M35" s="87">
        <v>9546</v>
      </c>
      <c r="N35" s="85">
        <v>560</v>
      </c>
      <c r="O35" s="23" t="s">
        <v>297</v>
      </c>
    </row>
    <row r="36" spans="1:15" x14ac:dyDescent="0.25">
      <c r="A36" s="25"/>
      <c r="B36" s="61"/>
      <c r="C36" s="26" t="s">
        <v>25</v>
      </c>
      <c r="D36" s="20"/>
      <c r="E36" s="82"/>
      <c r="F36" s="21"/>
      <c r="G36" s="17">
        <v>9453</v>
      </c>
      <c r="H36" s="79">
        <v>1600</v>
      </c>
      <c r="I36" s="18" t="s">
        <v>40</v>
      </c>
      <c r="J36" s="73">
        <v>9502</v>
      </c>
      <c r="K36" s="83">
        <v>400</v>
      </c>
      <c r="L36" s="74"/>
      <c r="M36" s="87">
        <v>9547</v>
      </c>
      <c r="N36" s="85">
        <v>400</v>
      </c>
      <c r="O36" s="23"/>
    </row>
    <row r="37" spans="1:15" x14ac:dyDescent="0.25">
      <c r="A37" s="25">
        <v>9391</v>
      </c>
      <c r="B37" s="61">
        <v>600</v>
      </c>
      <c r="C37" s="26" t="s">
        <v>261</v>
      </c>
      <c r="D37" s="20"/>
      <c r="E37" s="82"/>
      <c r="F37" s="21"/>
      <c r="G37" s="17"/>
      <c r="H37" s="79"/>
      <c r="I37" s="18" t="s">
        <v>25</v>
      </c>
      <c r="J37" s="73">
        <v>9503</v>
      </c>
      <c r="K37" s="83">
        <v>400</v>
      </c>
      <c r="L37" s="74"/>
      <c r="M37" s="87">
        <v>9548</v>
      </c>
      <c r="N37" s="85">
        <v>400</v>
      </c>
      <c r="O37" s="23"/>
    </row>
    <row r="38" spans="1:15" x14ac:dyDescent="0.25">
      <c r="A38" s="25"/>
      <c r="B38" s="61"/>
      <c r="C38" s="26" t="s">
        <v>33</v>
      </c>
      <c r="D38" s="20"/>
      <c r="E38" s="82"/>
      <c r="F38" s="21"/>
      <c r="G38" s="17">
        <v>9454</v>
      </c>
      <c r="H38" s="79">
        <v>400</v>
      </c>
      <c r="I38" s="18"/>
      <c r="J38" s="73">
        <v>9504</v>
      </c>
      <c r="K38" s="83">
        <v>150</v>
      </c>
      <c r="L38" s="74"/>
      <c r="M38" s="87">
        <v>9549</v>
      </c>
      <c r="N38" s="85">
        <v>300</v>
      </c>
      <c r="O38" s="23"/>
    </row>
    <row r="39" spans="1:15" x14ac:dyDescent="0.25">
      <c r="A39" s="25">
        <v>9392</v>
      </c>
      <c r="B39" s="61">
        <v>400</v>
      </c>
      <c r="C39" s="26" t="s">
        <v>271</v>
      </c>
      <c r="D39" s="20"/>
      <c r="E39" s="82"/>
      <c r="F39" s="21"/>
      <c r="G39" s="17">
        <v>9455</v>
      </c>
      <c r="H39" s="79">
        <v>200</v>
      </c>
      <c r="I39" s="18"/>
      <c r="J39" s="73">
        <v>9505</v>
      </c>
      <c r="K39" s="83">
        <v>200</v>
      </c>
      <c r="L39" s="74"/>
      <c r="M39" s="87">
        <v>9550</v>
      </c>
      <c r="N39" s="85">
        <v>400</v>
      </c>
      <c r="O39" s="23" t="s">
        <v>261</v>
      </c>
    </row>
    <row r="40" spans="1:15" x14ac:dyDescent="0.25">
      <c r="A40" s="25"/>
      <c r="B40" s="61"/>
      <c r="C40" s="26" t="s">
        <v>86</v>
      </c>
      <c r="D40" s="20"/>
      <c r="E40" s="82"/>
      <c r="F40" s="21"/>
      <c r="G40" s="17">
        <v>9456</v>
      </c>
      <c r="H40" s="79">
        <v>200</v>
      </c>
      <c r="I40" s="18"/>
      <c r="J40" s="73">
        <v>9506</v>
      </c>
      <c r="K40" s="83">
        <v>800</v>
      </c>
      <c r="L40" s="74" t="s">
        <v>261</v>
      </c>
      <c r="M40" s="87"/>
      <c r="N40" s="85"/>
      <c r="O40" s="23" t="s">
        <v>27</v>
      </c>
    </row>
    <row r="41" spans="1:15" x14ac:dyDescent="0.25">
      <c r="A41" s="25">
        <v>9393</v>
      </c>
      <c r="B41" s="61">
        <v>400</v>
      </c>
      <c r="C41" s="26"/>
      <c r="D41" s="20"/>
      <c r="E41" s="82"/>
      <c r="F41" s="21"/>
      <c r="G41" s="17">
        <v>9457</v>
      </c>
      <c r="H41" s="79">
        <v>800</v>
      </c>
      <c r="I41" s="18" t="s">
        <v>261</v>
      </c>
      <c r="J41" s="73"/>
      <c r="K41" s="83"/>
      <c r="L41" s="74" t="s">
        <v>25</v>
      </c>
      <c r="M41" s="87">
        <v>9551</v>
      </c>
      <c r="N41" s="85">
        <v>800</v>
      </c>
      <c r="O41" s="23" t="s">
        <v>145</v>
      </c>
    </row>
    <row r="42" spans="1:15" x14ac:dyDescent="0.25">
      <c r="A42" s="25">
        <v>9394</v>
      </c>
      <c r="B42" s="61">
        <v>400</v>
      </c>
      <c r="C42" s="26" t="s">
        <v>222</v>
      </c>
      <c r="D42" s="20"/>
      <c r="E42" s="82"/>
      <c r="F42" s="21"/>
      <c r="G42" s="17"/>
      <c r="H42" s="79"/>
      <c r="I42" s="18" t="s">
        <v>25</v>
      </c>
      <c r="J42" s="73">
        <v>9507</v>
      </c>
      <c r="K42" s="83">
        <v>1200</v>
      </c>
      <c r="L42" s="74" t="s">
        <v>232</v>
      </c>
      <c r="M42" s="87"/>
      <c r="N42" s="85"/>
      <c r="O42" s="23" t="s">
        <v>25</v>
      </c>
    </row>
    <row r="43" spans="1:15" x14ac:dyDescent="0.25">
      <c r="A43" s="25">
        <v>9395</v>
      </c>
      <c r="B43" s="61">
        <v>400</v>
      </c>
      <c r="C43" s="26" t="s">
        <v>114</v>
      </c>
      <c r="D43" s="20"/>
      <c r="E43" s="82"/>
      <c r="F43" s="21"/>
      <c r="G43" s="17">
        <v>9458</v>
      </c>
      <c r="H43" s="79">
        <v>400</v>
      </c>
      <c r="I43" s="18"/>
      <c r="J43" s="73"/>
      <c r="K43" s="83"/>
      <c r="L43" s="74" t="s">
        <v>25</v>
      </c>
      <c r="M43" s="87">
        <v>9552</v>
      </c>
      <c r="N43" s="85">
        <v>400</v>
      </c>
      <c r="O43" s="23"/>
    </row>
    <row r="44" spans="1:15" x14ac:dyDescent="0.25">
      <c r="A44" s="25">
        <v>9396</v>
      </c>
      <c r="B44" s="61">
        <v>400</v>
      </c>
      <c r="C44" s="26"/>
      <c r="D44" s="20"/>
      <c r="E44" s="82"/>
      <c r="F44" s="21"/>
      <c r="G44" s="17">
        <v>9459</v>
      </c>
      <c r="H44" s="79">
        <v>800</v>
      </c>
      <c r="I44" s="18" t="s">
        <v>145</v>
      </c>
      <c r="J44" s="73">
        <v>9508</v>
      </c>
      <c r="K44" s="83">
        <v>300</v>
      </c>
      <c r="L44" s="74"/>
      <c r="M44" s="87">
        <v>9553</v>
      </c>
      <c r="N44" s="85">
        <v>600</v>
      </c>
      <c r="O44" s="23" t="s">
        <v>145</v>
      </c>
    </row>
    <row r="45" spans="1:15" x14ac:dyDescent="0.25">
      <c r="A45" s="25">
        <v>9397</v>
      </c>
      <c r="B45" s="61">
        <v>400</v>
      </c>
      <c r="C45" s="26"/>
      <c r="D45" s="20"/>
      <c r="E45" s="82"/>
      <c r="F45" s="21"/>
      <c r="G45" s="17"/>
      <c r="H45" s="79"/>
      <c r="I45" s="18" t="s">
        <v>25</v>
      </c>
      <c r="J45" s="73">
        <v>9509</v>
      </c>
      <c r="K45" s="83">
        <v>1200</v>
      </c>
      <c r="L45" s="74" t="s">
        <v>285</v>
      </c>
      <c r="M45" s="87"/>
      <c r="N45" s="85"/>
      <c r="O45" s="23" t="s">
        <v>33</v>
      </c>
    </row>
    <row r="46" spans="1:15" x14ac:dyDescent="0.25">
      <c r="A46" s="25">
        <v>9398</v>
      </c>
      <c r="B46" s="61">
        <v>600</v>
      </c>
      <c r="C46" s="26" t="s">
        <v>272</v>
      </c>
      <c r="D46" s="20"/>
      <c r="E46" s="82"/>
      <c r="F46" s="21"/>
      <c r="G46" s="17">
        <v>9460</v>
      </c>
      <c r="H46" s="79">
        <v>400</v>
      </c>
      <c r="I46" s="18"/>
      <c r="J46" s="73"/>
      <c r="K46" s="83"/>
      <c r="L46" s="74" t="s">
        <v>25</v>
      </c>
      <c r="M46" s="87">
        <v>9554</v>
      </c>
      <c r="N46" s="85">
        <v>880</v>
      </c>
      <c r="O46" s="23" t="s">
        <v>298</v>
      </c>
    </row>
    <row r="47" spans="1:15" x14ac:dyDescent="0.25">
      <c r="A47" s="25"/>
      <c r="B47" s="61"/>
      <c r="C47" s="26" t="s">
        <v>27</v>
      </c>
      <c r="D47" s="20"/>
      <c r="E47" s="82"/>
      <c r="F47" s="21"/>
      <c r="G47" s="17">
        <v>9461</v>
      </c>
      <c r="H47" s="79">
        <v>400</v>
      </c>
      <c r="I47" s="18"/>
      <c r="J47" s="73">
        <v>9510</v>
      </c>
      <c r="K47" s="83">
        <v>300</v>
      </c>
      <c r="L47" s="74"/>
      <c r="M47" s="87"/>
      <c r="N47" s="85"/>
      <c r="O47" s="23" t="s">
        <v>299</v>
      </c>
    </row>
    <row r="48" spans="1:15" x14ac:dyDescent="0.25">
      <c r="A48" s="25">
        <v>9399</v>
      </c>
      <c r="B48" s="61">
        <v>400</v>
      </c>
      <c r="C48" s="26" t="s">
        <v>222</v>
      </c>
      <c r="D48" s="20"/>
      <c r="E48" s="82"/>
      <c r="F48" s="21"/>
      <c r="G48" s="17">
        <v>9462</v>
      </c>
      <c r="H48" s="79">
        <v>300</v>
      </c>
      <c r="I48" s="18"/>
      <c r="J48" s="73">
        <v>9511</v>
      </c>
      <c r="K48" s="83">
        <v>800</v>
      </c>
      <c r="L48" s="74" t="s">
        <v>260</v>
      </c>
      <c r="M48" s="87"/>
      <c r="N48" s="85"/>
      <c r="O48" s="23" t="s">
        <v>300</v>
      </c>
    </row>
    <row r="49" spans="1:15" x14ac:dyDescent="0.25">
      <c r="A49" s="25">
        <v>9400</v>
      </c>
      <c r="B49" s="61">
        <v>400</v>
      </c>
      <c r="C49" s="26"/>
      <c r="D49" s="20"/>
      <c r="E49" s="82"/>
      <c r="F49" s="21"/>
      <c r="G49" s="17">
        <v>9463</v>
      </c>
      <c r="H49" s="79">
        <v>300</v>
      </c>
      <c r="I49" s="18"/>
      <c r="J49" s="73"/>
      <c r="K49" s="83"/>
      <c r="L49" s="74" t="s">
        <v>25</v>
      </c>
      <c r="M49" s="87">
        <v>9555</v>
      </c>
      <c r="N49" s="85">
        <v>160</v>
      </c>
      <c r="O49" s="23" t="s">
        <v>49</v>
      </c>
    </row>
    <row r="50" spans="1:15" x14ac:dyDescent="0.25">
      <c r="A50" s="25">
        <v>9401</v>
      </c>
      <c r="B50" s="61">
        <v>400</v>
      </c>
      <c r="C50" s="26"/>
      <c r="D50" s="20"/>
      <c r="E50" s="82"/>
      <c r="F50" s="21"/>
      <c r="G50" s="17">
        <v>9464</v>
      </c>
      <c r="H50" s="79">
        <v>560</v>
      </c>
      <c r="I50" s="18" t="s">
        <v>277</v>
      </c>
      <c r="J50" s="73">
        <v>9512</v>
      </c>
      <c r="K50" s="83">
        <v>600</v>
      </c>
      <c r="L50" s="74" t="s">
        <v>259</v>
      </c>
      <c r="M50" s="107">
        <v>9612</v>
      </c>
      <c r="N50" s="85">
        <v>400</v>
      </c>
      <c r="O50" s="23" t="s">
        <v>248</v>
      </c>
    </row>
    <row r="51" spans="1:15" x14ac:dyDescent="0.25">
      <c r="A51" s="25">
        <v>9402</v>
      </c>
      <c r="B51" s="61">
        <v>400</v>
      </c>
      <c r="C51" s="26" t="s">
        <v>261</v>
      </c>
      <c r="D51" s="20"/>
      <c r="E51" s="82"/>
      <c r="F51" s="21"/>
      <c r="G51" s="17"/>
      <c r="H51" s="79"/>
      <c r="I51" s="18" t="s">
        <v>280</v>
      </c>
      <c r="J51" s="73"/>
      <c r="K51" s="83"/>
      <c r="L51" s="74" t="s">
        <v>27</v>
      </c>
      <c r="M51" s="87"/>
      <c r="N51" s="85"/>
      <c r="O51" s="23" t="s">
        <v>307</v>
      </c>
    </row>
    <row r="52" spans="1:15" x14ac:dyDescent="0.25">
      <c r="A52" s="25"/>
      <c r="B52" s="61"/>
      <c r="C52" s="26" t="s">
        <v>27</v>
      </c>
      <c r="D52" s="20"/>
      <c r="E52" s="82"/>
      <c r="F52" s="21"/>
      <c r="G52" s="17">
        <v>9465</v>
      </c>
      <c r="H52" s="79">
        <v>400</v>
      </c>
      <c r="I52" s="18"/>
      <c r="J52" s="73">
        <v>9513</v>
      </c>
      <c r="K52" s="83">
        <v>250</v>
      </c>
      <c r="L52" s="74"/>
      <c r="M52" s="107">
        <v>9613</v>
      </c>
      <c r="N52" s="85">
        <v>400</v>
      </c>
      <c r="O52" s="23" t="s">
        <v>229</v>
      </c>
    </row>
    <row r="53" spans="1:15" x14ac:dyDescent="0.25">
      <c r="A53" s="25">
        <v>9403</v>
      </c>
      <c r="B53" s="61">
        <v>800</v>
      </c>
      <c r="C53" s="26" t="s">
        <v>260</v>
      </c>
      <c r="D53" s="20"/>
      <c r="E53" s="82"/>
      <c r="F53" s="21"/>
      <c r="G53" s="17">
        <v>9466</v>
      </c>
      <c r="H53" s="79">
        <v>800</v>
      </c>
      <c r="I53" s="18" t="s">
        <v>145</v>
      </c>
      <c r="J53" s="73">
        <v>9514</v>
      </c>
      <c r="K53" s="83">
        <v>1200</v>
      </c>
      <c r="L53" s="74" t="s">
        <v>42</v>
      </c>
      <c r="M53" s="87"/>
      <c r="N53" s="85"/>
      <c r="O53" s="23" t="s">
        <v>307</v>
      </c>
    </row>
    <row r="54" spans="1:15" x14ac:dyDescent="0.25">
      <c r="A54" s="25"/>
      <c r="B54" s="61"/>
      <c r="C54" s="26" t="s">
        <v>25</v>
      </c>
      <c r="D54" s="20"/>
      <c r="E54" s="82"/>
      <c r="F54" s="21"/>
      <c r="G54" s="17"/>
      <c r="H54" s="79"/>
      <c r="I54" s="18" t="s">
        <v>25</v>
      </c>
      <c r="J54" s="73"/>
      <c r="K54" s="83"/>
      <c r="L54" s="74" t="s">
        <v>25</v>
      </c>
      <c r="M54" s="87"/>
      <c r="N54" s="85">
        <v>11000</v>
      </c>
      <c r="O54" s="23" t="s">
        <v>551</v>
      </c>
    </row>
    <row r="55" spans="1:15" x14ac:dyDescent="0.25">
      <c r="A55" s="25">
        <v>9404</v>
      </c>
      <c r="B55" s="61">
        <v>160</v>
      </c>
      <c r="C55" s="26" t="s">
        <v>49</v>
      </c>
      <c r="D55" s="20"/>
      <c r="E55" s="82"/>
      <c r="F55" s="21"/>
      <c r="G55" s="17">
        <v>9467</v>
      </c>
      <c r="H55" s="79">
        <v>400</v>
      </c>
      <c r="I55" s="18" t="s">
        <v>222</v>
      </c>
      <c r="J55" s="73">
        <v>9515</v>
      </c>
      <c r="K55" s="83">
        <v>1200</v>
      </c>
      <c r="L55" s="74" t="s">
        <v>291</v>
      </c>
      <c r="M55" s="87"/>
      <c r="N55" s="85"/>
      <c r="O55" s="23"/>
    </row>
    <row r="56" spans="1:15" x14ac:dyDescent="0.25">
      <c r="A56" s="25">
        <v>9405</v>
      </c>
      <c r="B56" s="61">
        <v>400</v>
      </c>
      <c r="C56" s="26" t="s">
        <v>222</v>
      </c>
      <c r="D56" s="20"/>
      <c r="E56" s="82"/>
      <c r="F56" s="21"/>
      <c r="G56" s="17">
        <v>9468</v>
      </c>
      <c r="H56" s="79">
        <v>960</v>
      </c>
      <c r="I56" s="18" t="s">
        <v>261</v>
      </c>
      <c r="J56" s="73"/>
      <c r="K56" s="83"/>
      <c r="L56" s="74" t="s">
        <v>25</v>
      </c>
      <c r="M56" s="87"/>
      <c r="N56" s="85"/>
      <c r="O56" s="23"/>
    </row>
    <row r="57" spans="1:15" x14ac:dyDescent="0.25">
      <c r="A57" s="25">
        <v>9406</v>
      </c>
      <c r="B57" s="61">
        <v>400</v>
      </c>
      <c r="C57" s="26" t="s">
        <v>229</v>
      </c>
      <c r="D57" s="20"/>
      <c r="E57" s="82"/>
      <c r="F57" s="21"/>
      <c r="G57" s="17"/>
      <c r="H57" s="79"/>
      <c r="I57" s="18" t="s">
        <v>123</v>
      </c>
      <c r="J57" s="73">
        <v>9516</v>
      </c>
      <c r="K57" s="83">
        <v>400</v>
      </c>
      <c r="L57" s="74"/>
      <c r="M57" s="87"/>
      <c r="N57" s="85"/>
      <c r="O57" s="23"/>
    </row>
    <row r="58" spans="1:15" x14ac:dyDescent="0.25">
      <c r="A58" s="25">
        <v>9407</v>
      </c>
      <c r="B58" s="61">
        <v>560</v>
      </c>
      <c r="C58" s="26" t="s">
        <v>267</v>
      </c>
      <c r="D58" s="20"/>
      <c r="E58" s="82"/>
      <c r="F58" s="21"/>
      <c r="G58" s="17">
        <v>9469</v>
      </c>
      <c r="H58" s="79">
        <v>350</v>
      </c>
      <c r="I58" s="18"/>
      <c r="J58" s="73">
        <v>9517</v>
      </c>
      <c r="K58" s="83">
        <v>400</v>
      </c>
      <c r="L58" s="74"/>
      <c r="M58" s="87"/>
      <c r="N58" s="85"/>
      <c r="O58" s="23"/>
    </row>
    <row r="59" spans="1:15" x14ac:dyDescent="0.25">
      <c r="A59" s="25">
        <v>9408</v>
      </c>
      <c r="B59" s="61">
        <v>350</v>
      </c>
      <c r="C59" s="26" t="s">
        <v>222</v>
      </c>
      <c r="D59" s="20"/>
      <c r="E59" s="82"/>
      <c r="F59" s="21"/>
      <c r="G59" s="17">
        <v>9470</v>
      </c>
      <c r="H59" s="79">
        <v>800</v>
      </c>
      <c r="I59" s="18" t="s">
        <v>281</v>
      </c>
      <c r="J59" s="73">
        <v>9518</v>
      </c>
      <c r="K59" s="83">
        <v>560</v>
      </c>
      <c r="L59" s="74" t="s">
        <v>292</v>
      </c>
      <c r="M59" s="87"/>
      <c r="N59" s="85"/>
      <c r="O59" s="23"/>
    </row>
    <row r="60" spans="1:15" x14ac:dyDescent="0.25">
      <c r="A60" s="25">
        <v>9409</v>
      </c>
      <c r="B60" s="61">
        <v>400</v>
      </c>
      <c r="C60" s="26"/>
      <c r="D60" s="20"/>
      <c r="E60" s="82"/>
      <c r="F60" s="21"/>
      <c r="G60" s="17"/>
      <c r="H60" s="79"/>
      <c r="I60" s="18" t="s">
        <v>27</v>
      </c>
      <c r="J60" s="73">
        <v>9519</v>
      </c>
      <c r="K60" s="83">
        <v>700</v>
      </c>
      <c r="L60" s="74" t="s">
        <v>260</v>
      </c>
      <c r="M60" s="87"/>
      <c r="N60" s="85"/>
      <c r="O60" s="23"/>
    </row>
    <row r="61" spans="1:15" x14ac:dyDescent="0.25">
      <c r="A61" s="25"/>
      <c r="B61" s="61"/>
      <c r="C61" s="26"/>
      <c r="D61" s="20"/>
      <c r="E61" s="82"/>
      <c r="F61" s="21"/>
      <c r="G61" s="17">
        <v>9471</v>
      </c>
      <c r="H61" s="79">
        <v>400</v>
      </c>
      <c r="I61" s="18"/>
      <c r="J61" s="73"/>
      <c r="K61" s="83"/>
      <c r="L61" s="74" t="s">
        <v>161</v>
      </c>
      <c r="M61" s="87"/>
      <c r="N61" s="85"/>
      <c r="O61" s="23"/>
    </row>
    <row r="62" spans="1:15" x14ac:dyDescent="0.25">
      <c r="A62" s="25"/>
      <c r="B62" s="61"/>
      <c r="C62" s="26"/>
      <c r="D62" s="20"/>
      <c r="E62" s="82"/>
      <c r="F62" s="21"/>
      <c r="G62" s="17">
        <v>9472</v>
      </c>
      <c r="H62" s="79">
        <v>160</v>
      </c>
      <c r="I62" s="18" t="s">
        <v>49</v>
      </c>
      <c r="J62" s="73">
        <v>9520</v>
      </c>
      <c r="K62" s="83">
        <v>1200</v>
      </c>
      <c r="L62" s="74" t="s">
        <v>232</v>
      </c>
      <c r="M62" s="87"/>
      <c r="N62" s="85"/>
      <c r="O62" s="23"/>
    </row>
    <row r="63" spans="1:15" x14ac:dyDescent="0.25">
      <c r="A63" s="25"/>
      <c r="B63" s="61"/>
      <c r="C63" s="26"/>
      <c r="D63" s="20"/>
      <c r="E63" s="82"/>
      <c r="F63" s="21"/>
      <c r="G63" s="17">
        <v>9473</v>
      </c>
      <c r="H63" s="79">
        <v>200</v>
      </c>
      <c r="I63" s="18"/>
      <c r="J63" s="73"/>
      <c r="K63" s="83"/>
      <c r="L63" s="74" t="s">
        <v>25</v>
      </c>
      <c r="M63" s="87"/>
      <c r="N63" s="85"/>
      <c r="O63" s="23"/>
    </row>
    <row r="64" spans="1:15" x14ac:dyDescent="0.25">
      <c r="A64" s="25"/>
      <c r="B64" s="61"/>
      <c r="C64" s="26"/>
      <c r="D64" s="20"/>
      <c r="E64" s="82"/>
      <c r="F64" s="21"/>
      <c r="G64" s="17">
        <v>9474</v>
      </c>
      <c r="H64" s="79">
        <v>400</v>
      </c>
      <c r="I64" s="18" t="s">
        <v>222</v>
      </c>
      <c r="J64" s="73">
        <v>9521</v>
      </c>
      <c r="K64" s="83">
        <v>600</v>
      </c>
      <c r="L64" s="74" t="s">
        <v>145</v>
      </c>
      <c r="M64" s="87"/>
      <c r="N64" s="85"/>
      <c r="O64" s="23"/>
    </row>
    <row r="65" spans="1:15" x14ac:dyDescent="0.25">
      <c r="A65" s="25"/>
      <c r="B65" s="61"/>
      <c r="C65" s="26"/>
      <c r="D65" s="20"/>
      <c r="E65" s="82"/>
      <c r="F65" s="21"/>
      <c r="G65" s="17">
        <v>9475</v>
      </c>
      <c r="H65" s="79">
        <v>400</v>
      </c>
      <c r="I65" s="18"/>
      <c r="J65" s="73"/>
      <c r="K65" s="83"/>
      <c r="L65" s="74" t="s">
        <v>33</v>
      </c>
      <c r="M65" s="87"/>
      <c r="N65" s="85"/>
      <c r="O65" s="23"/>
    </row>
    <row r="66" spans="1:15" x14ac:dyDescent="0.25">
      <c r="A66" s="25"/>
      <c r="B66" s="61"/>
      <c r="C66" s="26"/>
      <c r="D66" s="20"/>
      <c r="E66" s="82"/>
      <c r="F66" s="21"/>
      <c r="G66" s="17">
        <v>9476</v>
      </c>
      <c r="H66" s="79">
        <v>300</v>
      </c>
      <c r="I66" s="18"/>
      <c r="J66" s="73">
        <v>9522</v>
      </c>
      <c r="K66" s="83">
        <v>600</v>
      </c>
      <c r="L66" s="74" t="s">
        <v>261</v>
      </c>
      <c r="M66" s="87"/>
      <c r="N66" s="85"/>
      <c r="O66" s="23"/>
    </row>
    <row r="67" spans="1:15" x14ac:dyDescent="0.25">
      <c r="A67" s="25"/>
      <c r="B67" s="61"/>
      <c r="C67" s="26"/>
      <c r="D67" s="20"/>
      <c r="E67" s="82"/>
      <c r="F67" s="21"/>
      <c r="G67" s="17">
        <v>9477</v>
      </c>
      <c r="H67" s="79">
        <v>500</v>
      </c>
      <c r="I67" s="18" t="s">
        <v>260</v>
      </c>
      <c r="J67" s="73"/>
      <c r="K67" s="83"/>
      <c r="L67" s="74" t="s">
        <v>33</v>
      </c>
      <c r="M67" s="87"/>
      <c r="N67" s="85"/>
      <c r="O67" s="23"/>
    </row>
    <row r="68" spans="1:15" x14ac:dyDescent="0.25">
      <c r="A68" s="25"/>
      <c r="B68" s="61"/>
      <c r="C68" s="26"/>
      <c r="D68" s="20"/>
      <c r="E68" s="82"/>
      <c r="F68" s="21"/>
      <c r="G68" s="17"/>
      <c r="H68" s="79"/>
      <c r="I68" s="18" t="s">
        <v>81</v>
      </c>
      <c r="J68" s="73">
        <v>9523</v>
      </c>
      <c r="K68" s="83">
        <v>600</v>
      </c>
      <c r="L68" s="74" t="s">
        <v>145</v>
      </c>
      <c r="M68" s="87"/>
      <c r="N68" s="85"/>
      <c r="O68" s="23"/>
    </row>
    <row r="69" spans="1:15" x14ac:dyDescent="0.25">
      <c r="A69" s="25"/>
      <c r="B69" s="61"/>
      <c r="C69" s="26"/>
      <c r="D69" s="20"/>
      <c r="E69" s="82"/>
      <c r="F69" s="21"/>
      <c r="G69" s="17">
        <v>9478</v>
      </c>
      <c r="H69" s="79">
        <v>800</v>
      </c>
      <c r="I69" s="18" t="s">
        <v>39</v>
      </c>
      <c r="J69" s="73"/>
      <c r="K69" s="83"/>
      <c r="L69" s="74" t="s">
        <v>33</v>
      </c>
      <c r="M69" s="87"/>
      <c r="N69" s="85"/>
      <c r="O69" s="23"/>
    </row>
    <row r="70" spans="1:15" x14ac:dyDescent="0.25">
      <c r="A70" s="25"/>
      <c r="B70" s="61"/>
      <c r="C70" s="26"/>
      <c r="D70" s="20"/>
      <c r="E70" s="82"/>
      <c r="F70" s="21"/>
      <c r="G70" s="17"/>
      <c r="H70" s="79"/>
      <c r="I70" s="18" t="s">
        <v>25</v>
      </c>
      <c r="J70" s="73">
        <v>9524</v>
      </c>
      <c r="K70" s="83">
        <v>300</v>
      </c>
      <c r="L70" s="74"/>
      <c r="M70" s="87"/>
      <c r="N70" s="85"/>
      <c r="O70" s="23"/>
    </row>
    <row r="71" spans="1:15" x14ac:dyDescent="0.25">
      <c r="A71" s="25"/>
      <c r="B71" s="61"/>
      <c r="C71" s="26"/>
      <c r="D71" s="20"/>
      <c r="E71" s="82"/>
      <c r="F71" s="21"/>
      <c r="G71" s="17">
        <v>9479</v>
      </c>
      <c r="H71" s="79">
        <v>400</v>
      </c>
      <c r="I71" s="18"/>
      <c r="J71" s="73">
        <v>9525</v>
      </c>
      <c r="K71" s="83">
        <v>1200</v>
      </c>
      <c r="L71" s="74" t="s">
        <v>259</v>
      </c>
      <c r="M71" s="87"/>
      <c r="N71" s="85"/>
      <c r="O71" s="23"/>
    </row>
    <row r="72" spans="1:15" x14ac:dyDescent="0.25">
      <c r="A72" s="25"/>
      <c r="B72" s="61"/>
      <c r="C72" s="26"/>
      <c r="D72" s="20"/>
      <c r="E72" s="82"/>
      <c r="F72" s="21"/>
      <c r="G72" s="17">
        <v>9480</v>
      </c>
      <c r="H72" s="79">
        <v>560</v>
      </c>
      <c r="I72" s="18" t="s">
        <v>145</v>
      </c>
      <c r="J72" s="73"/>
      <c r="K72" s="83"/>
      <c r="L72" s="74"/>
      <c r="M72" s="87"/>
      <c r="N72" s="85"/>
      <c r="O72" s="23"/>
    </row>
    <row r="73" spans="1:15" x14ac:dyDescent="0.25">
      <c r="A73" s="25"/>
      <c r="B73" s="61"/>
      <c r="C73" s="26"/>
      <c r="D73" s="20"/>
      <c r="E73" s="82"/>
      <c r="F73" s="21"/>
      <c r="G73" s="17"/>
      <c r="H73" s="79"/>
      <c r="I73" s="18" t="s">
        <v>123</v>
      </c>
      <c r="J73" s="73"/>
      <c r="K73" s="83"/>
      <c r="L73" s="74"/>
      <c r="M73" s="87"/>
      <c r="N73" s="85"/>
      <c r="O73" s="23"/>
    </row>
    <row r="74" spans="1:15" x14ac:dyDescent="0.25">
      <c r="A74" s="25"/>
      <c r="B74" s="61"/>
      <c r="C74" s="26"/>
      <c r="D74" s="20"/>
      <c r="E74" s="82"/>
      <c r="F74" s="21"/>
      <c r="G74" s="17">
        <v>9481</v>
      </c>
      <c r="H74" s="79">
        <v>800</v>
      </c>
      <c r="I74" s="18" t="s">
        <v>261</v>
      </c>
      <c r="J74" s="73"/>
      <c r="K74" s="83"/>
      <c r="L74" s="74"/>
      <c r="M74" s="87"/>
      <c r="N74" s="85"/>
      <c r="O74" s="23"/>
    </row>
    <row r="75" spans="1:15" x14ac:dyDescent="0.25">
      <c r="A75" s="25"/>
      <c r="B75" s="61"/>
      <c r="C75" s="26"/>
      <c r="D75" s="20"/>
      <c r="E75" s="82"/>
      <c r="F75" s="21"/>
      <c r="G75" s="17"/>
      <c r="H75" s="79"/>
      <c r="I75" s="18" t="s">
        <v>25</v>
      </c>
      <c r="J75" s="73"/>
      <c r="K75" s="83"/>
      <c r="L75" s="74"/>
      <c r="M75" s="87"/>
      <c r="N75" s="85"/>
      <c r="O75" s="23"/>
    </row>
    <row r="76" spans="1:15" x14ac:dyDescent="0.25">
      <c r="A76" s="25"/>
      <c r="B76" s="61"/>
      <c r="C76" s="26"/>
      <c r="D76" s="20"/>
      <c r="E76" s="82"/>
      <c r="F76" s="21"/>
      <c r="G76" s="17">
        <v>9482</v>
      </c>
      <c r="H76" s="79">
        <v>400</v>
      </c>
      <c r="I76" s="18"/>
      <c r="J76" s="73"/>
      <c r="K76" s="83"/>
      <c r="L76" s="74"/>
      <c r="M76" s="87"/>
      <c r="N76" s="85"/>
      <c r="O76" s="23"/>
    </row>
    <row r="77" spans="1:15" x14ac:dyDescent="0.25">
      <c r="A77" s="25"/>
      <c r="B77" s="61"/>
      <c r="C77" s="26"/>
      <c r="D77" s="20"/>
      <c r="E77" s="82"/>
      <c r="F77" s="21"/>
      <c r="G77" s="17">
        <v>9483</v>
      </c>
      <c r="H77" s="79">
        <v>400</v>
      </c>
      <c r="I77" s="18"/>
      <c r="J77" s="73"/>
      <c r="K77" s="83"/>
      <c r="L77" s="74"/>
      <c r="M77" s="87"/>
      <c r="N77" s="85"/>
      <c r="O77" s="23"/>
    </row>
    <row r="78" spans="1:15" x14ac:dyDescent="0.25">
      <c r="A78" s="25"/>
      <c r="B78" s="61"/>
      <c r="C78" s="26"/>
      <c r="D78" s="20"/>
      <c r="E78" s="82"/>
      <c r="F78" s="21"/>
      <c r="G78" s="17">
        <v>9484</v>
      </c>
      <c r="H78" s="79">
        <v>400</v>
      </c>
      <c r="I78" s="18"/>
      <c r="J78" s="73"/>
      <c r="K78" s="83"/>
      <c r="L78" s="74"/>
      <c r="M78" s="87"/>
      <c r="N78" s="85"/>
      <c r="O78" s="23"/>
    </row>
    <row r="79" spans="1:15" x14ac:dyDescent="0.25">
      <c r="A79" s="25"/>
      <c r="B79" s="61"/>
      <c r="C79" s="26"/>
      <c r="D79" s="20"/>
      <c r="E79" s="82"/>
      <c r="F79" s="21"/>
      <c r="G79" s="17">
        <v>9485</v>
      </c>
      <c r="H79" s="79">
        <v>1200</v>
      </c>
      <c r="I79" s="18" t="s">
        <v>232</v>
      </c>
      <c r="J79" s="73"/>
      <c r="K79" s="83"/>
      <c r="L79" s="74"/>
      <c r="M79" s="87"/>
      <c r="N79" s="85"/>
      <c r="O79" s="23"/>
    </row>
    <row r="80" spans="1:15" x14ac:dyDescent="0.25">
      <c r="A80" s="25"/>
      <c r="B80" s="61"/>
      <c r="C80" s="26"/>
      <c r="D80" s="20"/>
      <c r="E80" s="82"/>
      <c r="F80" s="21"/>
      <c r="G80" s="17"/>
      <c r="H80" s="79"/>
      <c r="I80" s="18" t="s">
        <v>25</v>
      </c>
      <c r="J80" s="73"/>
      <c r="K80" s="83"/>
      <c r="L80" s="74"/>
      <c r="M80" s="87"/>
      <c r="N80" s="85"/>
      <c r="O80" s="23"/>
    </row>
    <row r="81" spans="1:15" x14ac:dyDescent="0.25">
      <c r="A81" s="25"/>
      <c r="B81" s="61"/>
      <c r="C81" s="26"/>
      <c r="D81" s="20"/>
      <c r="E81" s="82"/>
      <c r="F81" s="21"/>
      <c r="G81" s="17"/>
      <c r="H81" s="79"/>
      <c r="I81" s="18"/>
      <c r="J81" s="73"/>
      <c r="K81" s="83"/>
      <c r="L81" s="74"/>
      <c r="M81" s="87"/>
      <c r="N81" s="85"/>
      <c r="O81" s="23"/>
    </row>
    <row r="82" spans="1:15" x14ac:dyDescent="0.25">
      <c r="A82" s="76"/>
      <c r="B82" s="76"/>
      <c r="C82" s="77"/>
      <c r="D82" s="76"/>
      <c r="E82" s="77"/>
      <c r="F82" s="77"/>
      <c r="G82" s="76"/>
      <c r="H82" s="77"/>
      <c r="I82" s="77"/>
      <c r="J82" s="76"/>
      <c r="K82" s="77"/>
      <c r="L82" s="77"/>
      <c r="M82" s="87"/>
      <c r="N82" s="85"/>
      <c r="O82" s="23"/>
    </row>
    <row r="83" spans="1:15" x14ac:dyDescent="0.25">
      <c r="A83" s="76"/>
      <c r="B83" s="76"/>
      <c r="C83" s="77"/>
      <c r="D83" s="76"/>
      <c r="E83" s="77"/>
      <c r="F83" s="77"/>
      <c r="G83" s="76"/>
      <c r="H83" s="77"/>
      <c r="I83" s="77"/>
      <c r="J83" s="76"/>
      <c r="K83" s="77"/>
      <c r="L83" s="77"/>
      <c r="M83" s="87"/>
      <c r="N83" s="85"/>
      <c r="O83" s="23"/>
    </row>
    <row r="84" spans="1:15" x14ac:dyDescent="0.25">
      <c r="A84" s="76"/>
      <c r="B84" s="76"/>
      <c r="C84" s="77"/>
      <c r="D84" s="76"/>
      <c r="E84" s="77"/>
      <c r="F84" s="77"/>
      <c r="G84" s="76"/>
      <c r="H84" s="77"/>
      <c r="I84" s="77"/>
      <c r="J84" s="76"/>
      <c r="K84" s="77"/>
      <c r="L84" s="77"/>
      <c r="M84" s="77"/>
      <c r="N84" s="77"/>
      <c r="O84" s="77"/>
    </row>
    <row r="85" spans="1:15" x14ac:dyDescent="0.25">
      <c r="A85" s="76"/>
      <c r="B85" s="76"/>
      <c r="C85" s="77"/>
      <c r="D85" s="76"/>
      <c r="E85" s="77"/>
      <c r="F85" s="77"/>
      <c r="G85" s="76"/>
      <c r="H85" s="77"/>
      <c r="I85" s="77"/>
      <c r="J85" s="76"/>
      <c r="K85" s="77"/>
      <c r="L85" s="77"/>
      <c r="M85" s="77"/>
      <c r="N85" s="77"/>
      <c r="O85" s="77"/>
    </row>
    <row r="86" spans="1:15" x14ac:dyDescent="0.25">
      <c r="A86" s="76"/>
      <c r="B86" s="76"/>
      <c r="C86" s="77"/>
      <c r="D86" s="76"/>
      <c r="E86" s="77"/>
      <c r="F86" s="77"/>
      <c r="G86" s="76"/>
      <c r="H86" s="77"/>
      <c r="I86" s="77"/>
      <c r="J86" s="76"/>
      <c r="K86" s="77"/>
      <c r="L86" s="77"/>
      <c r="M86" s="77"/>
      <c r="N86" s="77"/>
      <c r="O86" s="77"/>
    </row>
    <row r="87" spans="1:15" x14ac:dyDescent="0.25">
      <c r="A87" s="76"/>
      <c r="B87" s="76"/>
      <c r="C87" s="77"/>
      <c r="D87" s="76"/>
      <c r="E87" s="77"/>
      <c r="F87" s="77"/>
      <c r="G87" s="76"/>
      <c r="H87" s="77"/>
      <c r="I87" s="77"/>
      <c r="J87" s="76"/>
      <c r="K87" s="77"/>
      <c r="L87" s="77"/>
      <c r="M87" s="77"/>
      <c r="N87" s="77"/>
      <c r="O87" s="77"/>
    </row>
    <row r="88" spans="1:15" x14ac:dyDescent="0.25">
      <c r="A88" s="76"/>
      <c r="B88" s="76"/>
      <c r="C88" s="77"/>
      <c r="D88" s="76"/>
      <c r="E88" s="77"/>
      <c r="F88" s="77"/>
      <c r="G88" s="76"/>
      <c r="H88" s="77"/>
      <c r="I88" s="77"/>
      <c r="J88" s="76"/>
      <c r="K88" s="77"/>
      <c r="L88" s="77"/>
      <c r="M88" s="77"/>
      <c r="N88" s="77"/>
      <c r="O88" s="77"/>
    </row>
    <row r="89" spans="1:15" x14ac:dyDescent="0.25">
      <c r="A89" s="76"/>
      <c r="B89" s="76"/>
      <c r="C89" s="77"/>
      <c r="D89" s="76"/>
      <c r="E89" s="77"/>
      <c r="F89" s="77"/>
      <c r="G89" s="76"/>
      <c r="H89" s="77"/>
      <c r="I89" s="77"/>
      <c r="J89" s="76"/>
      <c r="K89" s="77"/>
      <c r="L89" s="77"/>
      <c r="M89" s="77"/>
      <c r="N89" s="77"/>
      <c r="O89" s="77"/>
    </row>
    <row r="90" spans="1:15" x14ac:dyDescent="0.25">
      <c r="A90" s="76"/>
      <c r="B90" s="76"/>
      <c r="C90" s="77"/>
      <c r="D90" s="76"/>
      <c r="E90" s="77"/>
      <c r="F90" s="77"/>
      <c r="G90" s="76"/>
      <c r="H90" s="77"/>
      <c r="I90" s="77"/>
      <c r="J90" s="76"/>
      <c r="K90" s="77"/>
      <c r="L90" s="77"/>
      <c r="M90" s="77"/>
      <c r="N90" s="77"/>
      <c r="O90" s="77"/>
    </row>
    <row r="91" spans="1:15" x14ac:dyDescent="0.25">
      <c r="A91" s="76"/>
      <c r="B91" s="76"/>
      <c r="C91" s="77"/>
      <c r="D91" s="76"/>
      <c r="E91" s="77"/>
      <c r="F91" s="77"/>
      <c r="G91" s="76"/>
      <c r="H91" s="77"/>
      <c r="I91" s="77"/>
      <c r="J91" s="76"/>
      <c r="K91" s="77"/>
      <c r="L91" s="77"/>
      <c r="M91" s="77"/>
      <c r="N91" s="77"/>
      <c r="O91" s="77"/>
    </row>
    <row r="92" spans="1:15" x14ac:dyDescent="0.25">
      <c r="A92" s="76"/>
      <c r="B92" s="76"/>
      <c r="C92" s="77"/>
      <c r="D92" s="76"/>
      <c r="E92" s="77"/>
      <c r="F92" s="77"/>
      <c r="G92" s="76"/>
      <c r="H92" s="77"/>
      <c r="I92" s="77"/>
      <c r="J92" s="76"/>
      <c r="K92" s="77"/>
      <c r="L92" s="77"/>
      <c r="M92" s="77"/>
      <c r="N92" s="77"/>
      <c r="O92" s="77"/>
    </row>
    <row r="93" spans="1:15" x14ac:dyDescent="0.25">
      <c r="A93" s="76"/>
      <c r="B93" s="76"/>
      <c r="C93" s="77"/>
      <c r="D93" s="76"/>
      <c r="E93" s="77"/>
      <c r="F93" s="77"/>
      <c r="G93" s="76"/>
      <c r="H93" s="77"/>
      <c r="I93" s="77"/>
      <c r="J93" s="76"/>
      <c r="K93" s="77"/>
      <c r="L93" s="77"/>
      <c r="M93" s="77"/>
      <c r="N93" s="77"/>
      <c r="O93" s="77"/>
    </row>
    <row r="94" spans="1:15" x14ac:dyDescent="0.25">
      <c r="A94" s="76"/>
      <c r="B94" s="76"/>
      <c r="C94" s="77"/>
      <c r="D94" s="76"/>
      <c r="E94" s="77"/>
      <c r="F94" s="77"/>
      <c r="G94" s="76"/>
      <c r="H94" s="77"/>
      <c r="I94" s="77"/>
      <c r="J94" s="76"/>
      <c r="K94" s="77"/>
      <c r="L94" s="77"/>
      <c r="M94" s="77"/>
      <c r="N94" s="77"/>
      <c r="O94" s="77"/>
    </row>
    <row r="95" spans="1:15" x14ac:dyDescent="0.25">
      <c r="A95" s="76"/>
      <c r="B95" s="76"/>
      <c r="C95" s="77"/>
      <c r="D95" s="76"/>
      <c r="E95" s="77"/>
      <c r="F95" s="77"/>
      <c r="G95" s="76"/>
      <c r="H95" s="77"/>
      <c r="I95" s="77"/>
      <c r="J95" s="76"/>
      <c r="K95" s="77"/>
      <c r="L95" s="77"/>
      <c r="M95" s="77"/>
      <c r="N95" s="77"/>
      <c r="O95" s="77"/>
    </row>
    <row r="96" spans="1:15" x14ac:dyDescent="0.25">
      <c r="A96" s="76"/>
      <c r="B96" s="76"/>
      <c r="C96" s="77"/>
      <c r="D96" s="76"/>
      <c r="E96" s="77"/>
      <c r="F96" s="77"/>
      <c r="G96" s="76"/>
      <c r="H96" s="77"/>
      <c r="I96" s="77"/>
      <c r="J96" s="76"/>
      <c r="K96" s="77"/>
      <c r="L96" s="77"/>
      <c r="M96" s="77"/>
      <c r="N96" s="77"/>
      <c r="O96" s="77"/>
    </row>
    <row r="97" spans="1:15" x14ac:dyDescent="0.25">
      <c r="A97" s="76"/>
      <c r="B97" s="76"/>
      <c r="C97" s="77"/>
      <c r="D97" s="76"/>
      <c r="E97" s="77"/>
      <c r="F97" s="77"/>
      <c r="G97" s="76"/>
      <c r="H97" s="77"/>
      <c r="I97" s="77"/>
      <c r="J97" s="76"/>
      <c r="K97" s="77"/>
      <c r="L97" s="77"/>
      <c r="M97" s="77"/>
      <c r="N97" s="77"/>
      <c r="O97" s="77"/>
    </row>
    <row r="98" spans="1:15" x14ac:dyDescent="0.25">
      <c r="A98" s="76"/>
      <c r="B98" s="76"/>
      <c r="C98" s="77"/>
      <c r="D98" s="76"/>
      <c r="E98" s="77"/>
      <c r="F98" s="77"/>
      <c r="G98" s="76"/>
      <c r="H98" s="77"/>
      <c r="I98" s="77"/>
      <c r="J98" s="76"/>
      <c r="K98" s="77"/>
      <c r="L98" s="77"/>
      <c r="M98" s="77"/>
      <c r="N98" s="77"/>
      <c r="O98" s="77"/>
    </row>
    <row r="99" spans="1:15" x14ac:dyDescent="0.25">
      <c r="A99" s="76"/>
      <c r="B99" s="76"/>
      <c r="C99" s="77"/>
      <c r="D99" s="76"/>
      <c r="E99" s="77"/>
      <c r="F99" s="77"/>
      <c r="G99" s="76"/>
      <c r="H99" s="77"/>
      <c r="I99" s="77"/>
      <c r="J99" s="76"/>
      <c r="K99" s="77"/>
      <c r="L99" s="77"/>
      <c r="M99" s="77"/>
      <c r="N99" s="77"/>
      <c r="O99" s="77"/>
    </row>
    <row r="100" spans="1:15" x14ac:dyDescent="0.25">
      <c r="A100" s="76"/>
      <c r="B100" s="76"/>
      <c r="C100" s="77"/>
      <c r="D100" s="76"/>
      <c r="E100" s="77"/>
      <c r="F100" s="77"/>
      <c r="G100" s="76"/>
      <c r="H100" s="77"/>
      <c r="I100" s="77"/>
      <c r="J100" s="76"/>
      <c r="K100" s="77"/>
      <c r="L100" s="77"/>
      <c r="M100" s="77"/>
      <c r="N100" s="77"/>
      <c r="O100" s="77"/>
    </row>
    <row r="101" spans="1:15" x14ac:dyDescent="0.25">
      <c r="A101" s="76"/>
      <c r="B101" s="76"/>
      <c r="C101" s="77"/>
      <c r="D101" s="76"/>
      <c r="E101" s="77"/>
      <c r="F101" s="77"/>
      <c r="G101" s="76"/>
      <c r="H101" s="77"/>
      <c r="I101" s="77"/>
      <c r="J101" s="76"/>
      <c r="K101" s="77"/>
      <c r="L101" s="77"/>
      <c r="M101" s="77"/>
      <c r="N101" s="77"/>
      <c r="O101" s="77"/>
    </row>
    <row r="102" spans="1:15" x14ac:dyDescent="0.25">
      <c r="A102" s="76"/>
      <c r="B102" s="76"/>
      <c r="C102" s="77"/>
      <c r="D102" s="76"/>
      <c r="E102" s="77"/>
      <c r="F102" s="77"/>
      <c r="G102" s="76"/>
      <c r="H102" s="77"/>
      <c r="I102" s="77"/>
      <c r="J102" s="76"/>
      <c r="K102" s="77"/>
      <c r="L102" s="77"/>
      <c r="M102" s="77"/>
      <c r="N102" s="77"/>
      <c r="O102" s="77"/>
    </row>
    <row r="103" spans="1:15" x14ac:dyDescent="0.25">
      <c r="A103" s="76"/>
      <c r="B103" s="76"/>
      <c r="C103" s="77"/>
      <c r="D103" s="76"/>
      <c r="E103" s="77"/>
      <c r="F103" s="77"/>
      <c r="G103" s="76"/>
      <c r="H103" s="77"/>
      <c r="I103" s="77"/>
      <c r="J103" s="76"/>
      <c r="K103" s="77"/>
      <c r="L103" s="77"/>
      <c r="M103" s="77"/>
      <c r="N103" s="77"/>
      <c r="O103" s="77"/>
    </row>
    <row r="104" spans="1:15" x14ac:dyDescent="0.25">
      <c r="A104" s="76"/>
      <c r="B104" s="76"/>
      <c r="C104" s="77"/>
      <c r="D104" s="76"/>
      <c r="E104" s="77"/>
      <c r="F104" s="77"/>
      <c r="G104" s="76"/>
      <c r="H104" s="77"/>
      <c r="I104" s="77"/>
      <c r="J104" s="76"/>
      <c r="K104" s="77"/>
      <c r="L104" s="77"/>
      <c r="M104" s="77"/>
      <c r="N104" s="77"/>
      <c r="O104" s="77"/>
    </row>
    <row r="105" spans="1:15" x14ac:dyDescent="0.25">
      <c r="A105" s="76"/>
      <c r="B105" s="76"/>
      <c r="C105" s="77"/>
      <c r="D105" s="76"/>
      <c r="E105" s="77"/>
      <c r="F105" s="77"/>
      <c r="G105" s="76"/>
      <c r="H105" s="77"/>
      <c r="I105" s="77"/>
      <c r="J105" s="76"/>
      <c r="K105" s="77"/>
      <c r="L105" s="77"/>
      <c r="M105" s="77"/>
      <c r="N105" s="77"/>
      <c r="O105" s="77"/>
    </row>
    <row r="106" spans="1:15" x14ac:dyDescent="0.25">
      <c r="A106" s="76"/>
      <c r="B106" s="76"/>
      <c r="C106" s="77"/>
      <c r="D106" s="76"/>
      <c r="E106" s="77"/>
      <c r="F106" s="77"/>
      <c r="G106" s="76"/>
      <c r="H106" s="77"/>
      <c r="I106" s="77"/>
      <c r="J106" s="76"/>
      <c r="K106" s="77"/>
      <c r="L106" s="77"/>
      <c r="M106" s="77"/>
      <c r="N106" s="77"/>
      <c r="O106" s="77"/>
    </row>
    <row r="107" spans="1:15" x14ac:dyDescent="0.25">
      <c r="A107" s="76"/>
      <c r="B107" s="76"/>
      <c r="C107" s="77"/>
      <c r="D107" s="76"/>
      <c r="E107" s="77"/>
      <c r="F107" s="77"/>
      <c r="G107" s="76"/>
      <c r="H107" s="77"/>
      <c r="I107" s="77"/>
      <c r="J107" s="76"/>
      <c r="K107" s="77"/>
      <c r="L107" s="77"/>
      <c r="M107" s="77"/>
      <c r="N107" s="77"/>
      <c r="O107" s="77"/>
    </row>
    <row r="108" spans="1:15" x14ac:dyDescent="0.25">
      <c r="A108" s="76"/>
      <c r="B108" s="76"/>
      <c r="C108" s="77"/>
      <c r="D108" s="76"/>
      <c r="E108" s="77"/>
      <c r="F108" s="77"/>
      <c r="G108" s="76"/>
      <c r="H108" s="77"/>
      <c r="I108" s="77"/>
      <c r="J108" s="76"/>
      <c r="K108" s="77"/>
      <c r="L108" s="77"/>
      <c r="M108" s="77"/>
      <c r="N108" s="77"/>
      <c r="O108" s="77"/>
    </row>
    <row r="109" spans="1:15" x14ac:dyDescent="0.25">
      <c r="A109" s="76"/>
      <c r="B109" s="76"/>
      <c r="C109" s="77"/>
      <c r="D109" s="76"/>
      <c r="E109" s="77"/>
      <c r="F109" s="77"/>
      <c r="G109" s="76"/>
      <c r="H109" s="77"/>
      <c r="I109" s="77"/>
      <c r="J109" s="76"/>
      <c r="K109" s="77"/>
      <c r="L109" s="77"/>
      <c r="M109" s="77"/>
      <c r="N109" s="77"/>
      <c r="O109" s="77"/>
    </row>
    <row r="110" spans="1:15" x14ac:dyDescent="0.25">
      <c r="A110" s="76"/>
      <c r="B110" s="76"/>
      <c r="C110" s="77"/>
      <c r="D110" s="76"/>
      <c r="E110" s="77"/>
      <c r="F110" s="77"/>
      <c r="G110" s="76"/>
      <c r="H110" s="77"/>
      <c r="I110" s="77"/>
      <c r="J110" s="76"/>
      <c r="K110" s="77"/>
      <c r="L110" s="77"/>
      <c r="M110" s="77"/>
      <c r="N110" s="77"/>
      <c r="O110" s="77"/>
    </row>
    <row r="111" spans="1:15" x14ac:dyDescent="0.25">
      <c r="A111" s="76"/>
      <c r="B111" s="76"/>
      <c r="C111" s="77"/>
      <c r="D111" s="76"/>
      <c r="E111" s="77"/>
      <c r="F111" s="77"/>
      <c r="G111" s="76"/>
      <c r="H111" s="77"/>
      <c r="I111" s="77"/>
      <c r="J111" s="76"/>
      <c r="K111" s="77"/>
      <c r="L111" s="77"/>
      <c r="M111" s="77"/>
      <c r="N111" s="77"/>
      <c r="O111" s="77"/>
    </row>
    <row r="112" spans="1:15" x14ac:dyDescent="0.25">
      <c r="A112" s="76"/>
      <c r="B112" s="76"/>
      <c r="C112" s="77"/>
      <c r="D112" s="76"/>
      <c r="E112" s="77"/>
      <c r="F112" s="77"/>
      <c r="G112" s="76"/>
      <c r="H112" s="77"/>
      <c r="I112" s="77"/>
      <c r="J112" s="76"/>
      <c r="K112" s="77"/>
      <c r="L112" s="77"/>
      <c r="M112" s="77"/>
      <c r="N112" s="77"/>
      <c r="O112" s="77"/>
    </row>
    <row r="113" spans="1:15" x14ac:dyDescent="0.25">
      <c r="A113" s="76"/>
      <c r="B113" s="76"/>
      <c r="C113" s="77"/>
      <c r="D113" s="76"/>
      <c r="E113" s="77"/>
      <c r="F113" s="77"/>
      <c r="G113" s="76"/>
      <c r="H113" s="77"/>
      <c r="I113" s="77"/>
      <c r="J113" s="76"/>
      <c r="K113" s="77"/>
      <c r="L113" s="77"/>
      <c r="M113" s="77"/>
      <c r="N113" s="77"/>
      <c r="O113" s="77"/>
    </row>
    <row r="114" spans="1:15" x14ac:dyDescent="0.25">
      <c r="A114" s="76"/>
      <c r="B114" s="76"/>
      <c r="C114" s="77"/>
      <c r="D114" s="76"/>
      <c r="E114" s="77"/>
      <c r="F114" s="77"/>
      <c r="G114" s="76"/>
      <c r="H114" s="77"/>
      <c r="I114" s="77"/>
      <c r="J114" s="76"/>
      <c r="K114" s="77"/>
      <c r="L114" s="77"/>
      <c r="M114" s="77"/>
      <c r="N114" s="77"/>
      <c r="O114" s="77"/>
    </row>
    <row r="115" spans="1:15" x14ac:dyDescent="0.25">
      <c r="A115" s="76"/>
      <c r="B115" s="76"/>
      <c r="C115" s="77"/>
      <c r="D115" s="76"/>
      <c r="E115" s="77"/>
      <c r="F115" s="77"/>
      <c r="G115" s="76"/>
      <c r="H115" s="77"/>
      <c r="I115" s="77"/>
      <c r="J115" s="76"/>
      <c r="K115" s="77"/>
      <c r="L115" s="77"/>
      <c r="M115" s="77"/>
      <c r="N115" s="77"/>
      <c r="O115" s="77"/>
    </row>
    <row r="116" spans="1:15" x14ac:dyDescent="0.25">
      <c r="A116" s="76"/>
      <c r="B116" s="76"/>
      <c r="C116" s="77"/>
      <c r="D116" s="76"/>
      <c r="E116" s="77"/>
      <c r="F116" s="77"/>
      <c r="G116" s="76"/>
      <c r="H116" s="77"/>
      <c r="I116" s="77"/>
      <c r="J116" s="76"/>
      <c r="K116" s="77"/>
      <c r="L116" s="77"/>
      <c r="M116" s="77"/>
      <c r="N116" s="77"/>
      <c r="O116" s="77"/>
    </row>
    <row r="117" spans="1:15" x14ac:dyDescent="0.25">
      <c r="A117" s="76"/>
      <c r="B117" s="76"/>
      <c r="C117" s="77"/>
      <c r="D117" s="76"/>
      <c r="E117" s="77"/>
      <c r="F117" s="77"/>
      <c r="G117" s="76"/>
      <c r="H117" s="77"/>
      <c r="I117" s="77"/>
      <c r="J117" s="76"/>
      <c r="K117" s="77"/>
      <c r="L117" s="77"/>
      <c r="M117" s="77"/>
      <c r="N117" s="77"/>
      <c r="O117" s="77"/>
    </row>
    <row r="118" spans="1:15" x14ac:dyDescent="0.25">
      <c r="A118" s="76"/>
      <c r="B118" s="76"/>
      <c r="C118" s="77"/>
      <c r="D118" s="76"/>
      <c r="E118" s="77"/>
      <c r="F118" s="77"/>
      <c r="G118" s="76"/>
      <c r="H118" s="77"/>
      <c r="I118" s="77"/>
      <c r="J118" s="76"/>
      <c r="K118" s="77"/>
      <c r="L118" s="77"/>
      <c r="M118" s="77"/>
      <c r="N118" s="77"/>
      <c r="O118" s="77"/>
    </row>
    <row r="119" spans="1:15" x14ac:dyDescent="0.25">
      <c r="A119" s="76"/>
      <c r="B119" s="76"/>
      <c r="C119" s="77"/>
      <c r="D119" s="76"/>
      <c r="E119" s="77"/>
      <c r="F119" s="77"/>
      <c r="G119" s="76"/>
      <c r="H119" s="77"/>
      <c r="I119" s="77"/>
      <c r="J119" s="76"/>
      <c r="K119" s="77"/>
      <c r="L119" s="77"/>
      <c r="M119" s="77"/>
      <c r="N119" s="77"/>
      <c r="O119" s="77"/>
    </row>
    <row r="120" spans="1:15" x14ac:dyDescent="0.25">
      <c r="A120" s="76"/>
      <c r="B120" s="76"/>
      <c r="C120" s="77"/>
      <c r="D120" s="76"/>
      <c r="E120" s="77"/>
      <c r="F120" s="77"/>
      <c r="G120" s="76"/>
      <c r="H120" s="77"/>
      <c r="I120" s="77"/>
      <c r="J120" s="76"/>
      <c r="K120" s="77"/>
      <c r="L120" s="77"/>
      <c r="M120" s="77"/>
      <c r="N120" s="77"/>
      <c r="O120" s="77"/>
    </row>
    <row r="121" spans="1:15" x14ac:dyDescent="0.25">
      <c r="A121" s="76"/>
      <c r="B121" s="76"/>
      <c r="C121" s="77"/>
      <c r="D121" s="76"/>
      <c r="E121" s="77"/>
      <c r="F121" s="77"/>
      <c r="G121" s="76"/>
      <c r="H121" s="77"/>
      <c r="I121" s="77"/>
      <c r="J121" s="76"/>
      <c r="K121" s="77"/>
      <c r="L121" s="77"/>
      <c r="M121" s="77"/>
      <c r="N121" s="77"/>
      <c r="O121" s="77"/>
    </row>
    <row r="122" spans="1:15" x14ac:dyDescent="0.25">
      <c r="A122" s="76"/>
      <c r="B122" s="76"/>
      <c r="C122" s="77"/>
      <c r="D122" s="76"/>
      <c r="E122" s="77"/>
      <c r="F122" s="77"/>
      <c r="G122" s="76"/>
      <c r="H122" s="77"/>
      <c r="I122" s="77"/>
      <c r="J122" s="76"/>
      <c r="K122" s="77"/>
      <c r="L122" s="77"/>
      <c r="M122" s="77"/>
      <c r="N122" s="77"/>
      <c r="O122" s="77"/>
    </row>
    <row r="123" spans="1:15" x14ac:dyDescent="0.25">
      <c r="A123" s="76"/>
      <c r="B123" s="76"/>
      <c r="C123" s="77"/>
      <c r="D123" s="76"/>
      <c r="E123" s="77"/>
      <c r="F123" s="77"/>
      <c r="G123" s="76"/>
      <c r="H123" s="77"/>
      <c r="I123" s="77"/>
      <c r="J123" s="76"/>
      <c r="K123" s="77"/>
      <c r="L123" s="77"/>
      <c r="M123" s="77"/>
      <c r="N123" s="77"/>
      <c r="O123" s="77"/>
    </row>
    <row r="124" spans="1:15" x14ac:dyDescent="0.25">
      <c r="A124" s="76"/>
      <c r="B124" s="76"/>
      <c r="C124" s="77"/>
      <c r="D124" s="76"/>
      <c r="E124" s="77"/>
      <c r="F124" s="77"/>
      <c r="G124" s="76"/>
      <c r="H124" s="77"/>
      <c r="I124" s="77"/>
      <c r="J124" s="76"/>
      <c r="K124" s="77"/>
      <c r="L124" s="77"/>
      <c r="M124" s="77"/>
      <c r="N124" s="77"/>
      <c r="O124" s="77"/>
    </row>
    <row r="125" spans="1:15" x14ac:dyDescent="0.25">
      <c r="A125" s="76"/>
      <c r="B125" s="76"/>
      <c r="C125" s="77"/>
      <c r="D125" s="76"/>
      <c r="E125" s="77"/>
      <c r="F125" s="77"/>
      <c r="G125" s="76"/>
      <c r="H125" s="77"/>
      <c r="I125" s="77"/>
      <c r="J125" s="76"/>
      <c r="K125" s="77"/>
      <c r="L125" s="77"/>
      <c r="M125" s="77"/>
      <c r="N125" s="77"/>
      <c r="O125" s="77"/>
    </row>
    <row r="126" spans="1:15" x14ac:dyDescent="0.25">
      <c r="A126" s="76"/>
      <c r="B126" s="76"/>
      <c r="C126" s="77"/>
      <c r="D126" s="76"/>
      <c r="E126" s="77"/>
      <c r="F126" s="77"/>
      <c r="G126" s="76"/>
      <c r="H126" s="77"/>
      <c r="I126" s="77"/>
      <c r="J126" s="76"/>
      <c r="K126" s="77"/>
      <c r="L126" s="77"/>
      <c r="M126" s="77"/>
      <c r="N126" s="77"/>
      <c r="O126" s="77"/>
    </row>
    <row r="127" spans="1:15" x14ac:dyDescent="0.25">
      <c r="A127" s="76"/>
      <c r="B127" s="76"/>
      <c r="C127" s="77"/>
      <c r="D127" s="76"/>
      <c r="E127" s="77"/>
      <c r="F127" s="77"/>
      <c r="G127" s="76"/>
      <c r="H127" s="77"/>
      <c r="I127" s="77"/>
      <c r="J127" s="76"/>
      <c r="K127" s="77"/>
      <c r="L127" s="77"/>
      <c r="M127" s="77"/>
      <c r="N127" s="77"/>
      <c r="O127" s="77"/>
    </row>
    <row r="128" spans="1:15" x14ac:dyDescent="0.25">
      <c r="A128" s="76"/>
      <c r="B128" s="76"/>
      <c r="C128" s="77"/>
      <c r="D128" s="76"/>
      <c r="E128" s="77"/>
      <c r="F128" s="77"/>
      <c r="G128" s="76"/>
      <c r="H128" s="77"/>
      <c r="I128" s="77"/>
      <c r="J128" s="76"/>
      <c r="K128" s="77"/>
      <c r="L128" s="77"/>
      <c r="M128" s="77"/>
      <c r="N128" s="77"/>
      <c r="O128" s="77"/>
    </row>
    <row r="129" spans="1:15" x14ac:dyDescent="0.25">
      <c r="A129" s="76"/>
      <c r="B129" s="76"/>
      <c r="C129" s="77"/>
      <c r="D129" s="76"/>
      <c r="E129" s="77"/>
      <c r="F129" s="77"/>
      <c r="G129" s="76"/>
      <c r="H129" s="77"/>
      <c r="I129" s="77"/>
      <c r="J129" s="76"/>
      <c r="K129" s="77"/>
      <c r="L129" s="77"/>
      <c r="M129" s="77"/>
      <c r="N129" s="77"/>
      <c r="O129" s="77"/>
    </row>
    <row r="130" spans="1:15" x14ac:dyDescent="0.25">
      <c r="A130" s="76"/>
      <c r="B130" s="76"/>
      <c r="C130" s="77"/>
      <c r="D130" s="76"/>
      <c r="E130" s="77"/>
      <c r="F130" s="77"/>
      <c r="G130" s="76"/>
      <c r="H130" s="77"/>
      <c r="I130" s="77"/>
      <c r="J130" s="76"/>
      <c r="K130" s="77"/>
      <c r="L130" s="77"/>
      <c r="M130" s="77"/>
      <c r="N130" s="77"/>
      <c r="O130" s="77"/>
    </row>
    <row r="131" spans="1:15" x14ac:dyDescent="0.25">
      <c r="A131" s="76"/>
      <c r="B131" s="76"/>
      <c r="C131" s="77"/>
      <c r="D131" s="76"/>
      <c r="E131" s="77"/>
      <c r="F131" s="77"/>
      <c r="G131" s="76"/>
      <c r="H131" s="77"/>
      <c r="I131" s="77"/>
      <c r="J131" s="76"/>
      <c r="K131" s="77"/>
      <c r="L131" s="77"/>
      <c r="M131" s="77"/>
      <c r="N131" s="77"/>
      <c r="O131" s="77"/>
    </row>
    <row r="132" spans="1:15" x14ac:dyDescent="0.25">
      <c r="A132" s="76"/>
      <c r="B132" s="76"/>
      <c r="C132" s="77"/>
      <c r="D132" s="76"/>
      <c r="E132" s="77"/>
      <c r="F132" s="77"/>
      <c r="G132" s="76"/>
      <c r="H132" s="77"/>
      <c r="I132" s="77"/>
      <c r="J132" s="76"/>
      <c r="K132" s="77"/>
      <c r="L132" s="77"/>
      <c r="M132" s="77"/>
      <c r="N132" s="77"/>
      <c r="O132" s="77"/>
    </row>
    <row r="133" spans="1:15" x14ac:dyDescent="0.25">
      <c r="A133" s="76"/>
      <c r="B133" s="76"/>
      <c r="C133" s="77"/>
      <c r="D133" s="76"/>
      <c r="E133" s="77"/>
      <c r="F133" s="77"/>
      <c r="G133" s="76"/>
      <c r="H133" s="77"/>
      <c r="I133" s="77"/>
      <c r="J133" s="76"/>
      <c r="K133" s="77"/>
      <c r="L133" s="77"/>
      <c r="M133" s="77"/>
      <c r="N133" s="77"/>
      <c r="O133" s="77"/>
    </row>
    <row r="134" spans="1:15" x14ac:dyDescent="0.25">
      <c r="A134" s="76"/>
      <c r="B134" s="76"/>
      <c r="C134" s="77"/>
      <c r="D134" s="76"/>
      <c r="E134" s="77"/>
      <c r="F134" s="77"/>
      <c r="G134" s="76"/>
      <c r="H134" s="77"/>
      <c r="I134" s="77"/>
      <c r="J134" s="76"/>
      <c r="K134" s="77"/>
      <c r="L134" s="77"/>
      <c r="M134" s="77"/>
      <c r="N134" s="77"/>
      <c r="O134" s="77"/>
    </row>
    <row r="135" spans="1:15" x14ac:dyDescent="0.25">
      <c r="A135" s="76"/>
      <c r="B135" s="76"/>
      <c r="C135" s="77"/>
      <c r="D135" s="76"/>
      <c r="E135" s="77"/>
      <c r="F135" s="77"/>
      <c r="G135" s="76"/>
      <c r="H135" s="77"/>
      <c r="I135" s="77"/>
      <c r="J135" s="76"/>
      <c r="K135" s="77"/>
      <c r="L135" s="77"/>
      <c r="M135" s="77"/>
      <c r="N135" s="77"/>
      <c r="O135" s="77"/>
    </row>
    <row r="136" spans="1:15" x14ac:dyDescent="0.25">
      <c r="A136" s="76"/>
      <c r="B136" s="76"/>
      <c r="C136" s="77"/>
      <c r="D136" s="76"/>
      <c r="E136" s="77"/>
      <c r="F136" s="77"/>
      <c r="G136" s="76"/>
      <c r="H136" s="77"/>
      <c r="I136" s="77"/>
      <c r="J136" s="76"/>
      <c r="K136" s="77"/>
      <c r="L136" s="77"/>
      <c r="M136" s="77"/>
      <c r="N136" s="77"/>
      <c r="O136" s="77"/>
    </row>
    <row r="137" spans="1:15" x14ac:dyDescent="0.25">
      <c r="A137" s="76"/>
      <c r="B137" s="76"/>
      <c r="C137" s="77"/>
      <c r="D137" s="76"/>
      <c r="E137" s="77"/>
      <c r="F137" s="77"/>
      <c r="G137" s="76"/>
      <c r="H137" s="77"/>
      <c r="I137" s="77"/>
      <c r="J137" s="76"/>
      <c r="K137" s="77"/>
      <c r="L137" s="77"/>
      <c r="M137" s="77"/>
      <c r="N137" s="77"/>
      <c r="O137" s="77"/>
    </row>
    <row r="138" spans="1:15" x14ac:dyDescent="0.25">
      <c r="A138" s="76"/>
      <c r="B138" s="76"/>
      <c r="C138" s="77"/>
      <c r="D138" s="76"/>
      <c r="E138" s="77"/>
      <c r="F138" s="77"/>
      <c r="G138" s="76"/>
      <c r="H138" s="77"/>
      <c r="I138" s="77"/>
      <c r="J138" s="76"/>
      <c r="K138" s="77"/>
      <c r="L138" s="77"/>
      <c r="M138" s="77"/>
      <c r="N138" s="77"/>
      <c r="O138" s="77"/>
    </row>
    <row r="139" spans="1:15" x14ac:dyDescent="0.25">
      <c r="A139" s="76"/>
      <c r="B139" s="76"/>
      <c r="C139" s="77"/>
      <c r="D139" s="76"/>
      <c r="E139" s="77"/>
      <c r="F139" s="77"/>
      <c r="G139" s="76"/>
      <c r="H139" s="77"/>
      <c r="I139" s="77"/>
      <c r="J139" s="76"/>
      <c r="K139" s="77"/>
      <c r="L139" s="77"/>
      <c r="M139" s="77"/>
      <c r="N139" s="77"/>
      <c r="O139" s="77"/>
    </row>
    <row r="140" spans="1:15" x14ac:dyDescent="0.25">
      <c r="A140" s="76"/>
      <c r="B140" s="76"/>
      <c r="C140" s="77"/>
      <c r="D140" s="76"/>
      <c r="E140" s="77"/>
      <c r="F140" s="77"/>
      <c r="G140" s="76"/>
      <c r="H140" s="77"/>
      <c r="I140" s="77"/>
      <c r="J140" s="76"/>
      <c r="K140" s="77"/>
      <c r="L140" s="77"/>
      <c r="M140" s="77"/>
      <c r="N140" s="77"/>
      <c r="O140" s="77"/>
    </row>
    <row r="141" spans="1:15" x14ac:dyDescent="0.25">
      <c r="A141" s="76"/>
      <c r="B141" s="76"/>
      <c r="C141" s="77"/>
      <c r="D141" s="76"/>
      <c r="E141" s="77"/>
      <c r="F141" s="77"/>
      <c r="G141" s="76"/>
      <c r="H141" s="77"/>
      <c r="I141" s="77"/>
      <c r="J141" s="76"/>
      <c r="K141" s="77"/>
      <c r="L141" s="77"/>
      <c r="M141" s="77"/>
      <c r="N141" s="77"/>
      <c r="O141" s="77"/>
    </row>
    <row r="142" spans="1:15" x14ac:dyDescent="0.25">
      <c r="A142" s="76"/>
      <c r="B142" s="76"/>
      <c r="C142" s="77"/>
      <c r="D142" s="76"/>
      <c r="E142" s="77"/>
      <c r="F142" s="77"/>
      <c r="G142" s="76"/>
      <c r="H142" s="77"/>
      <c r="I142" s="77"/>
      <c r="J142" s="76"/>
      <c r="K142" s="77"/>
      <c r="L142" s="77"/>
      <c r="M142" s="77"/>
      <c r="N142" s="77"/>
      <c r="O142" s="77"/>
    </row>
    <row r="143" spans="1:15" x14ac:dyDescent="0.25">
      <c r="A143" s="76"/>
      <c r="B143" s="76"/>
      <c r="C143" s="77"/>
      <c r="D143" s="76"/>
      <c r="E143" s="77"/>
      <c r="F143" s="77"/>
      <c r="G143" s="76"/>
      <c r="H143" s="77"/>
      <c r="I143" s="77"/>
      <c r="J143" s="76"/>
      <c r="K143" s="77"/>
      <c r="L143" s="77"/>
      <c r="M143" s="77"/>
      <c r="N143" s="77"/>
      <c r="O143" s="77"/>
    </row>
    <row r="144" spans="1:15" x14ac:dyDescent="0.25">
      <c r="A144" s="76"/>
      <c r="B144" s="76"/>
      <c r="C144" s="77"/>
      <c r="D144" s="76"/>
      <c r="E144" s="77"/>
      <c r="F144" s="77"/>
      <c r="G144" s="76"/>
      <c r="H144" s="77"/>
      <c r="I144" s="77"/>
      <c r="J144" s="76"/>
      <c r="K144" s="77"/>
      <c r="L144" s="77"/>
      <c r="M144" s="77"/>
      <c r="N144" s="77"/>
      <c r="O144" s="77"/>
    </row>
    <row r="145" spans="1:15" x14ac:dyDescent="0.25">
      <c r="A145" s="76"/>
      <c r="B145" s="76"/>
      <c r="C145" s="77"/>
      <c r="D145" s="76"/>
      <c r="E145" s="77"/>
      <c r="F145" s="77"/>
      <c r="G145" s="76"/>
      <c r="H145" s="77"/>
      <c r="I145" s="77"/>
      <c r="J145" s="76"/>
      <c r="K145" s="77"/>
      <c r="L145" s="77"/>
      <c r="M145" s="77"/>
      <c r="N145" s="77"/>
      <c r="O145" s="77"/>
    </row>
    <row r="146" spans="1:15" x14ac:dyDescent="0.25">
      <c r="A146" s="76"/>
      <c r="B146" s="76"/>
      <c r="C146" s="77"/>
      <c r="D146" s="76"/>
      <c r="E146" s="77"/>
      <c r="F146" s="77"/>
      <c r="G146" s="76"/>
      <c r="H146" s="77"/>
      <c r="I146" s="77"/>
      <c r="J146" s="76"/>
      <c r="K146" s="77"/>
      <c r="L146" s="77"/>
      <c r="M146" s="77"/>
      <c r="N146" s="77"/>
      <c r="O146" s="77"/>
    </row>
    <row r="147" spans="1:15" x14ac:dyDescent="0.25">
      <c r="A147" s="76"/>
      <c r="B147" s="76"/>
      <c r="C147" s="77"/>
      <c r="D147" s="76"/>
      <c r="E147" s="77"/>
      <c r="F147" s="77"/>
      <c r="G147" s="76"/>
      <c r="H147" s="77"/>
      <c r="I147" s="77"/>
      <c r="J147" s="76"/>
      <c r="K147" s="77"/>
      <c r="L147" s="77"/>
      <c r="M147" s="77"/>
      <c r="N147" s="77"/>
      <c r="O147" s="77"/>
    </row>
    <row r="148" spans="1:15" x14ac:dyDescent="0.25">
      <c r="A148" s="76"/>
      <c r="B148" s="76"/>
      <c r="C148" s="77"/>
      <c r="D148" s="76"/>
      <c r="E148" s="77"/>
      <c r="F148" s="77"/>
      <c r="G148" s="76"/>
      <c r="H148" s="77"/>
      <c r="I148" s="77"/>
      <c r="J148" s="76"/>
      <c r="K148" s="77"/>
      <c r="L148" s="77"/>
      <c r="M148" s="77"/>
      <c r="N148" s="77"/>
      <c r="O148" s="77"/>
    </row>
    <row r="149" spans="1:15" x14ac:dyDescent="0.25">
      <c r="A149" s="76"/>
      <c r="B149" s="76"/>
      <c r="C149" s="77"/>
      <c r="D149" s="76"/>
      <c r="E149" s="77"/>
      <c r="F149" s="77"/>
      <c r="G149" s="76"/>
      <c r="H149" s="77"/>
      <c r="I149" s="77"/>
      <c r="J149" s="76"/>
      <c r="K149" s="77"/>
      <c r="L149" s="77"/>
      <c r="M149" s="77"/>
      <c r="N149" s="77"/>
      <c r="O149" s="77"/>
    </row>
    <row r="150" spans="1:15" x14ac:dyDescent="0.25">
      <c r="A150" s="76"/>
      <c r="B150" s="76"/>
      <c r="C150" s="77"/>
      <c r="D150" s="76"/>
      <c r="E150" s="77"/>
      <c r="F150" s="77"/>
      <c r="G150" s="76"/>
      <c r="H150" s="77"/>
      <c r="I150" s="77"/>
      <c r="J150" s="76"/>
      <c r="K150" s="77"/>
      <c r="L150" s="77"/>
      <c r="M150" s="77"/>
      <c r="N150" s="77"/>
      <c r="O150" s="77"/>
    </row>
    <row r="151" spans="1:15" x14ac:dyDescent="0.25">
      <c r="A151" s="76"/>
      <c r="B151" s="76"/>
      <c r="C151" s="77"/>
      <c r="D151" s="76"/>
      <c r="E151" s="77"/>
      <c r="F151" s="77"/>
      <c r="G151" s="76"/>
      <c r="H151" s="77"/>
      <c r="I151" s="77"/>
      <c r="J151" s="76"/>
      <c r="K151" s="77"/>
      <c r="L151" s="77"/>
      <c r="M151" s="77"/>
      <c r="N151" s="77"/>
      <c r="O151" s="77"/>
    </row>
    <row r="152" spans="1:15" x14ac:dyDescent="0.25">
      <c r="A152" s="76"/>
      <c r="B152" s="76"/>
      <c r="C152" s="77"/>
      <c r="D152" s="76"/>
      <c r="E152" s="77"/>
      <c r="F152" s="77"/>
      <c r="G152" s="76"/>
      <c r="H152" s="77"/>
      <c r="I152" s="77"/>
      <c r="J152" s="76"/>
      <c r="K152" s="77"/>
      <c r="L152" s="77"/>
      <c r="M152" s="77"/>
      <c r="N152" s="77"/>
      <c r="O152" s="77"/>
    </row>
    <row r="153" spans="1:15" x14ac:dyDescent="0.25">
      <c r="A153" s="76"/>
      <c r="B153" s="76"/>
      <c r="C153" s="77"/>
      <c r="D153" s="76"/>
      <c r="E153" s="77"/>
      <c r="F153" s="77"/>
      <c r="G153" s="76"/>
      <c r="H153" s="77"/>
      <c r="I153" s="77"/>
      <c r="J153" s="76"/>
      <c r="K153" s="77"/>
      <c r="L153" s="77"/>
      <c r="M153" s="77"/>
      <c r="N153" s="77"/>
      <c r="O153" s="77"/>
    </row>
    <row r="154" spans="1:15" x14ac:dyDescent="0.25">
      <c r="A154" s="76"/>
      <c r="B154" s="76"/>
      <c r="C154" s="77"/>
      <c r="D154" s="76"/>
      <c r="E154" s="77"/>
      <c r="F154" s="77"/>
      <c r="G154" s="76"/>
      <c r="H154" s="77"/>
      <c r="I154" s="77"/>
      <c r="J154" s="76"/>
      <c r="K154" s="77"/>
      <c r="L154" s="77"/>
      <c r="M154" s="77"/>
      <c r="N154" s="77"/>
      <c r="O154" s="77"/>
    </row>
    <row r="155" spans="1:15" x14ac:dyDescent="0.25">
      <c r="A155" s="76"/>
      <c r="B155" s="76"/>
      <c r="C155" s="77"/>
      <c r="D155" s="76"/>
      <c r="E155" s="77"/>
      <c r="F155" s="77"/>
      <c r="G155" s="76"/>
      <c r="H155" s="77"/>
      <c r="I155" s="77"/>
      <c r="J155" s="76"/>
      <c r="K155" s="77"/>
      <c r="L155" s="77"/>
      <c r="M155" s="77"/>
      <c r="N155" s="77"/>
      <c r="O155" s="77"/>
    </row>
    <row r="156" spans="1:15" x14ac:dyDescent="0.25">
      <c r="A156" s="76"/>
      <c r="B156" s="76"/>
      <c r="C156" s="77"/>
      <c r="D156" s="76"/>
      <c r="E156" s="77"/>
      <c r="F156" s="77"/>
      <c r="G156" s="76"/>
      <c r="H156" s="77"/>
      <c r="I156" s="77"/>
      <c r="J156" s="76"/>
      <c r="K156" s="77"/>
      <c r="L156" s="77"/>
      <c r="M156" s="77"/>
      <c r="N156" s="77"/>
      <c r="O156" s="77"/>
    </row>
    <row r="157" spans="1:15" x14ac:dyDescent="0.25">
      <c r="A157" s="76"/>
      <c r="B157" s="76"/>
      <c r="C157" s="77"/>
      <c r="D157" s="76"/>
      <c r="E157" s="77"/>
      <c r="F157" s="77"/>
      <c r="G157" s="76"/>
      <c r="H157" s="77"/>
      <c r="I157" s="77"/>
      <c r="J157" s="76"/>
      <c r="K157" s="77"/>
      <c r="L157" s="77"/>
      <c r="M157" s="77"/>
      <c r="N157" s="77"/>
      <c r="O157" s="77"/>
    </row>
    <row r="158" spans="1:15" x14ac:dyDescent="0.25">
      <c r="A158" s="76"/>
      <c r="B158" s="76"/>
      <c r="C158" s="77"/>
      <c r="D158" s="76"/>
      <c r="E158" s="77"/>
      <c r="F158" s="77"/>
      <c r="G158" s="76"/>
      <c r="H158" s="77"/>
      <c r="I158" s="77"/>
      <c r="J158" s="76"/>
      <c r="K158" s="77"/>
      <c r="L158" s="77"/>
      <c r="M158" s="77"/>
      <c r="N158" s="77"/>
      <c r="O158" s="77"/>
    </row>
    <row r="159" spans="1:15" x14ac:dyDescent="0.25">
      <c r="A159" s="76"/>
      <c r="B159" s="76"/>
      <c r="C159" s="77"/>
      <c r="D159" s="76"/>
      <c r="E159" s="77"/>
      <c r="F159" s="77"/>
      <c r="G159" s="76"/>
      <c r="H159" s="77"/>
      <c r="I159" s="77"/>
      <c r="J159" s="76"/>
      <c r="K159" s="77"/>
      <c r="L159" s="77"/>
      <c r="M159" s="77"/>
      <c r="N159" s="77"/>
      <c r="O159" s="77"/>
    </row>
    <row r="160" spans="1:15" x14ac:dyDescent="0.25">
      <c r="A160" s="76"/>
      <c r="B160" s="76"/>
      <c r="C160" s="77"/>
      <c r="D160" s="76"/>
      <c r="E160" s="77"/>
      <c r="F160" s="77"/>
      <c r="G160" s="76"/>
      <c r="H160" s="77"/>
      <c r="I160" s="77"/>
      <c r="J160" s="76"/>
      <c r="K160" s="77"/>
      <c r="L160" s="77"/>
      <c r="M160" s="77"/>
      <c r="N160" s="77"/>
      <c r="O160" s="77"/>
    </row>
    <row r="161" spans="1:15" x14ac:dyDescent="0.25">
      <c r="A161" s="76"/>
      <c r="B161" s="76"/>
      <c r="C161" s="77"/>
      <c r="D161" s="76"/>
      <c r="E161" s="77"/>
      <c r="F161" s="77"/>
      <c r="G161" s="76"/>
      <c r="H161" s="77"/>
      <c r="I161" s="77"/>
      <c r="J161" s="76"/>
      <c r="K161" s="77"/>
      <c r="L161" s="77"/>
      <c r="M161" s="77"/>
      <c r="N161" s="77"/>
      <c r="O161" s="77"/>
    </row>
    <row r="162" spans="1:15" x14ac:dyDescent="0.25">
      <c r="A162" s="76"/>
      <c r="B162" s="76"/>
      <c r="C162" s="77"/>
      <c r="D162" s="76"/>
      <c r="E162" s="77"/>
      <c r="F162" s="77"/>
      <c r="G162" s="76"/>
      <c r="H162" s="77"/>
      <c r="I162" s="77"/>
      <c r="J162" s="76"/>
      <c r="K162" s="77"/>
      <c r="L162" s="77"/>
      <c r="M162" s="77"/>
      <c r="N162" s="77"/>
      <c r="O162" s="77"/>
    </row>
    <row r="163" spans="1:15" x14ac:dyDescent="0.25">
      <c r="A163" s="76"/>
      <c r="B163" s="76"/>
      <c r="C163" s="77"/>
      <c r="D163" s="76"/>
      <c r="E163" s="77"/>
      <c r="F163" s="77"/>
      <c r="G163" s="76"/>
      <c r="H163" s="77"/>
      <c r="I163" s="77"/>
      <c r="J163" s="76"/>
      <c r="K163" s="77"/>
      <c r="L163" s="77"/>
      <c r="M163" s="77"/>
      <c r="N163" s="77"/>
      <c r="O163" s="77"/>
    </row>
    <row r="164" spans="1:15" x14ac:dyDescent="0.25">
      <c r="A164" s="76"/>
      <c r="B164" s="76"/>
      <c r="C164" s="77"/>
      <c r="D164" s="76"/>
      <c r="E164" s="77"/>
      <c r="F164" s="77"/>
      <c r="G164" s="76"/>
      <c r="H164" s="77"/>
      <c r="I164" s="77"/>
      <c r="J164" s="76"/>
      <c r="K164" s="77"/>
      <c r="L164" s="77"/>
      <c r="M164" s="77"/>
      <c r="N164" s="77"/>
      <c r="O164" s="77"/>
    </row>
    <row r="165" spans="1:15" x14ac:dyDescent="0.25">
      <c r="A165" s="76"/>
      <c r="B165" s="76"/>
      <c r="C165" s="77"/>
      <c r="D165" s="76"/>
      <c r="E165" s="77"/>
      <c r="F165" s="77"/>
      <c r="G165" s="76"/>
      <c r="H165" s="77"/>
      <c r="I165" s="77"/>
      <c r="J165" s="76"/>
      <c r="K165" s="77"/>
      <c r="L165" s="77"/>
      <c r="M165" s="77"/>
      <c r="N165" s="77"/>
      <c r="O165" s="77"/>
    </row>
    <row r="166" spans="1:15" x14ac:dyDescent="0.25">
      <c r="A166" s="76"/>
      <c r="B166" s="76"/>
      <c r="C166" s="77"/>
      <c r="D166" s="76"/>
      <c r="E166" s="77"/>
      <c r="F166" s="77"/>
      <c r="G166" s="76"/>
      <c r="H166" s="77"/>
      <c r="I166" s="77"/>
      <c r="J166" s="76"/>
      <c r="K166" s="77"/>
      <c r="L166" s="77"/>
      <c r="M166" s="77"/>
      <c r="N166" s="77"/>
      <c r="O166" s="77"/>
    </row>
    <row r="167" spans="1:15" x14ac:dyDescent="0.25">
      <c r="A167" s="76"/>
      <c r="B167" s="76"/>
      <c r="C167" s="77"/>
      <c r="D167" s="76"/>
      <c r="E167" s="77"/>
      <c r="F167" s="77"/>
      <c r="G167" s="76"/>
      <c r="H167" s="77"/>
      <c r="I167" s="77"/>
      <c r="J167" s="76"/>
      <c r="K167" s="77"/>
      <c r="L167" s="77"/>
      <c r="M167" s="77"/>
      <c r="N167" s="77"/>
      <c r="O167" s="77"/>
    </row>
    <row r="168" spans="1:15" x14ac:dyDescent="0.25">
      <c r="A168" s="76"/>
      <c r="B168" s="76"/>
      <c r="C168" s="77"/>
      <c r="D168" s="76"/>
      <c r="E168" s="77"/>
      <c r="F168" s="77"/>
      <c r="G168" s="76"/>
      <c r="H168" s="77"/>
      <c r="I168" s="77"/>
      <c r="J168" s="76"/>
      <c r="K168" s="77"/>
      <c r="L168" s="77"/>
      <c r="M168" s="77"/>
      <c r="N168" s="77"/>
      <c r="O168" s="77"/>
    </row>
    <row r="169" spans="1:15" x14ac:dyDescent="0.25">
      <c r="A169" s="76"/>
      <c r="B169" s="76"/>
      <c r="C169" s="77"/>
      <c r="D169" s="76"/>
      <c r="E169" s="77"/>
      <c r="F169" s="77"/>
      <c r="G169" s="76"/>
      <c r="H169" s="77"/>
      <c r="I169" s="77"/>
      <c r="J169" s="76"/>
      <c r="K169" s="77"/>
      <c r="L169" s="77"/>
      <c r="M169" s="77"/>
      <c r="N169" s="77"/>
      <c r="O169" s="77"/>
    </row>
    <row r="170" spans="1:15" x14ac:dyDescent="0.25">
      <c r="A170" s="76"/>
      <c r="B170" s="76"/>
      <c r="C170" s="77"/>
      <c r="D170" s="76"/>
      <c r="E170" s="77"/>
      <c r="F170" s="77"/>
      <c r="G170" s="76"/>
      <c r="H170" s="77"/>
      <c r="I170" s="77"/>
      <c r="J170" s="76"/>
      <c r="K170" s="77"/>
      <c r="L170" s="77"/>
      <c r="M170" s="77"/>
      <c r="N170" s="77"/>
      <c r="O170" s="77"/>
    </row>
    <row r="171" spans="1:15" x14ac:dyDescent="0.25">
      <c r="A171" s="76"/>
      <c r="B171" s="76"/>
      <c r="C171" s="77"/>
      <c r="D171" s="76"/>
      <c r="E171" s="77"/>
      <c r="F171" s="77"/>
      <c r="G171" s="76"/>
      <c r="H171" s="77"/>
      <c r="I171" s="77"/>
      <c r="J171" s="76"/>
      <c r="K171" s="77"/>
      <c r="L171" s="77"/>
      <c r="M171" s="77"/>
      <c r="N171" s="77"/>
      <c r="O171" s="77"/>
    </row>
    <row r="172" spans="1:15" x14ac:dyDescent="0.25">
      <c r="A172" s="76"/>
      <c r="B172" s="76"/>
      <c r="C172" s="77"/>
      <c r="D172" s="76"/>
      <c r="E172" s="77"/>
      <c r="F172" s="77"/>
      <c r="G172" s="76"/>
      <c r="H172" s="77"/>
      <c r="I172" s="77"/>
      <c r="J172" s="76"/>
      <c r="K172" s="77"/>
      <c r="L172" s="77"/>
      <c r="M172" s="77"/>
      <c r="N172" s="77"/>
      <c r="O172" s="77"/>
    </row>
    <row r="173" spans="1:15" x14ac:dyDescent="0.25">
      <c r="A173" s="76"/>
      <c r="B173" s="76"/>
      <c r="C173" s="77"/>
      <c r="D173" s="76"/>
      <c r="E173" s="77"/>
      <c r="F173" s="77"/>
      <c r="G173" s="76"/>
      <c r="H173" s="77"/>
      <c r="I173" s="77"/>
      <c r="J173" s="76"/>
      <c r="K173" s="77"/>
      <c r="L173" s="77"/>
      <c r="M173" s="77"/>
      <c r="N173" s="77"/>
      <c r="O173" s="77"/>
    </row>
    <row r="174" spans="1:15" x14ac:dyDescent="0.25">
      <c r="A174" s="76"/>
      <c r="B174" s="76"/>
      <c r="C174" s="77"/>
      <c r="D174" s="76"/>
      <c r="E174" s="77"/>
      <c r="F174" s="77"/>
      <c r="G174" s="76"/>
      <c r="H174" s="77"/>
      <c r="I174" s="77"/>
      <c r="J174" s="76"/>
      <c r="K174" s="77"/>
      <c r="L174" s="77"/>
      <c r="M174" s="77"/>
      <c r="N174" s="77"/>
      <c r="O174" s="77"/>
    </row>
    <row r="175" spans="1:15" x14ac:dyDescent="0.25">
      <c r="A175" s="76"/>
      <c r="B175" s="76"/>
      <c r="C175" s="77"/>
      <c r="D175" s="76"/>
      <c r="E175" s="77"/>
      <c r="F175" s="77"/>
      <c r="G175" s="76"/>
      <c r="H175" s="77"/>
      <c r="I175" s="77"/>
      <c r="J175" s="76"/>
      <c r="K175" s="77"/>
      <c r="L175" s="77"/>
      <c r="M175" s="77"/>
      <c r="N175" s="77"/>
      <c r="O175" s="77"/>
    </row>
    <row r="176" spans="1:15" x14ac:dyDescent="0.25">
      <c r="A176" s="76"/>
      <c r="B176" s="76"/>
      <c r="C176" s="77"/>
      <c r="D176" s="76"/>
      <c r="E176" s="77"/>
      <c r="F176" s="77"/>
      <c r="G176" s="76"/>
      <c r="H176" s="77"/>
      <c r="I176" s="77"/>
      <c r="J176" s="76"/>
      <c r="K176" s="77"/>
      <c r="L176" s="77"/>
      <c r="M176" s="77"/>
      <c r="N176" s="77"/>
      <c r="O176" s="77"/>
    </row>
    <row r="177" spans="1:15" x14ac:dyDescent="0.25">
      <c r="A177" s="76"/>
      <c r="B177" s="76"/>
      <c r="C177" s="77"/>
      <c r="D177" s="76"/>
      <c r="E177" s="77"/>
      <c r="F177" s="77"/>
      <c r="G177" s="76"/>
      <c r="H177" s="77"/>
      <c r="I177" s="77"/>
      <c r="J177" s="76"/>
      <c r="K177" s="77"/>
      <c r="L177" s="77"/>
      <c r="M177" s="77"/>
      <c r="N177" s="77"/>
      <c r="O177" s="77"/>
    </row>
    <row r="178" spans="1:15" x14ac:dyDescent="0.25">
      <c r="A178" s="76"/>
      <c r="B178" s="76"/>
      <c r="C178" s="77"/>
      <c r="D178" s="76"/>
      <c r="E178" s="77"/>
      <c r="F178" s="77"/>
      <c r="G178" s="76"/>
      <c r="H178" s="77"/>
      <c r="I178" s="77"/>
      <c r="J178" s="76"/>
      <c r="K178" s="77"/>
      <c r="L178" s="77"/>
      <c r="M178" s="77"/>
      <c r="N178" s="77"/>
      <c r="O178" s="77"/>
    </row>
    <row r="179" spans="1:15" x14ac:dyDescent="0.25">
      <c r="A179" s="76"/>
      <c r="B179" s="76"/>
      <c r="C179" s="77"/>
      <c r="D179" s="76"/>
      <c r="E179" s="77"/>
      <c r="F179" s="77"/>
      <c r="G179" s="76"/>
      <c r="H179" s="77"/>
      <c r="I179" s="77"/>
      <c r="J179" s="76"/>
      <c r="K179" s="77"/>
      <c r="L179" s="77"/>
      <c r="M179" s="77"/>
      <c r="N179" s="77"/>
      <c r="O179" s="77"/>
    </row>
    <row r="180" spans="1:15" x14ac:dyDescent="0.25">
      <c r="A180" s="76"/>
      <c r="B180" s="76"/>
      <c r="C180" s="77"/>
      <c r="D180" s="76"/>
      <c r="E180" s="77"/>
      <c r="F180" s="77"/>
      <c r="G180" s="76"/>
      <c r="H180" s="77"/>
      <c r="I180" s="77"/>
      <c r="J180" s="76"/>
      <c r="K180" s="77"/>
      <c r="L180" s="77"/>
      <c r="M180" s="77"/>
      <c r="N180" s="77"/>
      <c r="O180" s="77"/>
    </row>
    <row r="181" spans="1:15" x14ac:dyDescent="0.25">
      <c r="A181" s="76"/>
      <c r="B181" s="76"/>
      <c r="C181" s="77"/>
      <c r="D181" s="76"/>
      <c r="E181" s="77"/>
      <c r="F181" s="77"/>
      <c r="G181" s="76"/>
      <c r="H181" s="77"/>
      <c r="I181" s="77"/>
      <c r="J181" s="76"/>
      <c r="K181" s="77"/>
      <c r="L181" s="77"/>
      <c r="M181" s="77"/>
      <c r="N181" s="77"/>
      <c r="O181" s="77"/>
    </row>
    <row r="182" spans="1:15" x14ac:dyDescent="0.25">
      <c r="A182" s="76"/>
      <c r="B182" s="76"/>
      <c r="C182" s="77"/>
      <c r="D182" s="76"/>
      <c r="E182" s="77"/>
      <c r="F182" s="77"/>
      <c r="G182" s="76"/>
      <c r="H182" s="77"/>
      <c r="I182" s="77"/>
      <c r="J182" s="76"/>
      <c r="K182" s="77"/>
      <c r="L182" s="77"/>
      <c r="M182" s="77"/>
      <c r="N182" s="77"/>
      <c r="O182" s="77"/>
    </row>
    <row r="183" spans="1:15" x14ac:dyDescent="0.25">
      <c r="A183" s="76"/>
      <c r="B183" s="76"/>
      <c r="C183" s="77"/>
      <c r="D183" s="76"/>
      <c r="E183" s="77"/>
      <c r="F183" s="77"/>
      <c r="G183" s="76"/>
      <c r="H183" s="77"/>
      <c r="I183" s="77"/>
      <c r="J183" s="76"/>
      <c r="K183" s="77"/>
      <c r="L183" s="77"/>
      <c r="M183" s="77"/>
      <c r="N183" s="77"/>
      <c r="O183" s="77"/>
    </row>
    <row r="184" spans="1:15" x14ac:dyDescent="0.25">
      <c r="A184" s="76"/>
      <c r="B184" s="76"/>
      <c r="C184" s="77"/>
      <c r="D184" s="76"/>
      <c r="E184" s="77"/>
      <c r="F184" s="77"/>
      <c r="G184" s="76"/>
      <c r="H184" s="77"/>
      <c r="I184" s="77"/>
      <c r="J184" s="76"/>
      <c r="K184" s="77"/>
      <c r="L184" s="77"/>
      <c r="M184" s="77"/>
      <c r="N184" s="77"/>
      <c r="O184" s="77"/>
    </row>
    <row r="185" spans="1:15" x14ac:dyDescent="0.25">
      <c r="A185" s="76"/>
      <c r="B185" s="76"/>
      <c r="C185" s="77"/>
      <c r="D185" s="76"/>
      <c r="E185" s="77"/>
      <c r="F185" s="77"/>
      <c r="G185" s="76"/>
      <c r="H185" s="77"/>
      <c r="I185" s="77"/>
      <c r="J185" s="76"/>
      <c r="K185" s="77"/>
      <c r="L185" s="77"/>
      <c r="M185" s="77"/>
      <c r="N185" s="77"/>
      <c r="O185" s="77"/>
    </row>
    <row r="186" spans="1:15" x14ac:dyDescent="0.25">
      <c r="A186" s="76"/>
      <c r="B186" s="76"/>
      <c r="C186" s="77"/>
      <c r="D186" s="76"/>
      <c r="E186" s="77"/>
      <c r="F186" s="77"/>
      <c r="G186" s="76"/>
      <c r="H186" s="77"/>
      <c r="I186" s="77"/>
      <c r="J186" s="76"/>
      <c r="K186" s="77"/>
      <c r="L186" s="77"/>
      <c r="M186" s="77"/>
      <c r="N186" s="77"/>
      <c r="O186" s="77"/>
    </row>
    <row r="187" spans="1:15" x14ac:dyDescent="0.25">
      <c r="A187" s="76"/>
      <c r="B187" s="76"/>
      <c r="C187" s="77"/>
      <c r="D187" s="76"/>
      <c r="E187" s="77"/>
      <c r="F187" s="77"/>
      <c r="G187" s="76"/>
      <c r="H187" s="77"/>
      <c r="I187" s="77"/>
      <c r="J187" s="76"/>
      <c r="K187" s="77"/>
      <c r="L187" s="77"/>
      <c r="M187" s="77"/>
      <c r="N187" s="77"/>
      <c r="O187" s="77"/>
    </row>
    <row r="188" spans="1:15" x14ac:dyDescent="0.25">
      <c r="A188" s="76"/>
      <c r="B188" s="76"/>
      <c r="C188" s="77"/>
      <c r="D188" s="76"/>
      <c r="E188" s="77"/>
      <c r="F188" s="77"/>
      <c r="G188" s="76"/>
      <c r="H188" s="77"/>
      <c r="I188" s="77"/>
      <c r="J188" s="76"/>
      <c r="K188" s="77"/>
      <c r="L188" s="77"/>
      <c r="M188" s="77"/>
      <c r="N188" s="77"/>
      <c r="O188" s="77"/>
    </row>
    <row r="189" spans="1:15" x14ac:dyDescent="0.25">
      <c r="A189" s="76"/>
      <c r="B189" s="76"/>
      <c r="C189" s="77"/>
      <c r="D189" s="76"/>
      <c r="E189" s="77"/>
      <c r="F189" s="77"/>
      <c r="G189" s="76"/>
      <c r="H189" s="77"/>
      <c r="I189" s="77"/>
      <c r="J189" s="76"/>
      <c r="K189" s="77"/>
      <c r="L189" s="77"/>
      <c r="M189" s="77"/>
      <c r="N189" s="77"/>
      <c r="O189" s="77"/>
    </row>
    <row r="190" spans="1:15" x14ac:dyDescent="0.25">
      <c r="A190" s="76"/>
      <c r="B190" s="76"/>
      <c r="C190" s="77"/>
      <c r="D190" s="76"/>
      <c r="E190" s="77"/>
      <c r="F190" s="77"/>
      <c r="G190" s="76"/>
      <c r="H190" s="77"/>
      <c r="I190" s="77"/>
      <c r="J190" s="76"/>
      <c r="K190" s="77"/>
      <c r="L190" s="77"/>
      <c r="M190" s="77"/>
      <c r="N190" s="77"/>
      <c r="O190" s="77"/>
    </row>
    <row r="191" spans="1:15" x14ac:dyDescent="0.25">
      <c r="A191" s="76"/>
      <c r="B191" s="76"/>
      <c r="C191" s="77"/>
      <c r="D191" s="76"/>
      <c r="E191" s="77"/>
      <c r="F191" s="77"/>
      <c r="G191" s="76"/>
      <c r="H191" s="77"/>
      <c r="I191" s="77"/>
      <c r="J191" s="76"/>
      <c r="K191" s="77"/>
      <c r="L191" s="77"/>
      <c r="M191" s="77"/>
      <c r="N191" s="77"/>
      <c r="O191" s="77"/>
    </row>
    <row r="192" spans="1:15" x14ac:dyDescent="0.25">
      <c r="A192" s="76"/>
      <c r="B192" s="76"/>
      <c r="C192" s="77"/>
      <c r="D192" s="76"/>
      <c r="E192" s="77"/>
      <c r="F192" s="77"/>
      <c r="G192" s="76"/>
      <c r="H192" s="77"/>
      <c r="I192" s="77"/>
      <c r="J192" s="76"/>
      <c r="K192" s="77"/>
      <c r="L192" s="77"/>
      <c r="M192" s="77"/>
      <c r="N192" s="77"/>
      <c r="O192" s="77"/>
    </row>
    <row r="193" spans="1:15" x14ac:dyDescent="0.25">
      <c r="A193" s="76"/>
      <c r="B193" s="76"/>
      <c r="C193" s="77"/>
      <c r="D193" s="76"/>
      <c r="E193" s="77"/>
      <c r="F193" s="77"/>
      <c r="G193" s="76"/>
      <c r="H193" s="77"/>
      <c r="I193" s="77"/>
      <c r="J193" s="76"/>
      <c r="K193" s="77"/>
      <c r="L193" s="77"/>
      <c r="M193" s="77"/>
      <c r="N193" s="77"/>
      <c r="O193" s="77"/>
    </row>
    <row r="194" spans="1:15" x14ac:dyDescent="0.25">
      <c r="A194" s="76"/>
      <c r="B194" s="76"/>
      <c r="C194" s="77"/>
      <c r="D194" s="76"/>
      <c r="E194" s="77"/>
      <c r="F194" s="77"/>
      <c r="G194" s="76"/>
      <c r="H194" s="77"/>
      <c r="I194" s="77"/>
      <c r="J194" s="76"/>
      <c r="K194" s="77"/>
      <c r="L194" s="77"/>
      <c r="M194" s="77"/>
      <c r="N194" s="77"/>
      <c r="O194" s="77"/>
    </row>
    <row r="195" spans="1:15" x14ac:dyDescent="0.25">
      <c r="A195" s="76"/>
      <c r="B195" s="76"/>
      <c r="C195" s="77"/>
      <c r="D195" s="76"/>
      <c r="E195" s="77"/>
      <c r="F195" s="77"/>
      <c r="G195" s="76"/>
      <c r="H195" s="77"/>
      <c r="I195" s="77"/>
      <c r="J195" s="76"/>
      <c r="K195" s="77"/>
      <c r="L195" s="77"/>
      <c r="M195" s="77"/>
      <c r="N195" s="77"/>
      <c r="O195" s="77"/>
    </row>
    <row r="196" spans="1:15" x14ac:dyDescent="0.25">
      <c r="A196" s="76"/>
      <c r="B196" s="76"/>
      <c r="C196" s="77"/>
      <c r="D196" s="76"/>
      <c r="E196" s="77"/>
      <c r="F196" s="77"/>
      <c r="G196" s="76"/>
      <c r="H196" s="77"/>
      <c r="I196" s="77"/>
      <c r="J196" s="76"/>
      <c r="K196" s="77"/>
      <c r="L196" s="77"/>
      <c r="M196" s="77"/>
      <c r="N196" s="77"/>
      <c r="O196" s="77"/>
    </row>
    <row r="197" spans="1:15" x14ac:dyDescent="0.25">
      <c r="A197" s="76"/>
      <c r="B197" s="76"/>
      <c r="C197" s="77"/>
      <c r="D197" s="76"/>
      <c r="E197" s="77"/>
      <c r="F197" s="77"/>
      <c r="G197" s="76"/>
      <c r="H197" s="77"/>
      <c r="I197" s="77"/>
      <c r="J197" s="76"/>
      <c r="K197" s="77"/>
      <c r="L197" s="77"/>
      <c r="M197" s="77"/>
      <c r="N197" s="77"/>
      <c r="O197" s="77"/>
    </row>
    <row r="198" spans="1:15" x14ac:dyDescent="0.25">
      <c r="A198" s="76"/>
      <c r="B198" s="76"/>
      <c r="C198" s="77"/>
      <c r="D198" s="76"/>
      <c r="E198" s="77"/>
      <c r="F198" s="77"/>
      <c r="G198" s="76"/>
      <c r="H198" s="77"/>
      <c r="I198" s="77"/>
      <c r="J198" s="76"/>
      <c r="K198" s="77"/>
      <c r="L198" s="77"/>
      <c r="M198" s="77"/>
      <c r="N198" s="77"/>
      <c r="O198" s="77"/>
    </row>
    <row r="199" spans="1:15" x14ac:dyDescent="0.25">
      <c r="A199" s="76"/>
      <c r="B199" s="76"/>
      <c r="C199" s="77"/>
      <c r="D199" s="76"/>
      <c r="E199" s="77"/>
      <c r="F199" s="77"/>
      <c r="G199" s="76"/>
      <c r="H199" s="77"/>
      <c r="I199" s="77"/>
      <c r="J199" s="76"/>
      <c r="K199" s="77"/>
      <c r="L199" s="77"/>
      <c r="M199" s="77"/>
      <c r="N199" s="77"/>
      <c r="O199" s="77"/>
    </row>
    <row r="200" spans="1:15" x14ac:dyDescent="0.25">
      <c r="A200" s="76"/>
      <c r="B200" s="76"/>
      <c r="C200" s="77"/>
      <c r="D200" s="76"/>
      <c r="E200" s="77"/>
      <c r="F200" s="77"/>
      <c r="G200" s="76"/>
      <c r="H200" s="77"/>
      <c r="I200" s="77"/>
      <c r="J200" s="76"/>
      <c r="K200" s="77"/>
      <c r="L200" s="77"/>
      <c r="M200" s="77"/>
      <c r="N200" s="77"/>
      <c r="O200" s="77"/>
    </row>
    <row r="201" spans="1:15" x14ac:dyDescent="0.25">
      <c r="A201" s="76"/>
      <c r="B201" s="76"/>
      <c r="C201" s="77"/>
      <c r="D201" s="76"/>
      <c r="E201" s="77"/>
      <c r="F201" s="77"/>
      <c r="G201" s="76"/>
      <c r="H201" s="77"/>
      <c r="I201" s="77"/>
      <c r="J201" s="76"/>
      <c r="K201" s="77"/>
      <c r="L201" s="77"/>
      <c r="M201" s="77"/>
      <c r="N201" s="77"/>
      <c r="O201" s="77"/>
    </row>
    <row r="202" spans="1:15" x14ac:dyDescent="0.25">
      <c r="A202" s="76"/>
      <c r="B202" s="76"/>
      <c r="C202" s="77"/>
      <c r="D202" s="76"/>
      <c r="E202" s="77"/>
      <c r="F202" s="77"/>
      <c r="G202" s="76"/>
      <c r="H202" s="77"/>
      <c r="I202" s="77"/>
      <c r="J202" s="76"/>
      <c r="K202" s="77"/>
      <c r="L202" s="77"/>
      <c r="M202" s="77"/>
      <c r="N202" s="77"/>
      <c r="O202" s="77"/>
    </row>
    <row r="203" spans="1:15" x14ac:dyDescent="0.25">
      <c r="A203" s="76"/>
      <c r="B203" s="76"/>
      <c r="C203" s="77"/>
      <c r="D203" s="76"/>
      <c r="E203" s="77"/>
      <c r="F203" s="77"/>
      <c r="G203" s="76"/>
      <c r="H203" s="77"/>
      <c r="I203" s="77"/>
      <c r="J203" s="76"/>
      <c r="K203" s="77"/>
      <c r="L203" s="77"/>
      <c r="M203" s="77"/>
      <c r="N203" s="77"/>
      <c r="O203" s="77"/>
    </row>
    <row r="204" spans="1:15" x14ac:dyDescent="0.25">
      <c r="A204" s="76"/>
      <c r="B204" s="76"/>
      <c r="C204" s="77"/>
      <c r="D204" s="76"/>
      <c r="E204" s="77"/>
      <c r="F204" s="77"/>
      <c r="G204" s="76"/>
      <c r="H204" s="77"/>
      <c r="I204" s="77"/>
      <c r="J204" s="76"/>
      <c r="K204" s="77"/>
      <c r="L204" s="77"/>
      <c r="M204" s="77"/>
      <c r="N204" s="77"/>
      <c r="O204" s="77"/>
    </row>
    <row r="205" spans="1:15" x14ac:dyDescent="0.25">
      <c r="A205" s="76"/>
      <c r="B205" s="76"/>
      <c r="C205" s="77"/>
      <c r="D205" s="76"/>
      <c r="E205" s="77"/>
      <c r="F205" s="77"/>
      <c r="G205" s="76"/>
      <c r="H205" s="77"/>
      <c r="I205" s="77"/>
      <c r="J205" s="76"/>
      <c r="K205" s="77"/>
      <c r="L205" s="77"/>
      <c r="M205" s="77"/>
      <c r="N205" s="77"/>
      <c r="O205" s="77"/>
    </row>
    <row r="206" spans="1:15" x14ac:dyDescent="0.25">
      <c r="A206" s="76"/>
      <c r="B206" s="76"/>
      <c r="C206" s="77"/>
      <c r="D206" s="76"/>
      <c r="E206" s="77"/>
      <c r="F206" s="77"/>
      <c r="G206" s="76"/>
      <c r="H206" s="77"/>
      <c r="I206" s="77"/>
      <c r="J206" s="76"/>
      <c r="K206" s="77"/>
      <c r="L206" s="77"/>
      <c r="M206" s="77"/>
      <c r="N206" s="77"/>
      <c r="O206" s="77"/>
    </row>
    <row r="207" spans="1:15" x14ac:dyDescent="0.25">
      <c r="A207" s="76"/>
      <c r="B207" s="76"/>
      <c r="C207" s="77"/>
      <c r="D207" s="76"/>
      <c r="E207" s="77"/>
      <c r="F207" s="77"/>
      <c r="G207" s="76"/>
      <c r="H207" s="77"/>
      <c r="I207" s="77"/>
      <c r="J207" s="76"/>
      <c r="K207" s="77"/>
      <c r="L207" s="77"/>
      <c r="M207" s="77"/>
      <c r="N207" s="77"/>
      <c r="O207" s="77"/>
    </row>
    <row r="208" spans="1:15" x14ac:dyDescent="0.25">
      <c r="A208" s="76"/>
      <c r="B208" s="76"/>
      <c r="C208" s="77"/>
      <c r="D208" s="76"/>
      <c r="E208" s="77"/>
      <c r="F208" s="77"/>
      <c r="G208" s="76"/>
      <c r="H208" s="77"/>
      <c r="I208" s="77"/>
      <c r="J208" s="76"/>
      <c r="K208" s="77"/>
      <c r="L208" s="77"/>
      <c r="M208" s="77"/>
      <c r="N208" s="77"/>
      <c r="O208" s="77"/>
    </row>
    <row r="209" spans="1:15" x14ac:dyDescent="0.25">
      <c r="A209" s="76"/>
      <c r="B209" s="76"/>
      <c r="C209" s="77"/>
      <c r="D209" s="76"/>
      <c r="E209" s="77"/>
      <c r="F209" s="77"/>
      <c r="G209" s="76"/>
      <c r="H209" s="77"/>
      <c r="I209" s="77"/>
      <c r="J209" s="76"/>
      <c r="K209" s="77"/>
      <c r="L209" s="77"/>
      <c r="M209" s="77"/>
      <c r="N209" s="77"/>
      <c r="O209" s="77"/>
    </row>
    <row r="210" spans="1:15" x14ac:dyDescent="0.25">
      <c r="A210" s="76"/>
      <c r="B210" s="76"/>
      <c r="C210" s="77"/>
      <c r="D210" s="76"/>
      <c r="E210" s="77"/>
      <c r="F210" s="77"/>
      <c r="G210" s="76"/>
      <c r="H210" s="77"/>
      <c r="I210" s="77"/>
      <c r="J210" s="76"/>
      <c r="K210" s="77"/>
      <c r="L210" s="77"/>
      <c r="M210" s="77"/>
      <c r="N210" s="77"/>
      <c r="O210" s="77"/>
    </row>
    <row r="211" spans="1:15" x14ac:dyDescent="0.25">
      <c r="A211" s="76"/>
      <c r="B211" s="76"/>
      <c r="C211" s="77"/>
      <c r="D211" s="76"/>
      <c r="E211" s="77"/>
      <c r="F211" s="77"/>
      <c r="G211" s="76"/>
      <c r="H211" s="77"/>
      <c r="I211" s="77"/>
      <c r="J211" s="76"/>
      <c r="K211" s="77"/>
      <c r="L211" s="77"/>
      <c r="M211" s="77"/>
      <c r="N211" s="77"/>
      <c r="O211" s="77"/>
    </row>
    <row r="212" spans="1:15" x14ac:dyDescent="0.25">
      <c r="A212" s="76"/>
      <c r="B212" s="76"/>
      <c r="C212" s="77"/>
      <c r="D212" s="76"/>
      <c r="E212" s="77"/>
      <c r="F212" s="77"/>
      <c r="G212" s="76"/>
      <c r="H212" s="77"/>
      <c r="I212" s="77"/>
      <c r="J212" s="76"/>
      <c r="K212" s="77"/>
      <c r="L212" s="77"/>
      <c r="M212" s="77"/>
      <c r="N212" s="77"/>
      <c r="O212" s="77"/>
    </row>
    <row r="213" spans="1:15" x14ac:dyDescent="0.25">
      <c r="A213" s="76"/>
      <c r="B213" s="76"/>
      <c r="C213" s="77"/>
      <c r="D213" s="76"/>
      <c r="E213" s="77"/>
      <c r="F213" s="77"/>
      <c r="G213" s="76"/>
      <c r="H213" s="77"/>
      <c r="I213" s="77"/>
      <c r="J213" s="76"/>
      <c r="K213" s="77"/>
      <c r="L213" s="77"/>
      <c r="M213" s="77"/>
      <c r="N213" s="77"/>
      <c r="O213" s="77"/>
    </row>
    <row r="214" spans="1:15" x14ac:dyDescent="0.25">
      <c r="A214" s="76"/>
      <c r="B214" s="76"/>
      <c r="C214" s="77"/>
      <c r="D214" s="76"/>
      <c r="E214" s="77"/>
      <c r="F214" s="77"/>
      <c r="G214" s="76"/>
      <c r="H214" s="77"/>
      <c r="I214" s="77"/>
      <c r="J214" s="76"/>
      <c r="K214" s="77"/>
      <c r="L214" s="77"/>
      <c r="M214" s="77"/>
      <c r="N214" s="77"/>
      <c r="O214" s="77"/>
    </row>
    <row r="215" spans="1:15" x14ac:dyDescent="0.25">
      <c r="A215" s="76"/>
      <c r="B215" s="76"/>
      <c r="C215" s="77"/>
      <c r="D215" s="76"/>
      <c r="E215" s="77"/>
      <c r="F215" s="77"/>
      <c r="G215" s="76"/>
      <c r="H215" s="77"/>
      <c r="I215" s="77"/>
      <c r="J215" s="76"/>
      <c r="K215" s="77"/>
      <c r="L215" s="77"/>
      <c r="M215" s="77"/>
      <c r="N215" s="77"/>
      <c r="O215" s="77"/>
    </row>
    <row r="216" spans="1:15" x14ac:dyDescent="0.25">
      <c r="A216" s="76"/>
      <c r="B216" s="76"/>
      <c r="C216" s="77"/>
      <c r="D216" s="76"/>
      <c r="E216" s="77"/>
      <c r="F216" s="77"/>
      <c r="G216" s="76"/>
      <c r="H216" s="77"/>
      <c r="I216" s="77"/>
      <c r="J216" s="76"/>
      <c r="K216" s="77"/>
      <c r="L216" s="77"/>
      <c r="M216" s="77"/>
      <c r="N216" s="77"/>
      <c r="O216" s="77"/>
    </row>
    <row r="217" spans="1:15" x14ac:dyDescent="0.25">
      <c r="A217" s="76"/>
      <c r="B217" s="76"/>
      <c r="C217" s="77"/>
      <c r="D217" s="76"/>
      <c r="E217" s="77"/>
      <c r="F217" s="77"/>
      <c r="G217" s="76"/>
      <c r="H217" s="77"/>
      <c r="I217" s="77"/>
      <c r="J217" s="76"/>
      <c r="K217" s="77"/>
      <c r="L217" s="77"/>
      <c r="M217" s="77"/>
      <c r="N217" s="77"/>
      <c r="O217" s="77"/>
    </row>
    <row r="218" spans="1:15" x14ac:dyDescent="0.25">
      <c r="A218" s="76"/>
      <c r="B218" s="76"/>
      <c r="C218" s="77"/>
      <c r="D218" s="76"/>
      <c r="E218" s="77"/>
      <c r="F218" s="77"/>
      <c r="G218" s="76"/>
      <c r="H218" s="77"/>
      <c r="I218" s="77"/>
      <c r="J218" s="76"/>
      <c r="K218" s="77"/>
      <c r="L218" s="77"/>
      <c r="M218" s="77"/>
      <c r="N218" s="77"/>
      <c r="O218" s="77"/>
    </row>
    <row r="219" spans="1:15" x14ac:dyDescent="0.25">
      <c r="A219" s="76"/>
      <c r="B219" s="76"/>
      <c r="C219" s="77"/>
      <c r="D219" s="76"/>
      <c r="E219" s="77"/>
      <c r="F219" s="77"/>
      <c r="G219" s="76"/>
      <c r="H219" s="77"/>
      <c r="I219" s="77"/>
      <c r="J219" s="76"/>
      <c r="K219" s="77"/>
      <c r="L219" s="77"/>
      <c r="M219" s="77"/>
      <c r="N219" s="77"/>
      <c r="O219" s="77"/>
    </row>
    <row r="220" spans="1:15" x14ac:dyDescent="0.25">
      <c r="A220" s="76"/>
      <c r="B220" s="76"/>
      <c r="C220" s="77"/>
      <c r="D220" s="76"/>
      <c r="E220" s="77"/>
      <c r="F220" s="77"/>
      <c r="G220" s="76"/>
      <c r="H220" s="77"/>
      <c r="I220" s="77"/>
      <c r="J220" s="76"/>
      <c r="K220" s="77"/>
      <c r="L220" s="77"/>
      <c r="M220" s="77"/>
      <c r="N220" s="77"/>
      <c r="O220" s="77"/>
    </row>
    <row r="221" spans="1:15" x14ac:dyDescent="0.25">
      <c r="A221" s="76"/>
      <c r="B221" s="76"/>
      <c r="C221" s="77"/>
      <c r="D221" s="76"/>
      <c r="E221" s="77"/>
      <c r="F221" s="77"/>
      <c r="G221" s="76"/>
      <c r="H221" s="77"/>
      <c r="I221" s="77"/>
      <c r="J221" s="76"/>
      <c r="K221" s="77"/>
      <c r="L221" s="77"/>
      <c r="M221" s="77"/>
      <c r="N221" s="77"/>
      <c r="O221" s="77"/>
    </row>
    <row r="222" spans="1:15" x14ac:dyDescent="0.25">
      <c r="A222" s="76"/>
      <c r="B222" s="76"/>
      <c r="C222" s="77"/>
      <c r="D222" s="76"/>
      <c r="E222" s="77"/>
      <c r="F222" s="77"/>
      <c r="G222" s="76"/>
      <c r="H222" s="77"/>
      <c r="I222" s="77"/>
      <c r="J222" s="76"/>
      <c r="K222" s="77"/>
      <c r="L222" s="77"/>
      <c r="M222" s="77"/>
      <c r="N222" s="77"/>
      <c r="O222" s="77"/>
    </row>
    <row r="223" spans="1:15" x14ac:dyDescent="0.25">
      <c r="A223" s="76"/>
      <c r="B223" s="76"/>
      <c r="C223" s="77"/>
      <c r="D223" s="76"/>
      <c r="E223" s="77"/>
      <c r="F223" s="77"/>
      <c r="G223" s="76"/>
      <c r="H223" s="77"/>
      <c r="I223" s="77"/>
      <c r="J223" s="76"/>
      <c r="K223" s="77"/>
      <c r="L223" s="77"/>
      <c r="M223" s="77"/>
      <c r="N223" s="77"/>
      <c r="O223" s="77"/>
    </row>
    <row r="224" spans="1:15" x14ac:dyDescent="0.25">
      <c r="A224" s="76"/>
      <c r="B224" s="76"/>
      <c r="C224" s="77"/>
      <c r="D224" s="76"/>
      <c r="E224" s="77"/>
      <c r="F224" s="77"/>
      <c r="G224" s="76"/>
      <c r="H224" s="77"/>
      <c r="I224" s="77"/>
      <c r="J224" s="76"/>
      <c r="K224" s="77"/>
      <c r="L224" s="77"/>
      <c r="M224" s="77"/>
      <c r="N224" s="77"/>
      <c r="O224" s="77"/>
    </row>
    <row r="225" spans="1:15" x14ac:dyDescent="0.25">
      <c r="A225" s="76"/>
      <c r="B225" s="76"/>
      <c r="C225" s="77"/>
      <c r="D225" s="76"/>
      <c r="E225" s="77"/>
      <c r="F225" s="77"/>
      <c r="G225" s="76"/>
      <c r="H225" s="77"/>
      <c r="I225" s="77"/>
      <c r="J225" s="76"/>
      <c r="K225" s="77"/>
      <c r="L225" s="77"/>
      <c r="M225" s="77"/>
      <c r="N225" s="77"/>
      <c r="O225" s="77"/>
    </row>
    <row r="226" spans="1:15" x14ac:dyDescent="0.25">
      <c r="A226" s="76"/>
      <c r="B226" s="76"/>
      <c r="C226" s="77"/>
      <c r="D226" s="76"/>
      <c r="E226" s="77"/>
      <c r="F226" s="77"/>
      <c r="G226" s="76"/>
      <c r="H226" s="77"/>
      <c r="I226" s="77"/>
      <c r="J226" s="76"/>
      <c r="K226" s="77"/>
      <c r="L226" s="77"/>
      <c r="M226" s="77"/>
      <c r="N226" s="77"/>
      <c r="O226" s="77"/>
    </row>
    <row r="227" spans="1:15" x14ac:dyDescent="0.25">
      <c r="A227" s="76"/>
      <c r="B227" s="76"/>
      <c r="C227" s="77"/>
      <c r="D227" s="76"/>
      <c r="E227" s="77"/>
      <c r="F227" s="77"/>
      <c r="G227" s="76"/>
      <c r="H227" s="77"/>
      <c r="I227" s="77"/>
      <c r="J227" s="76"/>
      <c r="K227" s="77"/>
      <c r="L227" s="77"/>
      <c r="M227" s="77"/>
      <c r="N227" s="77"/>
      <c r="O227" s="77"/>
    </row>
    <row r="228" spans="1:15" x14ac:dyDescent="0.25">
      <c r="A228" s="76"/>
      <c r="B228" s="76"/>
      <c r="C228" s="77"/>
      <c r="D228" s="76"/>
      <c r="E228" s="77"/>
      <c r="F228" s="77"/>
      <c r="G228" s="76"/>
      <c r="H228" s="77"/>
      <c r="I228" s="77"/>
      <c r="J228" s="76"/>
      <c r="K228" s="77"/>
      <c r="L228" s="77"/>
      <c r="M228" s="77"/>
      <c r="N228" s="77"/>
      <c r="O228" s="77"/>
    </row>
    <row r="229" spans="1:15" x14ac:dyDescent="0.25">
      <c r="A229" s="76"/>
      <c r="B229" s="76"/>
      <c r="C229" s="77"/>
      <c r="D229" s="76"/>
      <c r="E229" s="77"/>
      <c r="F229" s="77"/>
      <c r="G229" s="76"/>
      <c r="H229" s="77"/>
      <c r="I229" s="77"/>
      <c r="J229" s="76"/>
      <c r="K229" s="77"/>
      <c r="L229" s="77"/>
      <c r="M229" s="77"/>
      <c r="N229" s="77"/>
      <c r="O229" s="77"/>
    </row>
    <row r="230" spans="1:15" x14ac:dyDescent="0.25">
      <c r="A230" s="76"/>
      <c r="B230" s="76"/>
      <c r="C230" s="77"/>
      <c r="D230" s="76"/>
      <c r="E230" s="77"/>
      <c r="F230" s="77"/>
      <c r="G230" s="76"/>
      <c r="H230" s="77"/>
      <c r="I230" s="77"/>
      <c r="J230" s="76"/>
      <c r="K230" s="77"/>
      <c r="L230" s="77"/>
      <c r="M230" s="77"/>
      <c r="N230" s="77"/>
      <c r="O230" s="77"/>
    </row>
    <row r="231" spans="1:15" x14ac:dyDescent="0.25">
      <c r="A231" s="76"/>
      <c r="B231" s="76"/>
      <c r="C231" s="77"/>
      <c r="D231" s="76"/>
      <c r="E231" s="77"/>
      <c r="F231" s="77"/>
      <c r="G231" s="76"/>
      <c r="H231" s="77"/>
      <c r="I231" s="77"/>
      <c r="J231" s="76"/>
      <c r="K231" s="77"/>
      <c r="L231" s="77"/>
      <c r="M231" s="77"/>
      <c r="N231" s="77"/>
      <c r="O231" s="77"/>
    </row>
    <row r="232" spans="1:15" x14ac:dyDescent="0.25">
      <c r="A232" s="76"/>
      <c r="B232" s="76"/>
      <c r="C232" s="77"/>
      <c r="D232" s="76"/>
      <c r="E232" s="77"/>
      <c r="F232" s="77"/>
      <c r="G232" s="76"/>
      <c r="H232" s="77"/>
      <c r="I232" s="77"/>
      <c r="J232" s="76"/>
      <c r="K232" s="77"/>
      <c r="L232" s="77"/>
      <c r="M232" s="77"/>
      <c r="N232" s="77"/>
      <c r="O232" s="77"/>
    </row>
    <row r="233" spans="1:15" x14ac:dyDescent="0.25">
      <c r="A233" s="76"/>
      <c r="B233" s="76"/>
      <c r="C233" s="77"/>
      <c r="D233" s="76"/>
      <c r="E233" s="77"/>
      <c r="F233" s="77"/>
      <c r="G233" s="76"/>
      <c r="H233" s="77"/>
      <c r="I233" s="77"/>
      <c r="J233" s="76"/>
      <c r="K233" s="77"/>
      <c r="L233" s="77"/>
      <c r="M233" s="77"/>
      <c r="N233" s="77"/>
      <c r="O233" s="77"/>
    </row>
    <row r="234" spans="1:15" x14ac:dyDescent="0.25">
      <c r="A234" s="76"/>
      <c r="B234" s="76"/>
      <c r="C234" s="77"/>
      <c r="D234" s="76"/>
      <c r="E234" s="77"/>
      <c r="F234" s="77"/>
      <c r="G234" s="76"/>
      <c r="H234" s="77"/>
      <c r="I234" s="77"/>
      <c r="J234" s="76"/>
      <c r="K234" s="77"/>
      <c r="L234" s="77"/>
      <c r="M234" s="77"/>
      <c r="N234" s="77"/>
      <c r="O234" s="77"/>
    </row>
    <row r="235" spans="1:15" x14ac:dyDescent="0.25">
      <c r="A235" s="76"/>
      <c r="B235" s="76"/>
      <c r="C235" s="77"/>
      <c r="D235" s="76"/>
      <c r="E235" s="77"/>
      <c r="F235" s="77"/>
      <c r="G235" s="76"/>
      <c r="H235" s="77"/>
      <c r="I235" s="77"/>
      <c r="J235" s="76"/>
      <c r="K235" s="77"/>
      <c r="L235" s="77"/>
      <c r="M235" s="77"/>
      <c r="N235" s="77"/>
      <c r="O235" s="77"/>
    </row>
    <row r="236" spans="1:15" x14ac:dyDescent="0.25">
      <c r="A236" s="76"/>
      <c r="B236" s="76"/>
      <c r="C236" s="77"/>
      <c r="D236" s="76"/>
      <c r="E236" s="77"/>
      <c r="F236" s="77"/>
      <c r="G236" s="76"/>
      <c r="H236" s="77"/>
      <c r="I236" s="77"/>
      <c r="J236" s="76"/>
      <c r="K236" s="77"/>
      <c r="L236" s="77"/>
      <c r="M236" s="77"/>
      <c r="N236" s="77"/>
      <c r="O236" s="77"/>
    </row>
    <row r="237" spans="1:15" x14ac:dyDescent="0.25">
      <c r="A237" s="76"/>
      <c r="B237" s="76"/>
      <c r="C237" s="77"/>
      <c r="D237" s="76"/>
      <c r="E237" s="77"/>
      <c r="F237" s="77"/>
      <c r="G237" s="76"/>
      <c r="H237" s="77"/>
      <c r="I237" s="77"/>
      <c r="J237" s="76"/>
      <c r="K237" s="77"/>
      <c r="L237" s="77"/>
      <c r="M237" s="77"/>
      <c r="N237" s="77"/>
      <c r="O237" s="77"/>
    </row>
    <row r="238" spans="1:15" x14ac:dyDescent="0.25">
      <c r="A238" s="76"/>
      <c r="B238" s="76"/>
      <c r="C238" s="77"/>
      <c r="D238" s="76"/>
      <c r="E238" s="77"/>
      <c r="F238" s="77"/>
      <c r="G238" s="76"/>
      <c r="H238" s="77"/>
      <c r="I238" s="77"/>
      <c r="J238" s="76"/>
      <c r="K238" s="77"/>
      <c r="L238" s="77"/>
      <c r="M238" s="77"/>
      <c r="N238" s="77"/>
      <c r="O238" s="77"/>
    </row>
    <row r="239" spans="1:15" x14ac:dyDescent="0.25">
      <c r="A239" s="76"/>
      <c r="B239" s="76"/>
      <c r="C239" s="77"/>
      <c r="D239" s="76"/>
      <c r="E239" s="77"/>
      <c r="F239" s="77"/>
      <c r="G239" s="76"/>
      <c r="H239" s="77"/>
      <c r="I239" s="77"/>
      <c r="J239" s="76"/>
      <c r="K239" s="77"/>
      <c r="L239" s="77"/>
      <c r="M239" s="77"/>
      <c r="N239" s="77"/>
      <c r="O239" s="77"/>
    </row>
    <row r="240" spans="1:15" x14ac:dyDescent="0.25">
      <c r="A240" s="76"/>
      <c r="B240" s="76"/>
      <c r="C240" s="77"/>
      <c r="D240" s="76"/>
      <c r="E240" s="77"/>
      <c r="F240" s="77"/>
      <c r="G240" s="76"/>
      <c r="H240" s="77"/>
      <c r="I240" s="77"/>
      <c r="J240" s="76"/>
      <c r="K240" s="77"/>
      <c r="L240" s="77"/>
      <c r="M240" s="77"/>
      <c r="N240" s="77"/>
      <c r="O240" s="77"/>
    </row>
    <row r="241" spans="1:15" x14ac:dyDescent="0.25">
      <c r="A241" s="76"/>
      <c r="B241" s="76"/>
      <c r="C241" s="77"/>
      <c r="D241" s="76"/>
      <c r="E241" s="77"/>
      <c r="F241" s="77"/>
      <c r="G241" s="76"/>
      <c r="H241" s="77"/>
      <c r="I241" s="77"/>
      <c r="J241" s="76"/>
      <c r="K241" s="77"/>
      <c r="L241" s="77"/>
      <c r="M241" s="77"/>
      <c r="N241" s="77"/>
      <c r="O241" s="77"/>
    </row>
    <row r="242" spans="1:15" x14ac:dyDescent="0.25">
      <c r="A242" s="76"/>
      <c r="B242" s="76"/>
      <c r="C242" s="77"/>
      <c r="D242" s="76"/>
      <c r="E242" s="77"/>
      <c r="F242" s="77"/>
      <c r="G242" s="76"/>
      <c r="H242" s="77"/>
      <c r="I242" s="77"/>
      <c r="J242" s="76"/>
      <c r="K242" s="77"/>
      <c r="L242" s="77"/>
      <c r="M242" s="77"/>
      <c r="N242" s="77"/>
      <c r="O242" s="77"/>
    </row>
    <row r="243" spans="1:15" x14ac:dyDescent="0.25">
      <c r="A243" s="76"/>
      <c r="B243" s="76"/>
      <c r="C243" s="77"/>
      <c r="D243" s="76"/>
      <c r="E243" s="77"/>
      <c r="F243" s="77"/>
      <c r="G243" s="76"/>
      <c r="H243" s="77"/>
      <c r="I243" s="77"/>
      <c r="J243" s="76"/>
      <c r="K243" s="77"/>
      <c r="L243" s="77"/>
      <c r="M243" s="77"/>
      <c r="N243" s="77"/>
      <c r="O243" s="77"/>
    </row>
    <row r="244" spans="1:15" x14ac:dyDescent="0.25">
      <c r="A244" s="76"/>
      <c r="B244" s="76"/>
      <c r="C244" s="77"/>
      <c r="D244" s="76"/>
      <c r="E244" s="77"/>
      <c r="F244" s="77"/>
      <c r="G244" s="76"/>
      <c r="H244" s="77"/>
      <c r="I244" s="77"/>
      <c r="J244" s="76"/>
      <c r="K244" s="77"/>
      <c r="L244" s="77"/>
      <c r="M244" s="77"/>
      <c r="N244" s="77"/>
      <c r="O244" s="77"/>
    </row>
    <row r="245" spans="1:15" x14ac:dyDescent="0.25">
      <c r="A245" s="76"/>
      <c r="B245" s="76"/>
      <c r="C245" s="77"/>
      <c r="D245" s="76"/>
      <c r="E245" s="77"/>
      <c r="F245" s="77"/>
      <c r="G245" s="76"/>
      <c r="H245" s="77"/>
      <c r="I245" s="77"/>
      <c r="J245" s="76"/>
      <c r="K245" s="77"/>
      <c r="L245" s="77"/>
      <c r="M245" s="77"/>
      <c r="N245" s="77"/>
      <c r="O245" s="77"/>
    </row>
    <row r="246" spans="1:15" x14ac:dyDescent="0.25">
      <c r="A246" s="76"/>
      <c r="B246" s="76"/>
      <c r="C246" s="77"/>
      <c r="D246" s="76"/>
      <c r="E246" s="77"/>
      <c r="F246" s="77"/>
      <c r="G246" s="76"/>
      <c r="H246" s="77"/>
      <c r="I246" s="77"/>
      <c r="J246" s="76"/>
      <c r="K246" s="77"/>
      <c r="L246" s="77"/>
      <c r="M246" s="77"/>
      <c r="N246" s="77"/>
      <c r="O246" s="77"/>
    </row>
    <row r="247" spans="1:15" x14ac:dyDescent="0.25">
      <c r="A247" s="76"/>
      <c r="B247" s="76"/>
      <c r="C247" s="77"/>
      <c r="D247" s="76"/>
      <c r="E247" s="77"/>
      <c r="F247" s="77"/>
      <c r="G247" s="76"/>
      <c r="H247" s="77"/>
      <c r="I247" s="77"/>
      <c r="J247" s="76"/>
      <c r="K247" s="77"/>
      <c r="L247" s="77"/>
      <c r="M247" s="77"/>
      <c r="N247" s="77"/>
      <c r="O247" s="77"/>
    </row>
    <row r="248" spans="1:15" x14ac:dyDescent="0.25">
      <c r="A248" s="76"/>
      <c r="B248" s="76"/>
      <c r="C248" s="77"/>
      <c r="D248" s="76"/>
      <c r="E248" s="77"/>
      <c r="F248" s="77"/>
      <c r="G248" s="76"/>
      <c r="H248" s="77"/>
      <c r="I248" s="77"/>
      <c r="J248" s="76"/>
      <c r="K248" s="77"/>
      <c r="L248" s="77"/>
      <c r="M248" s="77"/>
      <c r="N248" s="77"/>
      <c r="O248" s="77"/>
    </row>
    <row r="249" spans="1:15" x14ac:dyDescent="0.25">
      <c r="A249" s="76"/>
      <c r="B249" s="76"/>
      <c r="C249" s="77"/>
      <c r="D249" s="76"/>
      <c r="E249" s="77"/>
      <c r="F249" s="77"/>
      <c r="G249" s="76"/>
      <c r="H249" s="77"/>
      <c r="I249" s="77"/>
      <c r="J249" s="76"/>
      <c r="K249" s="77"/>
      <c r="L249" s="77"/>
      <c r="M249" s="77"/>
      <c r="N249" s="77"/>
      <c r="O249" s="77"/>
    </row>
    <row r="250" spans="1:15" x14ac:dyDescent="0.25">
      <c r="A250" s="76"/>
      <c r="B250" s="76"/>
      <c r="C250" s="77"/>
      <c r="D250" s="76"/>
      <c r="E250" s="77"/>
      <c r="F250" s="77"/>
      <c r="G250" s="76"/>
      <c r="H250" s="77"/>
      <c r="I250" s="77"/>
      <c r="J250" s="76"/>
      <c r="K250" s="77"/>
      <c r="L250" s="77"/>
      <c r="M250" s="77"/>
      <c r="N250" s="77"/>
      <c r="O250" s="77"/>
    </row>
    <row r="251" spans="1:15" x14ac:dyDescent="0.25">
      <c r="A251" s="76"/>
      <c r="B251" s="76"/>
      <c r="C251" s="77"/>
      <c r="D251" s="76"/>
      <c r="E251" s="77"/>
      <c r="F251" s="77"/>
      <c r="G251" s="76"/>
      <c r="H251" s="77"/>
      <c r="I251" s="77"/>
      <c r="J251" s="76"/>
      <c r="K251" s="77"/>
      <c r="L251" s="77"/>
      <c r="M251" s="77"/>
      <c r="N251" s="77"/>
      <c r="O251" s="77"/>
    </row>
    <row r="252" spans="1:15" x14ac:dyDescent="0.25">
      <c r="A252" s="76"/>
      <c r="B252" s="76"/>
      <c r="C252" s="77"/>
      <c r="D252" s="76"/>
      <c r="E252" s="77"/>
      <c r="F252" s="77"/>
      <c r="G252" s="76"/>
      <c r="H252" s="77"/>
      <c r="I252" s="77"/>
      <c r="J252" s="76"/>
      <c r="K252" s="77"/>
      <c r="L252" s="77"/>
      <c r="M252" s="77"/>
      <c r="N252" s="77"/>
      <c r="O252" s="77"/>
    </row>
    <row r="253" spans="1:15" x14ac:dyDescent="0.25">
      <c r="A253" s="76"/>
      <c r="B253" s="76"/>
      <c r="C253" s="77"/>
      <c r="D253" s="76"/>
      <c r="E253" s="77"/>
      <c r="F253" s="77"/>
      <c r="G253" s="76"/>
      <c r="H253" s="77"/>
      <c r="I253" s="77"/>
      <c r="J253" s="76"/>
      <c r="K253" s="77"/>
      <c r="L253" s="77"/>
      <c r="M253" s="77"/>
      <c r="N253" s="77"/>
      <c r="O253" s="77"/>
    </row>
    <row r="254" spans="1:15" x14ac:dyDescent="0.25">
      <c r="A254" s="76"/>
      <c r="B254" s="76"/>
      <c r="C254" s="77"/>
      <c r="D254" s="76"/>
      <c r="E254" s="77"/>
      <c r="F254" s="77"/>
      <c r="G254" s="76"/>
      <c r="H254" s="77"/>
      <c r="I254" s="77"/>
      <c r="J254" s="76"/>
      <c r="K254" s="77"/>
      <c r="L254" s="77"/>
      <c r="M254" s="77"/>
      <c r="N254" s="77"/>
      <c r="O254" s="77"/>
    </row>
    <row r="255" spans="1:15" x14ac:dyDescent="0.25">
      <c r="A255" s="76"/>
      <c r="B255" s="76"/>
      <c r="C255" s="77"/>
      <c r="D255" s="76"/>
      <c r="E255" s="77"/>
      <c r="F255" s="77"/>
      <c r="G255" s="76"/>
      <c r="H255" s="77"/>
      <c r="I255" s="77"/>
      <c r="J255" s="76"/>
      <c r="K255" s="77"/>
      <c r="L255" s="77"/>
      <c r="M255" s="77"/>
      <c r="N255" s="77"/>
      <c r="O255" s="77"/>
    </row>
    <row r="256" spans="1:15" x14ac:dyDescent="0.25">
      <c r="A256" s="76"/>
      <c r="B256" s="76"/>
      <c r="C256" s="77"/>
      <c r="D256" s="76"/>
      <c r="E256" s="77"/>
      <c r="F256" s="77"/>
      <c r="G256" s="76"/>
      <c r="H256" s="77"/>
      <c r="I256" s="77"/>
      <c r="J256" s="76"/>
      <c r="K256" s="77"/>
      <c r="L256" s="77"/>
      <c r="M256" s="77"/>
      <c r="N256" s="77"/>
      <c r="O256" s="77"/>
    </row>
    <row r="257" spans="1:15" x14ac:dyDescent="0.25">
      <c r="A257" s="76"/>
      <c r="B257" s="76"/>
      <c r="C257" s="77"/>
      <c r="D257" s="76"/>
      <c r="E257" s="77"/>
      <c r="F257" s="77"/>
      <c r="G257" s="76"/>
      <c r="H257" s="77"/>
      <c r="I257" s="77"/>
      <c r="J257" s="76"/>
      <c r="K257" s="77"/>
      <c r="L257" s="77"/>
      <c r="M257" s="77"/>
      <c r="N257" s="77"/>
      <c r="O257" s="77"/>
    </row>
    <row r="258" spans="1:15" x14ac:dyDescent="0.25">
      <c r="A258" s="76"/>
      <c r="B258" s="76"/>
      <c r="C258" s="77"/>
      <c r="D258" s="76"/>
      <c r="E258" s="77"/>
      <c r="F258" s="77"/>
      <c r="G258" s="76"/>
      <c r="H258" s="77"/>
      <c r="I258" s="77"/>
      <c r="J258" s="76"/>
      <c r="K258" s="77"/>
      <c r="L258" s="77"/>
      <c r="M258" s="77"/>
      <c r="N258" s="77"/>
      <c r="O258" s="77"/>
    </row>
    <row r="259" spans="1:15" x14ac:dyDescent="0.25">
      <c r="A259" s="76"/>
      <c r="B259" s="76"/>
      <c r="C259" s="77"/>
      <c r="D259" s="76"/>
      <c r="E259" s="77"/>
      <c r="F259" s="77"/>
      <c r="G259" s="76"/>
      <c r="H259" s="77"/>
      <c r="I259" s="77"/>
      <c r="J259" s="76"/>
      <c r="K259" s="77"/>
      <c r="L259" s="77"/>
      <c r="M259" s="77"/>
      <c r="N259" s="77"/>
      <c r="O259" s="77"/>
    </row>
    <row r="260" spans="1:15" x14ac:dyDescent="0.25">
      <c r="A260" s="76"/>
      <c r="B260" s="76"/>
      <c r="C260" s="77"/>
      <c r="D260" s="76"/>
      <c r="E260" s="77"/>
      <c r="F260" s="77"/>
      <c r="G260" s="76"/>
      <c r="H260" s="77"/>
      <c r="I260" s="77"/>
      <c r="J260" s="76"/>
      <c r="K260" s="77"/>
      <c r="L260" s="77"/>
      <c r="M260" s="77"/>
      <c r="N260" s="77"/>
      <c r="O260" s="77"/>
    </row>
    <row r="261" spans="1:15" x14ac:dyDescent="0.25">
      <c r="A261" s="76"/>
      <c r="B261" s="76"/>
      <c r="C261" s="77"/>
      <c r="D261" s="76"/>
      <c r="E261" s="77"/>
      <c r="F261" s="77"/>
      <c r="G261" s="76"/>
      <c r="H261" s="77"/>
      <c r="I261" s="77"/>
      <c r="J261" s="76"/>
      <c r="K261" s="77"/>
      <c r="L261" s="77"/>
      <c r="M261" s="77"/>
      <c r="N261" s="77"/>
      <c r="O261" s="77"/>
    </row>
    <row r="262" spans="1:15" x14ac:dyDescent="0.25">
      <c r="A262" s="76"/>
      <c r="B262" s="76"/>
      <c r="C262" s="77"/>
      <c r="D262" s="76"/>
      <c r="E262" s="77"/>
      <c r="F262" s="77"/>
      <c r="G262" s="76"/>
      <c r="H262" s="77"/>
      <c r="I262" s="77"/>
      <c r="J262" s="76"/>
      <c r="K262" s="77"/>
      <c r="L262" s="77"/>
      <c r="M262" s="77"/>
      <c r="N262" s="77"/>
      <c r="O262" s="77"/>
    </row>
    <row r="263" spans="1:15" x14ac:dyDescent="0.25">
      <c r="A263" s="76"/>
      <c r="B263" s="76"/>
      <c r="C263" s="77"/>
      <c r="D263" s="76"/>
      <c r="E263" s="77"/>
      <c r="F263" s="77"/>
      <c r="G263" s="76"/>
      <c r="H263" s="77"/>
      <c r="I263" s="77"/>
      <c r="J263" s="76"/>
      <c r="K263" s="77"/>
      <c r="L263" s="77"/>
      <c r="M263" s="77"/>
      <c r="N263" s="77"/>
      <c r="O263" s="77"/>
    </row>
    <row r="264" spans="1:15" x14ac:dyDescent="0.25">
      <c r="A264" s="76"/>
      <c r="B264" s="76"/>
      <c r="C264" s="77"/>
      <c r="D264" s="76"/>
      <c r="E264" s="77"/>
      <c r="F264" s="77"/>
      <c r="G264" s="76"/>
      <c r="H264" s="77"/>
      <c r="I264" s="77"/>
      <c r="J264" s="76"/>
      <c r="K264" s="77"/>
      <c r="L264" s="77"/>
      <c r="M264" s="77"/>
      <c r="N264" s="77"/>
      <c r="O264" s="77"/>
    </row>
    <row r="265" spans="1:15" x14ac:dyDescent="0.25">
      <c r="A265" s="76"/>
      <c r="B265" s="76"/>
      <c r="C265" s="77"/>
      <c r="D265" s="76"/>
      <c r="E265" s="77"/>
      <c r="F265" s="77"/>
      <c r="G265" s="76"/>
      <c r="H265" s="77"/>
      <c r="I265" s="77"/>
      <c r="J265" s="76"/>
      <c r="K265" s="77"/>
      <c r="L265" s="77"/>
      <c r="M265" s="77"/>
      <c r="N265" s="77"/>
      <c r="O265" s="77"/>
    </row>
    <row r="266" spans="1:15" x14ac:dyDescent="0.25">
      <c r="A266" s="76"/>
      <c r="B266" s="76"/>
      <c r="C266" s="77"/>
      <c r="D266" s="76"/>
      <c r="E266" s="77"/>
      <c r="F266" s="77"/>
      <c r="G266" s="76"/>
      <c r="H266" s="77"/>
      <c r="I266" s="77"/>
      <c r="J266" s="76"/>
      <c r="K266" s="77"/>
      <c r="L266" s="77"/>
      <c r="M266" s="77"/>
      <c r="N266" s="77"/>
      <c r="O266" s="77"/>
    </row>
    <row r="267" spans="1:15" x14ac:dyDescent="0.25">
      <c r="A267" s="76"/>
      <c r="B267" s="76"/>
      <c r="C267" s="77"/>
      <c r="D267" s="76"/>
      <c r="E267" s="77"/>
      <c r="F267" s="77"/>
      <c r="G267" s="76"/>
      <c r="H267" s="77"/>
      <c r="I267" s="77"/>
      <c r="J267" s="76"/>
      <c r="K267" s="77"/>
      <c r="L267" s="77"/>
      <c r="M267" s="77"/>
      <c r="N267" s="77"/>
      <c r="O267" s="77"/>
    </row>
    <row r="268" spans="1:15" x14ac:dyDescent="0.25">
      <c r="A268" s="76"/>
      <c r="B268" s="76"/>
      <c r="C268" s="77"/>
      <c r="D268" s="76"/>
      <c r="E268" s="77"/>
      <c r="F268" s="77"/>
      <c r="G268" s="76"/>
      <c r="H268" s="77"/>
      <c r="I268" s="77"/>
      <c r="J268" s="76"/>
      <c r="K268" s="77"/>
      <c r="L268" s="77"/>
      <c r="M268" s="77"/>
      <c r="N268" s="77"/>
      <c r="O268" s="77"/>
    </row>
    <row r="269" spans="1:15" x14ac:dyDescent="0.25">
      <c r="A269" s="76"/>
      <c r="B269" s="76"/>
      <c r="C269" s="77"/>
      <c r="D269" s="76"/>
      <c r="E269" s="77"/>
      <c r="F269" s="77"/>
      <c r="G269" s="76"/>
      <c r="H269" s="77"/>
      <c r="I269" s="77"/>
      <c r="J269" s="76"/>
      <c r="K269" s="77"/>
      <c r="L269" s="77"/>
      <c r="M269" s="77"/>
      <c r="N269" s="77"/>
      <c r="O269" s="77"/>
    </row>
    <row r="270" spans="1:15" x14ac:dyDescent="0.25">
      <c r="A270" s="76"/>
      <c r="B270" s="76"/>
      <c r="C270" s="77"/>
      <c r="D270" s="76"/>
      <c r="E270" s="77"/>
      <c r="F270" s="77"/>
      <c r="G270" s="76"/>
      <c r="H270" s="77"/>
      <c r="I270" s="77"/>
      <c r="J270" s="76"/>
      <c r="K270" s="77"/>
      <c r="L270" s="77"/>
      <c r="M270" s="77"/>
      <c r="N270" s="77"/>
      <c r="O270" s="77"/>
    </row>
    <row r="271" spans="1:15" x14ac:dyDescent="0.25">
      <c r="A271" s="76"/>
      <c r="B271" s="76"/>
      <c r="C271" s="77"/>
      <c r="D271" s="76"/>
      <c r="E271" s="77"/>
      <c r="F271" s="77"/>
      <c r="G271" s="76"/>
      <c r="H271" s="77"/>
      <c r="I271" s="77"/>
      <c r="J271" s="76"/>
      <c r="K271" s="77"/>
      <c r="L271" s="77"/>
      <c r="M271" s="77"/>
      <c r="N271" s="77"/>
      <c r="O271" s="77"/>
    </row>
    <row r="272" spans="1:15" x14ac:dyDescent="0.25">
      <c r="A272" s="76"/>
      <c r="B272" s="76"/>
      <c r="C272" s="77"/>
      <c r="D272" s="76"/>
      <c r="E272" s="77"/>
      <c r="F272" s="77"/>
      <c r="G272" s="76"/>
      <c r="H272" s="77"/>
      <c r="I272" s="77"/>
      <c r="J272" s="76"/>
      <c r="K272" s="77"/>
      <c r="L272" s="77"/>
      <c r="M272" s="77"/>
      <c r="N272" s="77"/>
      <c r="O272" s="77"/>
    </row>
    <row r="273" spans="1:15" x14ac:dyDescent="0.25">
      <c r="A273" s="76"/>
      <c r="B273" s="76"/>
      <c r="C273" s="77"/>
      <c r="D273" s="76"/>
      <c r="E273" s="77"/>
      <c r="F273" s="77"/>
      <c r="G273" s="76"/>
      <c r="H273" s="77"/>
      <c r="I273" s="77"/>
      <c r="J273" s="76"/>
      <c r="K273" s="77"/>
      <c r="L273" s="77"/>
      <c r="M273" s="77"/>
      <c r="N273" s="77"/>
      <c r="O273" s="77"/>
    </row>
    <row r="274" spans="1:15" x14ac:dyDescent="0.25">
      <c r="A274" s="76"/>
      <c r="B274" s="76"/>
      <c r="C274" s="77"/>
      <c r="D274" s="76"/>
      <c r="E274" s="77"/>
      <c r="F274" s="77"/>
      <c r="G274" s="76"/>
      <c r="H274" s="77"/>
      <c r="I274" s="77"/>
      <c r="J274" s="76"/>
      <c r="K274" s="77"/>
      <c r="L274" s="77"/>
      <c r="M274" s="77"/>
      <c r="N274" s="77"/>
      <c r="O274" s="77"/>
    </row>
    <row r="275" spans="1:15" x14ac:dyDescent="0.25">
      <c r="A275" s="76"/>
      <c r="B275" s="76"/>
      <c r="C275" s="77"/>
      <c r="D275" s="76"/>
      <c r="E275" s="77"/>
      <c r="F275" s="77"/>
      <c r="G275" s="76"/>
      <c r="H275" s="77"/>
      <c r="I275" s="77"/>
      <c r="J275" s="76"/>
      <c r="K275" s="77"/>
      <c r="L275" s="77"/>
      <c r="M275" s="77"/>
      <c r="N275" s="77"/>
      <c r="O275" s="77"/>
    </row>
    <row r="276" spans="1:15" x14ac:dyDescent="0.25">
      <c r="A276" s="76"/>
      <c r="B276" s="76"/>
      <c r="C276" s="77"/>
      <c r="D276" s="76"/>
      <c r="E276" s="77"/>
      <c r="F276" s="77"/>
      <c r="G276" s="76"/>
      <c r="H276" s="77"/>
      <c r="I276" s="77"/>
      <c r="J276" s="76"/>
      <c r="K276" s="77"/>
      <c r="L276" s="77"/>
      <c r="M276" s="77"/>
      <c r="N276" s="77"/>
      <c r="O276" s="77"/>
    </row>
    <row r="277" spans="1:15" x14ac:dyDescent="0.25">
      <c r="A277" s="76"/>
      <c r="B277" s="76"/>
      <c r="C277" s="77"/>
      <c r="D277" s="76"/>
      <c r="E277" s="77"/>
      <c r="F277" s="77"/>
      <c r="G277" s="76"/>
      <c r="H277" s="77"/>
      <c r="I277" s="77"/>
      <c r="J277" s="76"/>
      <c r="K277" s="77"/>
      <c r="L277" s="77"/>
      <c r="M277" s="77"/>
      <c r="N277" s="77"/>
      <c r="O277" s="77"/>
    </row>
    <row r="278" spans="1:15" x14ac:dyDescent="0.25">
      <c r="A278" s="76"/>
      <c r="B278" s="76"/>
      <c r="C278" s="77"/>
      <c r="D278" s="76"/>
      <c r="E278" s="77"/>
      <c r="F278" s="77"/>
      <c r="G278" s="76"/>
      <c r="H278" s="77"/>
      <c r="I278" s="77"/>
      <c r="J278" s="76"/>
      <c r="K278" s="77"/>
      <c r="L278" s="77"/>
      <c r="M278" s="77"/>
      <c r="N278" s="77"/>
      <c r="O278" s="77"/>
    </row>
    <row r="279" spans="1:15" x14ac:dyDescent="0.25">
      <c r="A279" s="76"/>
      <c r="B279" s="76"/>
      <c r="C279" s="77"/>
      <c r="D279" s="76"/>
      <c r="E279" s="77"/>
      <c r="F279" s="77"/>
      <c r="G279" s="76"/>
      <c r="H279" s="77"/>
      <c r="I279" s="77"/>
      <c r="J279" s="76"/>
      <c r="K279" s="77"/>
      <c r="L279" s="77"/>
      <c r="M279" s="77"/>
      <c r="N279" s="77"/>
      <c r="O279" s="77"/>
    </row>
    <row r="280" spans="1:15" x14ac:dyDescent="0.25">
      <c r="A280" s="76"/>
      <c r="B280" s="76"/>
      <c r="C280" s="77"/>
      <c r="D280" s="76"/>
      <c r="E280" s="77"/>
      <c r="F280" s="77"/>
      <c r="G280" s="76"/>
      <c r="H280" s="77"/>
      <c r="I280" s="77"/>
      <c r="J280" s="76"/>
      <c r="K280" s="77"/>
      <c r="L280" s="77"/>
      <c r="M280" s="77"/>
      <c r="N280" s="77"/>
      <c r="O280" s="77"/>
    </row>
    <row r="281" spans="1:15" x14ac:dyDescent="0.25">
      <c r="A281" s="76"/>
      <c r="B281" s="76"/>
      <c r="C281" s="77"/>
      <c r="D281" s="76"/>
      <c r="E281" s="77"/>
      <c r="F281" s="77"/>
      <c r="G281" s="76"/>
      <c r="H281" s="77"/>
      <c r="I281" s="77"/>
      <c r="J281" s="76"/>
      <c r="K281" s="77"/>
      <c r="L281" s="77"/>
      <c r="M281" s="77"/>
      <c r="N281" s="77"/>
      <c r="O281" s="77"/>
    </row>
    <row r="282" spans="1:15" x14ac:dyDescent="0.25">
      <c r="A282" s="76"/>
      <c r="B282" s="76"/>
      <c r="C282" s="77"/>
      <c r="D282" s="76"/>
      <c r="E282" s="77"/>
      <c r="F282" s="77"/>
      <c r="G282" s="76"/>
      <c r="H282" s="77"/>
      <c r="I282" s="77"/>
      <c r="J282" s="76"/>
      <c r="K282" s="77"/>
      <c r="L282" s="77"/>
      <c r="M282" s="77"/>
      <c r="N282" s="77"/>
      <c r="O282" s="77"/>
    </row>
    <row r="283" spans="1:15" x14ac:dyDescent="0.25">
      <c r="A283" s="76"/>
      <c r="B283" s="76"/>
      <c r="C283" s="77"/>
      <c r="D283" s="76"/>
      <c r="E283" s="77"/>
      <c r="F283" s="77"/>
      <c r="G283" s="76"/>
      <c r="H283" s="77"/>
      <c r="I283" s="77"/>
      <c r="J283" s="76"/>
      <c r="K283" s="77"/>
      <c r="L283" s="77"/>
      <c r="M283" s="77"/>
      <c r="N283" s="77"/>
      <c r="O283" s="77"/>
    </row>
    <row r="284" spans="1:15" x14ac:dyDescent="0.25">
      <c r="A284" s="76"/>
      <c r="B284" s="76"/>
      <c r="C284" s="77"/>
      <c r="D284" s="76"/>
      <c r="E284" s="77"/>
      <c r="F284" s="77"/>
      <c r="G284" s="76"/>
      <c r="H284" s="77"/>
      <c r="I284" s="77"/>
      <c r="J284" s="76"/>
      <c r="K284" s="77"/>
      <c r="L284" s="77"/>
      <c r="M284" s="77"/>
      <c r="N284" s="77"/>
      <c r="O284" s="77"/>
    </row>
    <row r="285" spans="1:15" x14ac:dyDescent="0.25">
      <c r="A285" s="76"/>
      <c r="B285" s="76"/>
      <c r="C285" s="77"/>
      <c r="D285" s="76"/>
      <c r="E285" s="77"/>
      <c r="F285" s="77"/>
      <c r="G285" s="76"/>
      <c r="H285" s="77"/>
      <c r="I285" s="77"/>
      <c r="J285" s="76"/>
      <c r="K285" s="77"/>
      <c r="L285" s="77"/>
      <c r="M285" s="77"/>
      <c r="N285" s="77"/>
      <c r="O285" s="77"/>
    </row>
    <row r="286" spans="1:15" x14ac:dyDescent="0.25">
      <c r="A286" s="76"/>
      <c r="B286" s="76"/>
      <c r="C286" s="77"/>
      <c r="D286" s="76"/>
      <c r="E286" s="77"/>
      <c r="F286" s="77"/>
      <c r="G286" s="76"/>
      <c r="H286" s="77"/>
      <c r="I286" s="77"/>
      <c r="J286" s="76"/>
      <c r="K286" s="77"/>
      <c r="L286" s="77"/>
      <c r="M286" s="77"/>
      <c r="N286" s="77"/>
      <c r="O286" s="77"/>
    </row>
    <row r="287" spans="1:15" x14ac:dyDescent="0.25">
      <c r="A287" s="76"/>
      <c r="B287" s="76"/>
      <c r="C287" s="77"/>
      <c r="D287" s="76"/>
      <c r="E287" s="77"/>
      <c r="F287" s="77"/>
      <c r="G287" s="76"/>
      <c r="H287" s="77"/>
      <c r="I287" s="77"/>
      <c r="J287" s="76"/>
      <c r="K287" s="77"/>
      <c r="L287" s="77"/>
      <c r="M287" s="77"/>
      <c r="N287" s="77"/>
      <c r="O287" s="77"/>
    </row>
    <row r="288" spans="1:15" x14ac:dyDescent="0.25">
      <c r="A288" s="76"/>
      <c r="B288" s="76"/>
      <c r="C288" s="77"/>
      <c r="D288" s="76"/>
      <c r="E288" s="77"/>
      <c r="F288" s="77"/>
      <c r="G288" s="76"/>
      <c r="H288" s="77"/>
      <c r="I288" s="77"/>
      <c r="J288" s="76"/>
      <c r="K288" s="77"/>
      <c r="L288" s="77"/>
      <c r="M288" s="77"/>
      <c r="N288" s="77"/>
      <c r="O288" s="77"/>
    </row>
    <row r="289" spans="1:15" x14ac:dyDescent="0.25">
      <c r="A289" s="76"/>
      <c r="B289" s="76"/>
      <c r="C289" s="77"/>
      <c r="D289" s="76"/>
      <c r="E289" s="77"/>
      <c r="F289" s="77"/>
      <c r="G289" s="76"/>
      <c r="H289" s="77"/>
      <c r="I289" s="77"/>
      <c r="J289" s="76"/>
      <c r="K289" s="77"/>
      <c r="L289" s="77"/>
      <c r="M289" s="77"/>
      <c r="N289" s="77"/>
      <c r="O289" s="77"/>
    </row>
    <row r="290" spans="1:15" x14ac:dyDescent="0.25">
      <c r="A290" s="76"/>
      <c r="B290" s="76"/>
      <c r="C290" s="77"/>
      <c r="D290" s="76"/>
      <c r="E290" s="77"/>
      <c r="F290" s="77"/>
      <c r="G290" s="76"/>
      <c r="H290" s="77"/>
      <c r="I290" s="77"/>
      <c r="J290" s="76"/>
      <c r="K290" s="77"/>
      <c r="L290" s="77"/>
      <c r="M290" s="77"/>
      <c r="N290" s="77"/>
      <c r="O290" s="77"/>
    </row>
    <row r="291" spans="1:15" x14ac:dyDescent="0.25">
      <c r="A291" s="76"/>
      <c r="B291" s="76"/>
      <c r="C291" s="77"/>
      <c r="D291" s="76"/>
      <c r="E291" s="77"/>
      <c r="F291" s="77"/>
      <c r="G291" s="76"/>
      <c r="H291" s="77"/>
      <c r="I291" s="77"/>
      <c r="J291" s="76"/>
      <c r="K291" s="77"/>
      <c r="L291" s="77"/>
      <c r="M291" s="77"/>
      <c r="N291" s="77"/>
      <c r="O291" s="77"/>
    </row>
    <row r="292" spans="1:15" x14ac:dyDescent="0.25">
      <c r="A292" s="76"/>
      <c r="B292" s="76"/>
      <c r="C292" s="77"/>
      <c r="D292" s="76"/>
      <c r="E292" s="77"/>
      <c r="F292" s="77"/>
      <c r="G292" s="76"/>
      <c r="H292" s="77"/>
      <c r="I292" s="77"/>
      <c r="J292" s="76"/>
      <c r="K292" s="77"/>
      <c r="L292" s="77"/>
      <c r="M292" s="77"/>
      <c r="N292" s="77"/>
      <c r="O292" s="77"/>
    </row>
    <row r="293" spans="1:15" x14ac:dyDescent="0.25">
      <c r="A293" s="76"/>
      <c r="B293" s="76"/>
      <c r="C293" s="77"/>
      <c r="D293" s="76"/>
      <c r="E293" s="77"/>
      <c r="F293" s="77"/>
      <c r="G293" s="76"/>
      <c r="H293" s="77"/>
      <c r="I293" s="77"/>
      <c r="J293" s="76"/>
      <c r="K293" s="77"/>
      <c r="L293" s="77"/>
      <c r="M293" s="77"/>
      <c r="N293" s="77"/>
      <c r="O293" s="77"/>
    </row>
    <row r="294" spans="1:15" x14ac:dyDescent="0.25">
      <c r="A294" s="76"/>
      <c r="B294" s="76"/>
      <c r="C294" s="77"/>
      <c r="D294" s="76"/>
      <c r="E294" s="77"/>
      <c r="F294" s="77"/>
      <c r="G294" s="76"/>
      <c r="H294" s="77"/>
      <c r="I294" s="77"/>
      <c r="J294" s="76"/>
      <c r="K294" s="77"/>
      <c r="L294" s="77"/>
      <c r="M294" s="77"/>
      <c r="N294" s="77"/>
      <c r="O294" s="77"/>
    </row>
    <row r="295" spans="1:15" x14ac:dyDescent="0.25">
      <c r="A295" s="76"/>
      <c r="B295" s="76"/>
      <c r="C295" s="77"/>
      <c r="D295" s="76"/>
      <c r="E295" s="77"/>
      <c r="F295" s="77"/>
      <c r="G295" s="76"/>
      <c r="H295" s="77"/>
      <c r="I295" s="77"/>
      <c r="J295" s="76"/>
      <c r="K295" s="77"/>
      <c r="L295" s="77"/>
      <c r="M295" s="77"/>
      <c r="N295" s="77"/>
      <c r="O295" s="77"/>
    </row>
    <row r="296" spans="1:15" x14ac:dyDescent="0.25">
      <c r="A296" s="76"/>
      <c r="B296" s="76"/>
      <c r="C296" s="77"/>
      <c r="D296" s="76"/>
      <c r="E296" s="77"/>
      <c r="F296" s="77"/>
      <c r="G296" s="76"/>
      <c r="H296" s="77"/>
      <c r="I296" s="77"/>
      <c r="J296" s="76"/>
      <c r="K296" s="77"/>
      <c r="L296" s="77"/>
      <c r="M296" s="77"/>
      <c r="N296" s="77"/>
      <c r="O296" s="77"/>
    </row>
    <row r="297" spans="1:15" x14ac:dyDescent="0.25">
      <c r="A297" s="76"/>
      <c r="B297" s="76"/>
      <c r="C297" s="77"/>
      <c r="D297" s="76"/>
      <c r="E297" s="77"/>
      <c r="F297" s="77"/>
      <c r="G297" s="76"/>
      <c r="H297" s="77"/>
      <c r="I297" s="77"/>
      <c r="J297" s="76"/>
      <c r="K297" s="77"/>
      <c r="L297" s="77"/>
      <c r="M297" s="77"/>
      <c r="N297" s="77"/>
      <c r="O297" s="77"/>
    </row>
    <row r="298" spans="1:15" x14ac:dyDescent="0.25">
      <c r="A298" s="76"/>
      <c r="B298" s="76"/>
      <c r="C298" s="77"/>
      <c r="D298" s="76"/>
      <c r="E298" s="77"/>
      <c r="F298" s="77"/>
      <c r="G298" s="76"/>
      <c r="H298" s="77"/>
      <c r="I298" s="77"/>
      <c r="J298" s="76"/>
      <c r="K298" s="77"/>
      <c r="L298" s="77"/>
      <c r="M298" s="77"/>
      <c r="N298" s="77"/>
      <c r="O298" s="77"/>
    </row>
    <row r="299" spans="1:15" x14ac:dyDescent="0.25">
      <c r="A299" s="76"/>
      <c r="B299" s="76"/>
      <c r="C299" s="77"/>
      <c r="D299" s="76"/>
      <c r="E299" s="77"/>
      <c r="F299" s="77"/>
      <c r="G299" s="76"/>
      <c r="H299" s="77"/>
      <c r="I299" s="77"/>
      <c r="J299" s="76"/>
      <c r="K299" s="77"/>
      <c r="L299" s="77"/>
      <c r="M299" s="77"/>
      <c r="N299" s="77"/>
      <c r="O299" s="77"/>
    </row>
    <row r="300" spans="1:15" x14ac:dyDescent="0.25">
      <c r="A300" s="76"/>
      <c r="B300" s="76"/>
      <c r="C300" s="77"/>
      <c r="D300" s="76"/>
      <c r="E300" s="77"/>
      <c r="F300" s="77"/>
      <c r="G300" s="76"/>
      <c r="H300" s="77"/>
      <c r="I300" s="77"/>
      <c r="J300" s="76"/>
      <c r="K300" s="77"/>
      <c r="L300" s="77"/>
      <c r="M300" s="77"/>
      <c r="N300" s="77"/>
      <c r="O300" s="77"/>
    </row>
    <row r="301" spans="1:15" x14ac:dyDescent="0.25">
      <c r="A301" s="76"/>
      <c r="B301" s="76"/>
      <c r="C301" s="77"/>
      <c r="D301" s="76"/>
      <c r="E301" s="77"/>
      <c r="F301" s="77"/>
      <c r="G301" s="76"/>
      <c r="H301" s="77"/>
      <c r="I301" s="77"/>
      <c r="J301" s="76"/>
      <c r="K301" s="77"/>
      <c r="L301" s="77"/>
      <c r="M301" s="77"/>
      <c r="N301" s="77"/>
      <c r="O301" s="77"/>
    </row>
    <row r="302" spans="1:15" x14ac:dyDescent="0.25">
      <c r="A302" s="76"/>
      <c r="B302" s="76"/>
      <c r="C302" s="77"/>
      <c r="D302" s="76"/>
      <c r="E302" s="77"/>
      <c r="F302" s="77"/>
      <c r="G302" s="76"/>
      <c r="H302" s="77"/>
      <c r="I302" s="77"/>
      <c r="J302" s="76"/>
      <c r="K302" s="77"/>
      <c r="L302" s="77"/>
      <c r="M302" s="77"/>
      <c r="N302" s="77"/>
      <c r="O302" s="77"/>
    </row>
    <row r="303" spans="1:15" x14ac:dyDescent="0.25">
      <c r="A303" s="76"/>
      <c r="B303" s="76"/>
      <c r="C303" s="77"/>
      <c r="D303" s="76"/>
      <c r="E303" s="77"/>
      <c r="F303" s="77"/>
      <c r="G303" s="76"/>
      <c r="H303" s="77"/>
      <c r="I303" s="77"/>
      <c r="J303" s="76"/>
      <c r="K303" s="77"/>
      <c r="L303" s="77"/>
      <c r="M303" s="77"/>
      <c r="N303" s="77"/>
      <c r="O303" s="77"/>
    </row>
    <row r="304" spans="1:15" x14ac:dyDescent="0.25">
      <c r="A304" s="76"/>
      <c r="B304" s="76"/>
      <c r="C304" s="77"/>
      <c r="D304" s="76"/>
      <c r="E304" s="77"/>
      <c r="F304" s="77"/>
      <c r="G304" s="76"/>
      <c r="H304" s="77"/>
      <c r="I304" s="77"/>
      <c r="J304" s="76"/>
      <c r="K304" s="77"/>
      <c r="L304" s="77"/>
      <c r="M304" s="77"/>
      <c r="N304" s="77"/>
      <c r="O304" s="77"/>
    </row>
    <row r="305" spans="1:15" x14ac:dyDescent="0.25">
      <c r="A305" s="76"/>
      <c r="B305" s="76"/>
      <c r="C305" s="77"/>
      <c r="D305" s="76"/>
      <c r="E305" s="77"/>
      <c r="F305" s="77"/>
      <c r="G305" s="76"/>
      <c r="H305" s="77"/>
      <c r="I305" s="77"/>
      <c r="J305" s="76"/>
      <c r="K305" s="77"/>
      <c r="L305" s="77"/>
      <c r="M305" s="77"/>
      <c r="N305" s="77"/>
      <c r="O305" s="77"/>
    </row>
    <row r="306" spans="1:15" x14ac:dyDescent="0.25">
      <c r="A306" s="76"/>
      <c r="B306" s="76"/>
      <c r="C306" s="77"/>
      <c r="D306" s="76"/>
      <c r="E306" s="77"/>
      <c r="F306" s="77"/>
      <c r="G306" s="76"/>
      <c r="H306" s="77"/>
      <c r="I306" s="77"/>
      <c r="J306" s="76"/>
      <c r="K306" s="77"/>
      <c r="L306" s="77"/>
      <c r="M306" s="77"/>
      <c r="N306" s="77"/>
      <c r="O306" s="77"/>
    </row>
    <row r="307" spans="1:15" x14ac:dyDescent="0.25">
      <c r="A307" s="76"/>
      <c r="B307" s="76"/>
      <c r="C307" s="77"/>
      <c r="D307" s="76"/>
      <c r="E307" s="77"/>
      <c r="F307" s="77"/>
      <c r="G307" s="76"/>
      <c r="H307" s="77"/>
      <c r="I307" s="77"/>
      <c r="J307" s="76"/>
      <c r="K307" s="77"/>
      <c r="L307" s="77"/>
      <c r="M307" s="77"/>
      <c r="N307" s="77"/>
      <c r="O307" s="77"/>
    </row>
    <row r="308" spans="1:15" x14ac:dyDescent="0.25">
      <c r="A308" s="76"/>
      <c r="B308" s="76"/>
      <c r="C308" s="77"/>
      <c r="D308" s="76"/>
      <c r="E308" s="77"/>
      <c r="F308" s="77"/>
      <c r="G308" s="76"/>
      <c r="H308" s="77"/>
      <c r="I308" s="77"/>
      <c r="J308" s="76"/>
      <c r="K308" s="77"/>
      <c r="L308" s="77"/>
      <c r="M308" s="77"/>
      <c r="N308" s="77"/>
      <c r="O308" s="77"/>
    </row>
    <row r="309" spans="1:15" x14ac:dyDescent="0.25">
      <c r="A309" s="76"/>
      <c r="B309" s="76"/>
      <c r="C309" s="77"/>
      <c r="D309" s="76"/>
      <c r="E309" s="77"/>
      <c r="F309" s="77"/>
      <c r="G309" s="76"/>
      <c r="H309" s="77"/>
      <c r="I309" s="77"/>
      <c r="J309" s="76"/>
      <c r="K309" s="77"/>
      <c r="L309" s="77"/>
      <c r="M309" s="77"/>
      <c r="N309" s="77"/>
      <c r="O309" s="77"/>
    </row>
    <row r="310" spans="1:15" x14ac:dyDescent="0.25">
      <c r="A310" s="76"/>
      <c r="B310" s="76"/>
      <c r="C310" s="77"/>
      <c r="D310" s="76"/>
      <c r="E310" s="77"/>
      <c r="F310" s="77"/>
      <c r="G310" s="76"/>
      <c r="H310" s="77"/>
      <c r="I310" s="77"/>
      <c r="J310" s="76"/>
      <c r="K310" s="77"/>
      <c r="L310" s="77"/>
      <c r="M310" s="77"/>
      <c r="N310" s="77"/>
      <c r="O310" s="77"/>
    </row>
    <row r="311" spans="1:15" x14ac:dyDescent="0.25">
      <c r="A311" s="76"/>
      <c r="B311" s="76"/>
      <c r="C311" s="77"/>
      <c r="D311" s="76"/>
      <c r="E311" s="77"/>
      <c r="F311" s="77"/>
      <c r="G311" s="76"/>
      <c r="H311" s="77"/>
      <c r="I311" s="77"/>
      <c r="J311" s="76"/>
      <c r="K311" s="77"/>
      <c r="L311" s="77"/>
      <c r="M311" s="77"/>
      <c r="N311" s="77"/>
      <c r="O311" s="77"/>
    </row>
    <row r="312" spans="1:15" x14ac:dyDescent="0.25">
      <c r="A312" s="76"/>
      <c r="B312" s="76"/>
      <c r="C312" s="77"/>
      <c r="D312" s="76"/>
      <c r="E312" s="77"/>
      <c r="F312" s="77"/>
      <c r="G312" s="76"/>
      <c r="H312" s="77"/>
      <c r="I312" s="77"/>
      <c r="J312" s="76"/>
      <c r="K312" s="77"/>
      <c r="L312" s="77"/>
      <c r="M312" s="77"/>
      <c r="N312" s="77"/>
      <c r="O312" s="77"/>
    </row>
    <row r="313" spans="1:15" x14ac:dyDescent="0.25">
      <c r="A313" s="76"/>
      <c r="B313" s="76"/>
      <c r="C313" s="77"/>
      <c r="D313" s="76"/>
      <c r="E313" s="77"/>
      <c r="F313" s="77"/>
      <c r="G313" s="76"/>
      <c r="H313" s="77"/>
      <c r="I313" s="77"/>
      <c r="J313" s="76"/>
      <c r="K313" s="77"/>
      <c r="L313" s="77"/>
      <c r="M313" s="77"/>
      <c r="N313" s="77"/>
      <c r="O313" s="77"/>
    </row>
    <row r="314" spans="1:15" x14ac:dyDescent="0.25">
      <c r="A314" s="76"/>
      <c r="B314" s="76"/>
      <c r="C314" s="77"/>
      <c r="D314" s="76"/>
      <c r="E314" s="77"/>
      <c r="F314" s="77"/>
      <c r="G314" s="76"/>
      <c r="H314" s="77"/>
      <c r="I314" s="77"/>
      <c r="J314" s="76"/>
      <c r="K314" s="77"/>
      <c r="L314" s="77"/>
      <c r="M314" s="77"/>
      <c r="N314" s="77"/>
      <c r="O314" s="77"/>
    </row>
    <row r="315" spans="1:15" x14ac:dyDescent="0.25">
      <c r="A315" s="76"/>
      <c r="B315" s="76"/>
      <c r="C315" s="77"/>
      <c r="D315" s="76"/>
      <c r="E315" s="77"/>
      <c r="F315" s="77"/>
      <c r="G315" s="76"/>
      <c r="H315" s="77"/>
      <c r="I315" s="77"/>
      <c r="J315" s="76"/>
      <c r="K315" s="77"/>
      <c r="L315" s="77"/>
      <c r="M315" s="77"/>
      <c r="N315" s="77"/>
      <c r="O315" s="77"/>
    </row>
    <row r="316" spans="1:15" x14ac:dyDescent="0.25">
      <c r="A316" s="76"/>
      <c r="B316" s="76"/>
      <c r="C316" s="77"/>
      <c r="D316" s="76"/>
      <c r="E316" s="77"/>
      <c r="F316" s="77"/>
      <c r="G316" s="76"/>
      <c r="H316" s="77"/>
      <c r="I316" s="77"/>
      <c r="J316" s="76"/>
      <c r="K316" s="77"/>
      <c r="L316" s="77"/>
      <c r="M316" s="77"/>
      <c r="N316" s="77"/>
      <c r="O316" s="77"/>
    </row>
    <row r="317" spans="1:15" x14ac:dyDescent="0.25">
      <c r="A317" s="76"/>
      <c r="B317" s="76"/>
      <c r="C317" s="77"/>
      <c r="D317" s="76"/>
      <c r="E317" s="77"/>
      <c r="F317" s="77"/>
      <c r="G317" s="76"/>
      <c r="H317" s="77"/>
      <c r="I317" s="77"/>
      <c r="J317" s="76"/>
      <c r="K317" s="77"/>
      <c r="L317" s="77"/>
      <c r="M317" s="77"/>
      <c r="N317" s="77"/>
      <c r="O317" s="77"/>
    </row>
    <row r="318" spans="1:15" x14ac:dyDescent="0.25">
      <c r="A318" s="76"/>
      <c r="B318" s="76"/>
      <c r="C318" s="77"/>
      <c r="D318" s="76"/>
      <c r="E318" s="77"/>
      <c r="F318" s="77"/>
      <c r="G318" s="76"/>
      <c r="H318" s="77"/>
      <c r="I318" s="77"/>
      <c r="J318" s="76"/>
      <c r="K318" s="77"/>
      <c r="L318" s="77"/>
      <c r="M318" s="77"/>
      <c r="N318" s="77"/>
      <c r="O318" s="77"/>
    </row>
    <row r="319" spans="1:15" x14ac:dyDescent="0.25">
      <c r="A319" s="76"/>
      <c r="B319" s="76"/>
      <c r="C319" s="77"/>
      <c r="D319" s="76"/>
      <c r="E319" s="77"/>
      <c r="F319" s="77"/>
      <c r="G319" s="76"/>
      <c r="H319" s="77"/>
      <c r="I319" s="77"/>
      <c r="J319" s="76"/>
      <c r="K319" s="77"/>
      <c r="L319" s="77"/>
      <c r="M319" s="77"/>
      <c r="N319" s="77"/>
      <c r="O319" s="77"/>
    </row>
    <row r="320" spans="1:15" x14ac:dyDescent="0.25">
      <c r="A320" s="76"/>
      <c r="B320" s="76"/>
      <c r="C320" s="77"/>
      <c r="D320" s="76"/>
      <c r="E320" s="77"/>
      <c r="F320" s="77"/>
      <c r="G320" s="76"/>
      <c r="H320" s="77"/>
      <c r="I320" s="77"/>
      <c r="J320" s="76"/>
      <c r="K320" s="77"/>
      <c r="L320" s="77"/>
      <c r="M320" s="77"/>
      <c r="N320" s="77"/>
      <c r="O320" s="77"/>
    </row>
    <row r="321" spans="1:15" x14ac:dyDescent="0.25">
      <c r="A321" s="76"/>
      <c r="B321" s="76"/>
      <c r="C321" s="77"/>
      <c r="D321" s="76"/>
      <c r="E321" s="77"/>
      <c r="F321" s="77"/>
      <c r="G321" s="76"/>
      <c r="H321" s="77"/>
      <c r="I321" s="77"/>
      <c r="J321" s="76"/>
      <c r="K321" s="77"/>
      <c r="L321" s="77"/>
      <c r="M321" s="77"/>
      <c r="N321" s="77"/>
      <c r="O321" s="77"/>
    </row>
    <row r="322" spans="1:15" x14ac:dyDescent="0.25">
      <c r="A322" s="76"/>
      <c r="B322" s="76"/>
      <c r="C322" s="77"/>
      <c r="D322" s="76"/>
      <c r="E322" s="77"/>
      <c r="F322" s="77"/>
      <c r="G322" s="76"/>
      <c r="H322" s="77"/>
      <c r="I322" s="77"/>
      <c r="J322" s="76"/>
      <c r="K322" s="77"/>
      <c r="L322" s="77"/>
      <c r="M322" s="77"/>
      <c r="N322" s="77"/>
      <c r="O322" s="77"/>
    </row>
    <row r="323" spans="1:15" x14ac:dyDescent="0.25">
      <c r="A323" s="76"/>
      <c r="B323" s="76"/>
      <c r="C323" s="77"/>
      <c r="D323" s="76"/>
      <c r="E323" s="77"/>
      <c r="F323" s="77"/>
      <c r="G323" s="76"/>
      <c r="H323" s="77"/>
      <c r="I323" s="77"/>
      <c r="J323" s="76"/>
      <c r="K323" s="77"/>
      <c r="L323" s="77"/>
      <c r="M323" s="77"/>
      <c r="N323" s="77"/>
      <c r="O323" s="77"/>
    </row>
    <row r="324" spans="1:15" x14ac:dyDescent="0.25">
      <c r="A324" s="76"/>
      <c r="B324" s="76"/>
      <c r="C324" s="77"/>
      <c r="D324" s="76"/>
      <c r="E324" s="77"/>
      <c r="F324" s="77"/>
      <c r="G324" s="76"/>
      <c r="H324" s="77"/>
      <c r="I324" s="77"/>
      <c r="J324" s="76"/>
      <c r="K324" s="77"/>
      <c r="L324" s="77"/>
      <c r="M324" s="77"/>
      <c r="N324" s="77"/>
      <c r="O324" s="77"/>
    </row>
    <row r="325" spans="1:15" x14ac:dyDescent="0.25">
      <c r="A325" s="76"/>
      <c r="B325" s="76"/>
      <c r="C325" s="77"/>
      <c r="D325" s="76"/>
      <c r="E325" s="77"/>
      <c r="F325" s="77"/>
      <c r="G325" s="76"/>
      <c r="H325" s="77"/>
      <c r="I325" s="77"/>
      <c r="J325" s="76"/>
      <c r="K325" s="77"/>
      <c r="L325" s="77"/>
      <c r="M325" s="77"/>
      <c r="N325" s="77"/>
      <c r="O325" s="77"/>
    </row>
    <row r="326" spans="1:15" x14ac:dyDescent="0.25">
      <c r="A326" s="76"/>
      <c r="B326" s="76"/>
      <c r="C326" s="77"/>
      <c r="D326" s="76"/>
      <c r="E326" s="77"/>
      <c r="F326" s="77"/>
      <c r="G326" s="76"/>
      <c r="H326" s="77"/>
      <c r="I326" s="77"/>
      <c r="J326" s="76"/>
      <c r="K326" s="77"/>
      <c r="L326" s="77"/>
      <c r="M326" s="77"/>
      <c r="N326" s="77"/>
      <c r="O326" s="77"/>
    </row>
    <row r="327" spans="1:15" x14ac:dyDescent="0.25">
      <c r="A327" s="76"/>
      <c r="B327" s="76"/>
      <c r="C327" s="77"/>
      <c r="D327" s="76"/>
      <c r="E327" s="77"/>
      <c r="F327" s="77"/>
      <c r="G327" s="76"/>
      <c r="H327" s="77"/>
      <c r="I327" s="77"/>
      <c r="J327" s="76"/>
      <c r="K327" s="77"/>
      <c r="L327" s="77"/>
      <c r="M327" s="77"/>
      <c r="N327" s="77"/>
      <c r="O327" s="77"/>
    </row>
    <row r="328" spans="1:15" x14ac:dyDescent="0.25">
      <c r="A328" s="76"/>
      <c r="B328" s="76"/>
      <c r="C328" s="77"/>
      <c r="D328" s="76"/>
      <c r="E328" s="77"/>
      <c r="F328" s="77"/>
      <c r="G328" s="76"/>
      <c r="H328" s="77"/>
      <c r="I328" s="77"/>
      <c r="J328" s="76"/>
      <c r="K328" s="77"/>
      <c r="L328" s="77"/>
      <c r="M328" s="77"/>
      <c r="N328" s="77"/>
      <c r="O328" s="77"/>
    </row>
    <row r="329" spans="1:15" x14ac:dyDescent="0.25">
      <c r="A329" s="76"/>
      <c r="B329" s="76"/>
      <c r="C329" s="77"/>
      <c r="D329" s="76"/>
      <c r="E329" s="77"/>
      <c r="F329" s="77"/>
      <c r="G329" s="76"/>
      <c r="H329" s="77"/>
      <c r="I329" s="77"/>
      <c r="J329" s="76"/>
      <c r="K329" s="77"/>
      <c r="L329" s="77"/>
      <c r="M329" s="77"/>
      <c r="N329" s="77"/>
      <c r="O329" s="77"/>
    </row>
    <row r="330" spans="1:15" x14ac:dyDescent="0.25">
      <c r="A330" s="76"/>
      <c r="B330" s="76"/>
      <c r="C330" s="77"/>
      <c r="D330" s="76"/>
      <c r="E330" s="77"/>
      <c r="F330" s="77"/>
      <c r="G330" s="76"/>
      <c r="H330" s="77"/>
      <c r="I330" s="77"/>
      <c r="J330" s="76"/>
      <c r="K330" s="77"/>
      <c r="L330" s="77"/>
      <c r="M330" s="77"/>
      <c r="N330" s="77"/>
      <c r="O330" s="77"/>
    </row>
    <row r="331" spans="1:15" x14ac:dyDescent="0.25">
      <c r="A331" s="76"/>
      <c r="B331" s="76"/>
      <c r="C331" s="77"/>
      <c r="D331" s="76"/>
      <c r="E331" s="77"/>
      <c r="F331" s="77"/>
      <c r="G331" s="76"/>
      <c r="H331" s="77"/>
      <c r="I331" s="77"/>
      <c r="J331" s="76"/>
      <c r="K331" s="77"/>
      <c r="L331" s="77"/>
      <c r="M331" s="77"/>
      <c r="N331" s="77"/>
      <c r="O331" s="77"/>
    </row>
    <row r="332" spans="1:15" x14ac:dyDescent="0.25">
      <c r="A332" s="76"/>
      <c r="B332" s="76"/>
      <c r="C332" s="77"/>
      <c r="D332" s="76"/>
      <c r="E332" s="77"/>
      <c r="F332" s="77"/>
      <c r="G332" s="76"/>
      <c r="H332" s="77"/>
      <c r="I332" s="77"/>
      <c r="J332" s="76"/>
      <c r="K332" s="77"/>
      <c r="L332" s="77"/>
      <c r="M332" s="77"/>
      <c r="N332" s="77"/>
      <c r="O332" s="77"/>
    </row>
    <row r="333" spans="1:15" x14ac:dyDescent="0.25">
      <c r="A333" s="76"/>
      <c r="B333" s="76"/>
      <c r="C333" s="77"/>
      <c r="D333" s="76"/>
      <c r="E333" s="77"/>
      <c r="F333" s="77"/>
      <c r="G333" s="76"/>
      <c r="H333" s="77"/>
      <c r="I333" s="77"/>
      <c r="J333" s="76"/>
      <c r="K333" s="77"/>
      <c r="L333" s="77"/>
      <c r="M333" s="77"/>
      <c r="N333" s="77"/>
      <c r="O333" s="77"/>
    </row>
    <row r="334" spans="1:15" x14ac:dyDescent="0.25">
      <c r="A334" s="76"/>
      <c r="B334" s="76"/>
      <c r="C334" s="77"/>
      <c r="D334" s="76"/>
      <c r="E334" s="77"/>
      <c r="F334" s="77"/>
      <c r="G334" s="76"/>
      <c r="H334" s="77"/>
      <c r="I334" s="77"/>
      <c r="J334" s="76"/>
      <c r="K334" s="77"/>
      <c r="L334" s="77"/>
      <c r="M334" s="77"/>
      <c r="N334" s="77"/>
      <c r="O334" s="77"/>
    </row>
    <row r="335" spans="1:15" x14ac:dyDescent="0.25">
      <c r="A335" s="76"/>
      <c r="B335" s="76"/>
      <c r="C335" s="77"/>
      <c r="D335" s="76"/>
      <c r="E335" s="77"/>
      <c r="F335" s="77"/>
      <c r="G335" s="76"/>
      <c r="H335" s="77"/>
      <c r="I335" s="77"/>
      <c r="J335" s="76"/>
      <c r="K335" s="77"/>
      <c r="L335" s="77"/>
      <c r="M335" s="77"/>
      <c r="N335" s="77"/>
      <c r="O335" s="77"/>
    </row>
    <row r="336" spans="1:15" x14ac:dyDescent="0.25">
      <c r="A336" s="76"/>
      <c r="B336" s="76"/>
      <c r="C336" s="77"/>
      <c r="D336" s="76"/>
      <c r="E336" s="77"/>
      <c r="F336" s="77"/>
      <c r="G336" s="76"/>
      <c r="H336" s="77"/>
      <c r="I336" s="77"/>
      <c r="J336" s="76"/>
      <c r="K336" s="77"/>
      <c r="L336" s="77"/>
      <c r="M336" s="77"/>
      <c r="N336" s="77"/>
      <c r="O336" s="77"/>
    </row>
    <row r="337" spans="1:15" x14ac:dyDescent="0.25">
      <c r="A337" s="76"/>
      <c r="B337" s="76"/>
      <c r="C337" s="77"/>
      <c r="D337" s="76"/>
      <c r="E337" s="77"/>
      <c r="F337" s="77"/>
      <c r="G337" s="76"/>
      <c r="H337" s="77"/>
      <c r="I337" s="77"/>
      <c r="J337" s="76"/>
      <c r="K337" s="77"/>
      <c r="L337" s="77"/>
      <c r="M337" s="77"/>
      <c r="N337" s="77"/>
      <c r="O337" s="77"/>
    </row>
    <row r="338" spans="1:15" x14ac:dyDescent="0.25">
      <c r="A338" s="76"/>
      <c r="B338" s="76"/>
      <c r="C338" s="77"/>
      <c r="D338" s="76"/>
      <c r="E338" s="77"/>
      <c r="F338" s="77"/>
      <c r="G338" s="76"/>
      <c r="H338" s="77"/>
      <c r="I338" s="77"/>
      <c r="J338" s="76"/>
      <c r="K338" s="77"/>
      <c r="L338" s="77"/>
      <c r="M338" s="77"/>
      <c r="N338" s="77"/>
      <c r="O338" s="77"/>
    </row>
    <row r="339" spans="1:15" x14ac:dyDescent="0.25">
      <c r="A339" s="76"/>
      <c r="B339" s="76"/>
      <c r="C339" s="77"/>
      <c r="D339" s="76"/>
      <c r="E339" s="77"/>
      <c r="F339" s="77"/>
      <c r="G339" s="76"/>
      <c r="H339" s="77"/>
      <c r="I339" s="77"/>
      <c r="J339" s="76"/>
      <c r="K339" s="77"/>
      <c r="L339" s="77"/>
      <c r="M339" s="77"/>
      <c r="N339" s="77"/>
      <c r="O339" s="77"/>
    </row>
    <row r="340" spans="1:15" x14ac:dyDescent="0.25">
      <c r="A340" s="76"/>
      <c r="B340" s="76"/>
      <c r="C340" s="77"/>
      <c r="D340" s="76"/>
      <c r="E340" s="77"/>
      <c r="F340" s="77"/>
      <c r="G340" s="76"/>
      <c r="H340" s="77"/>
      <c r="I340" s="77"/>
      <c r="J340" s="76"/>
      <c r="K340" s="77"/>
      <c r="L340" s="77"/>
      <c r="M340" s="77"/>
      <c r="N340" s="77"/>
      <c r="O340" s="77"/>
    </row>
    <row r="341" spans="1:15" x14ac:dyDescent="0.25">
      <c r="A341" s="76"/>
      <c r="B341" s="76"/>
      <c r="C341" s="77"/>
      <c r="D341" s="76"/>
      <c r="E341" s="77"/>
      <c r="F341" s="77"/>
      <c r="G341" s="76"/>
      <c r="H341" s="77"/>
      <c r="I341" s="77"/>
      <c r="J341" s="76"/>
      <c r="K341" s="77"/>
      <c r="L341" s="77"/>
      <c r="M341" s="77"/>
      <c r="N341" s="77"/>
      <c r="O341" s="77"/>
    </row>
    <row r="342" spans="1:15" x14ac:dyDescent="0.25">
      <c r="A342" s="76"/>
      <c r="B342" s="76"/>
      <c r="C342" s="77"/>
      <c r="D342" s="76"/>
      <c r="E342" s="77"/>
      <c r="F342" s="77"/>
      <c r="G342" s="76"/>
      <c r="H342" s="77"/>
      <c r="I342" s="77"/>
      <c r="J342" s="76"/>
      <c r="K342" s="77"/>
      <c r="L342" s="77"/>
      <c r="M342" s="77"/>
      <c r="N342" s="77"/>
      <c r="O342" s="77"/>
    </row>
    <row r="343" spans="1:15" x14ac:dyDescent="0.25">
      <c r="A343" s="76"/>
      <c r="B343" s="76"/>
      <c r="C343" s="77"/>
      <c r="D343" s="76"/>
      <c r="E343" s="77"/>
      <c r="F343" s="77"/>
      <c r="G343" s="76"/>
      <c r="H343" s="77"/>
      <c r="I343" s="77"/>
      <c r="J343" s="76"/>
      <c r="K343" s="77"/>
      <c r="L343" s="77"/>
      <c r="M343" s="77"/>
      <c r="N343" s="77"/>
      <c r="O343" s="77"/>
    </row>
    <row r="344" spans="1:15" x14ac:dyDescent="0.25">
      <c r="A344" s="76"/>
      <c r="B344" s="76"/>
      <c r="C344" s="77"/>
      <c r="D344" s="76"/>
      <c r="E344" s="77"/>
      <c r="F344" s="77"/>
      <c r="G344" s="76"/>
      <c r="H344" s="77"/>
      <c r="I344" s="77"/>
      <c r="J344" s="76"/>
      <c r="K344" s="77"/>
      <c r="L344" s="77"/>
      <c r="M344" s="77"/>
      <c r="N344" s="77"/>
      <c r="O344" s="77"/>
    </row>
    <row r="345" spans="1:15" x14ac:dyDescent="0.25">
      <c r="A345" s="76"/>
      <c r="B345" s="76"/>
      <c r="C345" s="77"/>
      <c r="D345" s="76"/>
      <c r="E345" s="77"/>
      <c r="F345" s="77"/>
      <c r="G345" s="76"/>
      <c r="H345" s="77"/>
      <c r="I345" s="77"/>
      <c r="J345" s="76"/>
      <c r="K345" s="77"/>
      <c r="L345" s="77"/>
      <c r="M345" s="77"/>
      <c r="N345" s="77"/>
      <c r="O345" s="77"/>
    </row>
    <row r="346" spans="1:15" x14ac:dyDescent="0.25">
      <c r="A346" s="76"/>
      <c r="B346" s="76"/>
      <c r="C346" s="77"/>
      <c r="D346" s="76"/>
      <c r="E346" s="77"/>
      <c r="F346" s="77"/>
      <c r="G346" s="76"/>
      <c r="H346" s="77"/>
      <c r="I346" s="77"/>
      <c r="J346" s="76"/>
      <c r="K346" s="77"/>
      <c r="L346" s="77"/>
      <c r="M346" s="77"/>
      <c r="N346" s="77"/>
      <c r="O346" s="77"/>
    </row>
    <row r="347" spans="1:15" x14ac:dyDescent="0.25">
      <c r="A347" s="76"/>
      <c r="B347" s="76"/>
      <c r="C347" s="77"/>
      <c r="D347" s="76"/>
      <c r="E347" s="77"/>
      <c r="F347" s="77"/>
      <c r="G347" s="76"/>
      <c r="H347" s="77"/>
      <c r="I347" s="77"/>
      <c r="J347" s="76"/>
      <c r="K347" s="77"/>
      <c r="L347" s="77"/>
      <c r="M347" s="77"/>
      <c r="N347" s="77"/>
      <c r="O347" s="77"/>
    </row>
    <row r="348" spans="1:15" x14ac:dyDescent="0.25">
      <c r="A348" s="76"/>
      <c r="B348" s="76"/>
      <c r="C348" s="77"/>
      <c r="D348" s="76"/>
      <c r="E348" s="77"/>
      <c r="F348" s="77"/>
      <c r="G348" s="76"/>
      <c r="H348" s="77"/>
      <c r="I348" s="77"/>
      <c r="J348" s="76"/>
      <c r="K348" s="77"/>
      <c r="L348" s="77"/>
      <c r="M348" s="77"/>
      <c r="N348" s="77"/>
      <c r="O348" s="77"/>
    </row>
    <row r="349" spans="1:15" x14ac:dyDescent="0.25">
      <c r="A349" s="76"/>
      <c r="B349" s="76"/>
      <c r="C349" s="77"/>
      <c r="D349" s="76"/>
      <c r="E349" s="77"/>
      <c r="F349" s="77"/>
      <c r="G349" s="76"/>
      <c r="H349" s="77"/>
      <c r="I349" s="77"/>
      <c r="J349" s="76"/>
      <c r="K349" s="77"/>
      <c r="L349" s="77"/>
      <c r="M349" s="77"/>
      <c r="N349" s="77"/>
      <c r="O349" s="77"/>
    </row>
    <row r="350" spans="1:15" x14ac:dyDescent="0.25">
      <c r="A350" s="76"/>
      <c r="B350" s="76"/>
      <c r="C350" s="77"/>
      <c r="D350" s="76"/>
      <c r="E350" s="77"/>
      <c r="F350" s="77"/>
      <c r="G350" s="76"/>
      <c r="H350" s="77"/>
      <c r="I350" s="77"/>
      <c r="J350" s="76"/>
      <c r="K350" s="77"/>
      <c r="L350" s="77"/>
      <c r="M350" s="77"/>
      <c r="N350" s="77"/>
      <c r="O350" s="77"/>
    </row>
    <row r="351" spans="1:15" x14ac:dyDescent="0.25">
      <c r="A351" s="76"/>
      <c r="B351" s="76"/>
      <c r="C351" s="77"/>
      <c r="D351" s="76"/>
      <c r="E351" s="77"/>
      <c r="F351" s="77"/>
      <c r="G351" s="76"/>
      <c r="H351" s="77"/>
      <c r="I351" s="77"/>
      <c r="J351" s="76"/>
      <c r="K351" s="77"/>
      <c r="L351" s="77"/>
      <c r="M351" s="77"/>
      <c r="N351" s="77"/>
      <c r="O351" s="77"/>
    </row>
    <row r="352" spans="1:15" x14ac:dyDescent="0.25">
      <c r="A352" s="76"/>
      <c r="B352" s="76"/>
      <c r="C352" s="77"/>
      <c r="D352" s="76"/>
      <c r="E352" s="77"/>
      <c r="F352" s="77"/>
      <c r="G352" s="76"/>
      <c r="H352" s="77"/>
      <c r="I352" s="77"/>
      <c r="J352" s="76"/>
      <c r="K352" s="77"/>
      <c r="L352" s="77"/>
      <c r="M352" s="77"/>
      <c r="N352" s="77"/>
      <c r="O352" s="77"/>
    </row>
    <row r="353" spans="1:15" x14ac:dyDescent="0.25">
      <c r="A353" s="76"/>
      <c r="B353" s="76"/>
      <c r="C353" s="77"/>
      <c r="D353" s="76"/>
      <c r="E353" s="77"/>
      <c r="F353" s="77"/>
      <c r="G353" s="76"/>
      <c r="H353" s="77"/>
      <c r="I353" s="77"/>
      <c r="J353" s="76"/>
      <c r="K353" s="77"/>
      <c r="L353" s="77"/>
      <c r="M353" s="77"/>
      <c r="N353" s="77"/>
      <c r="O353" s="77"/>
    </row>
    <row r="354" spans="1:15" x14ac:dyDescent="0.25">
      <c r="A354" s="76"/>
      <c r="B354" s="76"/>
      <c r="C354" s="77"/>
      <c r="D354" s="76"/>
      <c r="E354" s="77"/>
      <c r="F354" s="77"/>
      <c r="G354" s="76"/>
      <c r="H354" s="77"/>
      <c r="I354" s="77"/>
      <c r="J354" s="76"/>
      <c r="K354" s="77"/>
      <c r="L354" s="77"/>
      <c r="M354" s="77"/>
      <c r="N354" s="77"/>
      <c r="O354" s="77"/>
    </row>
    <row r="355" spans="1:15" x14ac:dyDescent="0.25">
      <c r="A355" s="76"/>
      <c r="B355" s="76"/>
      <c r="C355" s="77"/>
      <c r="D355" s="76"/>
      <c r="E355" s="77"/>
      <c r="F355" s="77"/>
      <c r="G355" s="76"/>
      <c r="H355" s="77"/>
      <c r="I355" s="77"/>
      <c r="J355" s="76"/>
      <c r="K355" s="77"/>
      <c r="L355" s="77"/>
      <c r="M355" s="77"/>
      <c r="N355" s="77"/>
      <c r="O355" s="77"/>
    </row>
    <row r="356" spans="1:15" x14ac:dyDescent="0.25">
      <c r="A356" s="76"/>
      <c r="B356" s="76"/>
      <c r="C356" s="77"/>
      <c r="D356" s="76"/>
      <c r="E356" s="77"/>
      <c r="F356" s="77"/>
      <c r="G356" s="76"/>
      <c r="H356" s="77"/>
      <c r="I356" s="77"/>
      <c r="J356" s="76"/>
      <c r="K356" s="77"/>
      <c r="L356" s="77"/>
      <c r="M356" s="77"/>
      <c r="N356" s="77"/>
      <c r="O356" s="77"/>
    </row>
    <row r="357" spans="1:15" x14ac:dyDescent="0.25">
      <c r="A357" s="76"/>
      <c r="B357" s="76"/>
      <c r="C357" s="77"/>
      <c r="D357" s="76"/>
      <c r="E357" s="77"/>
      <c r="F357" s="77"/>
      <c r="G357" s="76"/>
      <c r="H357" s="77"/>
      <c r="I357" s="77"/>
      <c r="J357" s="76"/>
      <c r="K357" s="77"/>
      <c r="L357" s="77"/>
      <c r="M357" s="77"/>
      <c r="N357" s="77"/>
      <c r="O357" s="77"/>
    </row>
    <row r="358" spans="1:15" x14ac:dyDescent="0.25">
      <c r="A358" s="76"/>
      <c r="B358" s="76"/>
      <c r="C358" s="77"/>
      <c r="D358" s="76"/>
      <c r="E358" s="77"/>
      <c r="F358" s="77"/>
      <c r="G358" s="76"/>
      <c r="H358" s="77"/>
      <c r="I358" s="77"/>
      <c r="J358" s="76"/>
      <c r="K358" s="77"/>
      <c r="L358" s="77"/>
      <c r="M358" s="77"/>
      <c r="N358" s="77"/>
      <c r="O358" s="77"/>
    </row>
    <row r="359" spans="1:15" x14ac:dyDescent="0.25">
      <c r="A359" s="76"/>
      <c r="B359" s="76"/>
      <c r="C359" s="77"/>
      <c r="D359" s="76"/>
      <c r="E359" s="77"/>
      <c r="F359" s="77"/>
      <c r="G359" s="76"/>
      <c r="H359" s="77"/>
      <c r="I359" s="77"/>
      <c r="J359" s="76"/>
      <c r="K359" s="77"/>
      <c r="L359" s="77"/>
      <c r="M359" s="77"/>
      <c r="N359" s="77"/>
      <c r="O359" s="77"/>
    </row>
    <row r="360" spans="1:15" x14ac:dyDescent="0.25">
      <c r="A360" s="76"/>
      <c r="B360" s="76"/>
      <c r="C360" s="77"/>
      <c r="D360" s="76"/>
      <c r="E360" s="77"/>
      <c r="F360" s="77"/>
      <c r="G360" s="76"/>
      <c r="H360" s="77"/>
      <c r="I360" s="77"/>
      <c r="J360" s="76"/>
      <c r="K360" s="77"/>
      <c r="L360" s="77"/>
      <c r="M360" s="77"/>
      <c r="N360" s="77"/>
      <c r="O360" s="77"/>
    </row>
    <row r="361" spans="1:15" x14ac:dyDescent="0.25">
      <c r="A361" s="76"/>
      <c r="B361" s="76"/>
      <c r="C361" s="77"/>
      <c r="D361" s="76"/>
      <c r="E361" s="77"/>
      <c r="F361" s="77"/>
      <c r="G361" s="76"/>
      <c r="H361" s="77"/>
      <c r="I361" s="77"/>
      <c r="J361" s="76"/>
      <c r="K361" s="77"/>
      <c r="L361" s="77"/>
      <c r="M361" s="77"/>
      <c r="N361" s="77"/>
      <c r="O361" s="77"/>
    </row>
    <row r="362" spans="1:15" x14ac:dyDescent="0.25">
      <c r="A362" s="76"/>
      <c r="B362" s="76"/>
      <c r="C362" s="77"/>
      <c r="D362" s="76"/>
      <c r="E362" s="77"/>
      <c r="F362" s="77"/>
      <c r="G362" s="76"/>
      <c r="H362" s="77"/>
      <c r="I362" s="77"/>
      <c r="J362" s="76"/>
      <c r="K362" s="77"/>
      <c r="L362" s="77"/>
      <c r="M362" s="77"/>
      <c r="N362" s="77"/>
      <c r="O362" s="77"/>
    </row>
    <row r="363" spans="1:15" x14ac:dyDescent="0.25">
      <c r="A363" s="76"/>
      <c r="B363" s="76"/>
      <c r="C363" s="77"/>
      <c r="D363" s="76"/>
      <c r="E363" s="77"/>
      <c r="F363" s="77"/>
      <c r="G363" s="76"/>
      <c r="H363" s="77"/>
      <c r="I363" s="77"/>
      <c r="J363" s="76"/>
      <c r="K363" s="77"/>
      <c r="L363" s="77"/>
      <c r="M363" s="77"/>
      <c r="N363" s="77"/>
      <c r="O363" s="77"/>
    </row>
    <row r="364" spans="1:15" x14ac:dyDescent="0.25">
      <c r="A364" s="76"/>
      <c r="B364" s="76"/>
      <c r="C364" s="77"/>
      <c r="D364" s="76"/>
      <c r="E364" s="77"/>
      <c r="F364" s="77"/>
      <c r="G364" s="76"/>
      <c r="H364" s="77"/>
      <c r="I364" s="77"/>
      <c r="J364" s="76"/>
      <c r="K364" s="77"/>
      <c r="L364" s="77"/>
      <c r="M364" s="77"/>
      <c r="N364" s="77"/>
      <c r="O364" s="77"/>
    </row>
    <row r="365" spans="1:15" x14ac:dyDescent="0.25">
      <c r="A365" s="76"/>
      <c r="B365" s="76"/>
      <c r="C365" s="77"/>
      <c r="D365" s="76"/>
      <c r="E365" s="77"/>
      <c r="F365" s="77"/>
      <c r="G365" s="76"/>
      <c r="H365" s="77"/>
      <c r="I365" s="77"/>
      <c r="J365" s="76"/>
      <c r="K365" s="77"/>
      <c r="L365" s="77"/>
      <c r="M365" s="77"/>
      <c r="N365" s="77"/>
      <c r="O365" s="77"/>
    </row>
    <row r="366" spans="1:15" x14ac:dyDescent="0.25">
      <c r="A366" s="76"/>
      <c r="B366" s="76"/>
      <c r="C366" s="77"/>
      <c r="D366" s="76"/>
      <c r="E366" s="77"/>
      <c r="F366" s="77"/>
      <c r="G366" s="76"/>
      <c r="H366" s="77"/>
      <c r="I366" s="77"/>
      <c r="J366" s="76"/>
      <c r="K366" s="77"/>
      <c r="L366" s="77"/>
      <c r="M366" s="77"/>
      <c r="N366" s="77"/>
      <c r="O366" s="77"/>
    </row>
    <row r="367" spans="1:15" x14ac:dyDescent="0.25">
      <c r="A367" s="76"/>
      <c r="B367" s="76"/>
      <c r="C367" s="77"/>
      <c r="D367" s="76"/>
      <c r="E367" s="77"/>
      <c r="F367" s="77"/>
      <c r="G367" s="76"/>
      <c r="H367" s="77"/>
      <c r="I367" s="77"/>
      <c r="J367" s="76"/>
      <c r="K367" s="77"/>
      <c r="L367" s="77"/>
      <c r="M367" s="77"/>
      <c r="N367" s="77"/>
      <c r="O367" s="77"/>
    </row>
    <row r="368" spans="1:15" x14ac:dyDescent="0.25">
      <c r="A368" s="76"/>
      <c r="B368" s="76"/>
      <c r="C368" s="77"/>
      <c r="D368" s="76"/>
      <c r="E368" s="77"/>
      <c r="F368" s="77"/>
      <c r="G368" s="76"/>
      <c r="H368" s="77"/>
      <c r="I368" s="77"/>
      <c r="J368" s="76"/>
      <c r="K368" s="77"/>
      <c r="L368" s="77"/>
      <c r="M368" s="77"/>
      <c r="N368" s="77"/>
      <c r="O368" s="77"/>
    </row>
    <row r="369" spans="1:15" x14ac:dyDescent="0.25">
      <c r="A369" s="76"/>
      <c r="B369" s="76"/>
      <c r="C369" s="77"/>
      <c r="D369" s="76"/>
      <c r="E369" s="77"/>
      <c r="F369" s="77"/>
      <c r="G369" s="76"/>
      <c r="H369" s="77"/>
      <c r="I369" s="77"/>
      <c r="J369" s="76"/>
      <c r="K369" s="77"/>
      <c r="L369" s="77"/>
      <c r="M369" s="77"/>
      <c r="N369" s="77"/>
      <c r="O369" s="77"/>
    </row>
    <row r="370" spans="1:15" x14ac:dyDescent="0.25">
      <c r="A370" s="76"/>
      <c r="B370" s="76"/>
      <c r="C370" s="77"/>
      <c r="D370" s="76"/>
      <c r="E370" s="77"/>
      <c r="F370" s="77"/>
      <c r="G370" s="76"/>
      <c r="H370" s="77"/>
      <c r="I370" s="77"/>
      <c r="J370" s="76"/>
      <c r="K370" s="77"/>
      <c r="L370" s="77"/>
      <c r="M370" s="77"/>
      <c r="N370" s="77"/>
      <c r="O370" s="77"/>
    </row>
    <row r="371" spans="1:15" x14ac:dyDescent="0.25">
      <c r="A371" s="76"/>
      <c r="B371" s="76"/>
      <c r="C371" s="77"/>
      <c r="D371" s="76"/>
      <c r="E371" s="77"/>
      <c r="F371" s="77"/>
      <c r="G371" s="76"/>
      <c r="H371" s="77"/>
      <c r="I371" s="77"/>
      <c r="J371" s="76"/>
      <c r="K371" s="77"/>
      <c r="L371" s="77"/>
      <c r="M371" s="77"/>
      <c r="N371" s="77"/>
      <c r="O371" s="77"/>
    </row>
    <row r="372" spans="1:15" x14ac:dyDescent="0.25">
      <c r="A372" s="76"/>
      <c r="B372" s="76"/>
      <c r="C372" s="77"/>
      <c r="D372" s="76"/>
      <c r="E372" s="77"/>
      <c r="F372" s="77"/>
      <c r="G372" s="76"/>
      <c r="H372" s="77"/>
      <c r="I372" s="77"/>
      <c r="J372" s="76"/>
      <c r="K372" s="77"/>
      <c r="L372" s="77"/>
      <c r="M372" s="77"/>
      <c r="N372" s="77"/>
      <c r="O372" s="77"/>
    </row>
    <row r="373" spans="1:15" x14ac:dyDescent="0.25">
      <c r="A373" s="76"/>
      <c r="B373" s="76"/>
      <c r="C373" s="77"/>
      <c r="D373" s="76"/>
      <c r="E373" s="77"/>
      <c r="F373" s="77"/>
      <c r="G373" s="76"/>
      <c r="H373" s="77"/>
      <c r="I373" s="77"/>
      <c r="J373" s="76"/>
      <c r="K373" s="77"/>
      <c r="L373" s="77"/>
      <c r="M373" s="77"/>
      <c r="N373" s="77"/>
      <c r="O373" s="77"/>
    </row>
    <row r="374" spans="1:15" x14ac:dyDescent="0.25">
      <c r="A374" s="76"/>
      <c r="B374" s="76"/>
      <c r="C374" s="77"/>
      <c r="D374" s="76"/>
      <c r="E374" s="77"/>
      <c r="F374" s="77"/>
      <c r="G374" s="76"/>
      <c r="H374" s="77"/>
      <c r="I374" s="77"/>
      <c r="J374" s="76"/>
      <c r="K374" s="77"/>
      <c r="L374" s="77"/>
      <c r="M374" s="77"/>
      <c r="N374" s="77"/>
      <c r="O374" s="77"/>
    </row>
    <row r="375" spans="1:15" x14ac:dyDescent="0.25">
      <c r="A375" s="76"/>
      <c r="B375" s="76"/>
      <c r="C375" s="77"/>
      <c r="D375" s="76"/>
      <c r="E375" s="77"/>
      <c r="F375" s="77"/>
      <c r="G375" s="76"/>
      <c r="H375" s="77"/>
      <c r="I375" s="77"/>
      <c r="J375" s="76"/>
      <c r="K375" s="77"/>
      <c r="L375" s="77"/>
      <c r="M375" s="77"/>
      <c r="N375" s="77"/>
      <c r="O375" s="77"/>
    </row>
    <row r="376" spans="1:15" x14ac:dyDescent="0.25">
      <c r="A376" s="76"/>
      <c r="B376" s="76"/>
      <c r="C376" s="77"/>
      <c r="D376" s="76"/>
      <c r="E376" s="77"/>
      <c r="F376" s="77"/>
      <c r="G376" s="76"/>
      <c r="H376" s="77"/>
      <c r="I376" s="77"/>
      <c r="J376" s="76"/>
      <c r="K376" s="77"/>
      <c r="L376" s="77"/>
      <c r="M376" s="77"/>
      <c r="N376" s="77"/>
      <c r="O376" s="77"/>
    </row>
    <row r="377" spans="1:15" x14ac:dyDescent="0.25">
      <c r="A377" s="76"/>
      <c r="B377" s="76"/>
      <c r="C377" s="77"/>
      <c r="D377" s="76"/>
      <c r="E377" s="77"/>
      <c r="F377" s="77"/>
      <c r="G377" s="76"/>
      <c r="H377" s="77"/>
      <c r="I377" s="77"/>
      <c r="J377" s="76"/>
      <c r="K377" s="77"/>
      <c r="L377" s="77"/>
      <c r="M377" s="77"/>
      <c r="N377" s="77"/>
      <c r="O377" s="77"/>
    </row>
    <row r="378" spans="1:15" x14ac:dyDescent="0.25">
      <c r="A378" s="76"/>
      <c r="B378" s="76"/>
      <c r="C378" s="77"/>
      <c r="D378" s="76"/>
      <c r="E378" s="77"/>
      <c r="F378" s="77"/>
      <c r="G378" s="76"/>
      <c r="H378" s="77"/>
      <c r="I378" s="77"/>
      <c r="J378" s="76"/>
      <c r="K378" s="77"/>
      <c r="L378" s="77"/>
      <c r="M378" s="77"/>
      <c r="N378" s="77"/>
      <c r="O378" s="77"/>
    </row>
    <row r="379" spans="1:15" x14ac:dyDescent="0.25">
      <c r="A379" s="76"/>
      <c r="B379" s="76"/>
      <c r="C379" s="77"/>
      <c r="D379" s="76"/>
      <c r="E379" s="77"/>
      <c r="F379" s="77"/>
      <c r="G379" s="76"/>
      <c r="H379" s="77"/>
      <c r="I379" s="77"/>
      <c r="J379" s="76"/>
      <c r="K379" s="77"/>
      <c r="L379" s="77"/>
      <c r="M379" s="77"/>
      <c r="N379" s="77"/>
      <c r="O379" s="77"/>
    </row>
    <row r="380" spans="1:15" x14ac:dyDescent="0.25">
      <c r="A380" s="76"/>
      <c r="B380" s="76"/>
      <c r="C380" s="77"/>
      <c r="D380" s="76"/>
      <c r="E380" s="77"/>
      <c r="F380" s="77"/>
      <c r="G380" s="76"/>
      <c r="H380" s="77"/>
      <c r="I380" s="77"/>
      <c r="J380" s="76"/>
      <c r="K380" s="77"/>
      <c r="L380" s="77"/>
      <c r="M380" s="77"/>
      <c r="N380" s="77"/>
      <c r="O380" s="77"/>
    </row>
    <row r="381" spans="1:15" x14ac:dyDescent="0.25">
      <c r="A381" s="76"/>
      <c r="B381" s="76"/>
      <c r="C381" s="77"/>
      <c r="D381" s="76"/>
      <c r="E381" s="77"/>
      <c r="F381" s="77"/>
      <c r="G381" s="76"/>
      <c r="H381" s="77"/>
      <c r="I381" s="77"/>
      <c r="J381" s="76"/>
      <c r="K381" s="77"/>
      <c r="L381" s="77"/>
      <c r="M381" s="77"/>
      <c r="N381" s="77"/>
      <c r="O381" s="77"/>
    </row>
    <row r="382" spans="1:15" x14ac:dyDescent="0.25">
      <c r="A382" s="76"/>
      <c r="B382" s="76"/>
      <c r="C382" s="77"/>
      <c r="D382" s="76"/>
      <c r="E382" s="77"/>
      <c r="F382" s="77"/>
      <c r="G382" s="76"/>
      <c r="H382" s="77"/>
      <c r="I382" s="77"/>
      <c r="J382" s="76"/>
      <c r="K382" s="77"/>
      <c r="L382" s="77"/>
      <c r="M382" s="77"/>
      <c r="N382" s="77"/>
      <c r="O382" s="77"/>
    </row>
    <row r="383" spans="1:15" x14ac:dyDescent="0.25">
      <c r="A383" s="76"/>
      <c r="B383" s="76"/>
      <c r="C383" s="77"/>
      <c r="D383" s="76"/>
      <c r="E383" s="77"/>
      <c r="F383" s="77"/>
      <c r="G383" s="76"/>
      <c r="H383" s="77"/>
      <c r="I383" s="77"/>
      <c r="J383" s="76"/>
      <c r="K383" s="77"/>
      <c r="L383" s="77"/>
      <c r="M383" s="77"/>
      <c r="N383" s="77"/>
      <c r="O383" s="77"/>
    </row>
    <row r="384" spans="1:15" x14ac:dyDescent="0.25">
      <c r="A384" s="76"/>
      <c r="B384" s="76"/>
      <c r="C384" s="77"/>
      <c r="D384" s="76"/>
      <c r="E384" s="77"/>
      <c r="F384" s="77"/>
      <c r="G384" s="76"/>
      <c r="H384" s="77"/>
      <c r="I384" s="77"/>
      <c r="J384" s="76"/>
      <c r="K384" s="77"/>
      <c r="L384" s="77"/>
      <c r="M384" s="77"/>
      <c r="N384" s="77"/>
      <c r="O384" s="77"/>
    </row>
    <row r="385" spans="1:15" x14ac:dyDescent="0.25">
      <c r="A385" s="76"/>
      <c r="B385" s="76"/>
      <c r="C385" s="77"/>
      <c r="D385" s="76"/>
      <c r="E385" s="77"/>
      <c r="F385" s="77"/>
      <c r="G385" s="76"/>
      <c r="H385" s="77"/>
      <c r="I385" s="77"/>
      <c r="J385" s="76"/>
      <c r="K385" s="77"/>
      <c r="L385" s="77"/>
      <c r="M385" s="77"/>
      <c r="N385" s="77"/>
      <c r="O385" s="77"/>
    </row>
    <row r="386" spans="1:15" x14ac:dyDescent="0.25">
      <c r="A386" s="76"/>
      <c r="B386" s="76"/>
      <c r="C386" s="77"/>
      <c r="D386" s="76"/>
      <c r="E386" s="77"/>
      <c r="F386" s="77"/>
      <c r="G386" s="76"/>
      <c r="H386" s="77"/>
      <c r="I386" s="77"/>
      <c r="J386" s="76"/>
      <c r="K386" s="77"/>
      <c r="L386" s="77"/>
      <c r="M386" s="77"/>
      <c r="N386" s="77"/>
      <c r="O386" s="77"/>
    </row>
    <row r="387" spans="1:15" x14ac:dyDescent="0.25">
      <c r="A387" s="76"/>
      <c r="B387" s="76"/>
      <c r="C387" s="77"/>
      <c r="D387" s="76"/>
      <c r="E387" s="77"/>
      <c r="F387" s="77"/>
      <c r="G387" s="76"/>
      <c r="H387" s="77"/>
      <c r="I387" s="77"/>
      <c r="J387" s="76"/>
      <c r="K387" s="77"/>
      <c r="L387" s="77"/>
      <c r="M387" s="77"/>
      <c r="N387" s="77"/>
      <c r="O387" s="77"/>
    </row>
    <row r="388" spans="1:15" x14ac:dyDescent="0.25">
      <c r="A388" s="76"/>
      <c r="B388" s="76"/>
      <c r="C388" s="77"/>
      <c r="D388" s="76"/>
      <c r="E388" s="77"/>
      <c r="F388" s="77"/>
      <c r="G388" s="76"/>
      <c r="H388" s="77"/>
      <c r="I388" s="77"/>
      <c r="J388" s="76"/>
      <c r="K388" s="77"/>
      <c r="L388" s="77"/>
      <c r="M388" s="77"/>
      <c r="N388" s="77"/>
      <c r="O388" s="77"/>
    </row>
    <row r="389" spans="1:15" x14ac:dyDescent="0.25">
      <c r="A389" s="76"/>
      <c r="B389" s="76"/>
      <c r="C389" s="77"/>
      <c r="D389" s="76"/>
      <c r="E389" s="77"/>
      <c r="F389" s="77"/>
      <c r="G389" s="76"/>
      <c r="H389" s="77"/>
      <c r="I389" s="77"/>
      <c r="J389" s="76"/>
      <c r="K389" s="77"/>
      <c r="L389" s="77"/>
      <c r="M389" s="77"/>
      <c r="N389" s="77"/>
      <c r="O389" s="77"/>
    </row>
    <row r="390" spans="1:15" x14ac:dyDescent="0.25">
      <c r="A390" s="76"/>
      <c r="B390" s="76"/>
      <c r="C390" s="77"/>
      <c r="D390" s="76"/>
      <c r="E390" s="77"/>
      <c r="F390" s="77"/>
      <c r="G390" s="76"/>
      <c r="H390" s="77"/>
      <c r="I390" s="77"/>
      <c r="J390" s="76"/>
      <c r="K390" s="77"/>
      <c r="L390" s="77"/>
      <c r="M390" s="77"/>
      <c r="N390" s="77"/>
      <c r="O390" s="77"/>
    </row>
    <row r="391" spans="1:15" x14ac:dyDescent="0.25">
      <c r="A391" s="76"/>
      <c r="B391" s="76"/>
      <c r="C391" s="77"/>
      <c r="D391" s="76"/>
      <c r="E391" s="77"/>
      <c r="F391" s="77"/>
      <c r="G391" s="76"/>
      <c r="H391" s="77"/>
      <c r="I391" s="77"/>
      <c r="J391" s="76"/>
      <c r="K391" s="77"/>
      <c r="L391" s="77"/>
      <c r="M391" s="77"/>
      <c r="N391" s="77"/>
      <c r="O391" s="77"/>
    </row>
    <row r="392" spans="1:15" x14ac:dyDescent="0.25">
      <c r="A392" s="76"/>
      <c r="B392" s="76"/>
      <c r="C392" s="77"/>
      <c r="D392" s="76"/>
      <c r="E392" s="77"/>
      <c r="F392" s="77"/>
      <c r="G392" s="76"/>
      <c r="H392" s="77"/>
      <c r="I392" s="77"/>
      <c r="J392" s="76"/>
      <c r="K392" s="77"/>
      <c r="L392" s="77"/>
      <c r="M392" s="77"/>
      <c r="N392" s="77"/>
      <c r="O392" s="77"/>
    </row>
    <row r="393" spans="1:15" x14ac:dyDescent="0.25">
      <c r="A393" s="76"/>
      <c r="B393" s="76"/>
      <c r="C393" s="77"/>
      <c r="D393" s="76"/>
      <c r="E393" s="77"/>
      <c r="F393" s="77"/>
      <c r="G393" s="76"/>
      <c r="H393" s="77"/>
      <c r="I393" s="77"/>
      <c r="J393" s="76"/>
      <c r="K393" s="77"/>
      <c r="L393" s="77"/>
      <c r="M393" s="77"/>
      <c r="N393" s="77"/>
      <c r="O393" s="77"/>
    </row>
    <row r="394" spans="1:15" x14ac:dyDescent="0.25">
      <c r="A394" s="76"/>
      <c r="B394" s="76"/>
      <c r="C394" s="77"/>
      <c r="D394" s="76"/>
      <c r="E394" s="77"/>
      <c r="F394" s="77"/>
      <c r="G394" s="76"/>
      <c r="H394" s="77"/>
      <c r="I394" s="77"/>
      <c r="J394" s="76"/>
      <c r="K394" s="77"/>
      <c r="L394" s="77"/>
      <c r="M394" s="77"/>
      <c r="N394" s="77"/>
      <c r="O394" s="77"/>
    </row>
    <row r="395" spans="1:15" x14ac:dyDescent="0.25">
      <c r="A395" s="76"/>
      <c r="B395" s="76"/>
      <c r="C395" s="77"/>
      <c r="D395" s="76"/>
      <c r="E395" s="77"/>
      <c r="F395" s="77"/>
      <c r="G395" s="76"/>
      <c r="H395" s="77"/>
      <c r="I395" s="77"/>
      <c r="J395" s="76"/>
      <c r="K395" s="77"/>
      <c r="L395" s="77"/>
      <c r="M395" s="77"/>
      <c r="N395" s="77"/>
      <c r="O395" s="77"/>
    </row>
    <row r="396" spans="1:15" x14ac:dyDescent="0.25">
      <c r="A396" s="76"/>
      <c r="B396" s="76"/>
      <c r="C396" s="77"/>
      <c r="D396" s="76"/>
      <c r="E396" s="77"/>
      <c r="F396" s="77"/>
      <c r="G396" s="76"/>
      <c r="H396" s="77"/>
      <c r="I396" s="77"/>
      <c r="J396" s="76"/>
      <c r="K396" s="77"/>
      <c r="L396" s="77"/>
      <c r="M396" s="77"/>
      <c r="N396" s="77"/>
      <c r="O396" s="77"/>
    </row>
    <row r="397" spans="1:15" x14ac:dyDescent="0.25">
      <c r="A397" s="76"/>
      <c r="B397" s="76"/>
      <c r="C397" s="77"/>
      <c r="D397" s="76"/>
      <c r="E397" s="77"/>
      <c r="F397" s="77"/>
      <c r="G397" s="76"/>
      <c r="H397" s="77"/>
      <c r="I397" s="77"/>
      <c r="J397" s="76"/>
      <c r="K397" s="77"/>
      <c r="L397" s="77"/>
      <c r="M397" s="77"/>
      <c r="N397" s="77"/>
      <c r="O397" s="77"/>
    </row>
    <row r="398" spans="1:15" x14ac:dyDescent="0.25">
      <c r="A398" s="76"/>
      <c r="B398" s="76"/>
      <c r="C398" s="77"/>
      <c r="D398" s="76"/>
      <c r="E398" s="77"/>
      <c r="F398" s="77"/>
      <c r="G398" s="76"/>
      <c r="H398" s="77"/>
      <c r="I398" s="77"/>
      <c r="J398" s="76"/>
      <c r="K398" s="77"/>
      <c r="L398" s="77"/>
      <c r="M398" s="77"/>
      <c r="N398" s="77"/>
      <c r="O398" s="77"/>
    </row>
    <row r="399" spans="1:15" x14ac:dyDescent="0.25">
      <c r="A399" s="76"/>
      <c r="B399" s="76"/>
      <c r="C399" s="77"/>
      <c r="D399" s="76"/>
      <c r="E399" s="77"/>
      <c r="F399" s="77"/>
      <c r="G399" s="76"/>
      <c r="H399" s="77"/>
      <c r="I399" s="77"/>
      <c r="J399" s="76"/>
      <c r="K399" s="77"/>
      <c r="L399" s="77"/>
      <c r="M399" s="77"/>
      <c r="N399" s="77"/>
      <c r="O399" s="77"/>
    </row>
    <row r="400" spans="1:15" x14ac:dyDescent="0.25">
      <c r="A400" s="76"/>
      <c r="B400" s="76"/>
      <c r="C400" s="77"/>
      <c r="D400" s="76"/>
      <c r="E400" s="77"/>
      <c r="F400" s="77"/>
      <c r="G400" s="76"/>
      <c r="H400" s="77"/>
      <c r="I400" s="77"/>
      <c r="J400" s="76"/>
      <c r="K400" s="77"/>
      <c r="L400" s="77"/>
      <c r="M400" s="77"/>
      <c r="N400" s="77"/>
      <c r="O400" s="77"/>
    </row>
    <row r="401" spans="1:15" x14ac:dyDescent="0.25">
      <c r="A401" s="76"/>
      <c r="B401" s="76"/>
      <c r="C401" s="77"/>
      <c r="D401" s="76"/>
      <c r="E401" s="77"/>
      <c r="F401" s="77"/>
      <c r="G401" s="76"/>
      <c r="H401" s="77"/>
      <c r="I401" s="77"/>
      <c r="J401" s="76"/>
      <c r="K401" s="77"/>
      <c r="L401" s="77"/>
      <c r="M401" s="77"/>
      <c r="N401" s="77"/>
      <c r="O401" s="77"/>
    </row>
    <row r="402" spans="1:15" x14ac:dyDescent="0.25">
      <c r="A402" s="76"/>
      <c r="B402" s="76"/>
      <c r="C402" s="77"/>
      <c r="D402" s="76"/>
      <c r="E402" s="77"/>
      <c r="F402" s="77"/>
      <c r="G402" s="76"/>
      <c r="H402" s="77"/>
      <c r="I402" s="77"/>
      <c r="J402" s="76"/>
      <c r="K402" s="77"/>
      <c r="L402" s="77"/>
      <c r="M402" s="77"/>
      <c r="N402" s="77"/>
      <c r="O402" s="77"/>
    </row>
    <row r="403" spans="1:15" x14ac:dyDescent="0.25">
      <c r="A403" s="76"/>
      <c r="B403" s="76"/>
      <c r="C403" s="77"/>
      <c r="D403" s="76"/>
      <c r="E403" s="77"/>
      <c r="F403" s="77"/>
      <c r="G403" s="76"/>
      <c r="H403" s="77"/>
      <c r="I403" s="77"/>
      <c r="J403" s="76"/>
      <c r="K403" s="77"/>
      <c r="L403" s="77"/>
      <c r="M403" s="77"/>
      <c r="N403" s="77"/>
      <c r="O403" s="77"/>
    </row>
    <row r="404" spans="1:15" x14ac:dyDescent="0.25">
      <c r="A404" s="76"/>
      <c r="B404" s="76"/>
      <c r="C404" s="77"/>
      <c r="D404" s="76"/>
      <c r="E404" s="77"/>
      <c r="F404" s="77"/>
      <c r="G404" s="76"/>
      <c r="H404" s="77"/>
      <c r="I404" s="77"/>
      <c r="J404" s="76"/>
      <c r="K404" s="77"/>
      <c r="L404" s="77"/>
      <c r="M404" s="77"/>
      <c r="N404" s="77"/>
      <c r="O404" s="77"/>
    </row>
    <row r="405" spans="1:15" x14ac:dyDescent="0.25">
      <c r="A405" s="76"/>
      <c r="B405" s="76"/>
      <c r="C405" s="77"/>
      <c r="D405" s="76"/>
      <c r="E405" s="77"/>
      <c r="F405" s="77"/>
      <c r="G405" s="76"/>
      <c r="H405" s="77"/>
      <c r="I405" s="77"/>
      <c r="J405" s="76"/>
      <c r="K405" s="77"/>
      <c r="L405" s="77"/>
      <c r="M405" s="77"/>
      <c r="N405" s="77"/>
      <c r="O405" s="77"/>
    </row>
    <row r="406" spans="1:15" x14ac:dyDescent="0.25">
      <c r="A406" s="76"/>
      <c r="B406" s="76"/>
      <c r="C406" s="77"/>
      <c r="D406" s="76"/>
      <c r="E406" s="77"/>
      <c r="F406" s="77"/>
      <c r="G406" s="76"/>
      <c r="H406" s="77"/>
      <c r="I406" s="77"/>
      <c r="J406" s="76"/>
      <c r="K406" s="77"/>
      <c r="L406" s="77"/>
      <c r="M406" s="77"/>
      <c r="N406" s="77"/>
      <c r="O406" s="77"/>
    </row>
    <row r="407" spans="1:15" x14ac:dyDescent="0.25">
      <c r="A407" s="76"/>
      <c r="B407" s="76"/>
      <c r="C407" s="77"/>
      <c r="D407" s="76"/>
      <c r="E407" s="77"/>
      <c r="F407" s="77"/>
      <c r="G407" s="76"/>
      <c r="H407" s="77"/>
      <c r="I407" s="77"/>
      <c r="J407" s="76"/>
      <c r="K407" s="77"/>
      <c r="L407" s="77"/>
      <c r="M407" s="77"/>
      <c r="N407" s="77"/>
      <c r="O407" s="77"/>
    </row>
    <row r="408" spans="1:15" x14ac:dyDescent="0.25">
      <c r="A408" s="76"/>
      <c r="B408" s="76"/>
      <c r="C408" s="77"/>
      <c r="D408" s="76"/>
      <c r="E408" s="77"/>
      <c r="F408" s="77"/>
      <c r="G408" s="76"/>
      <c r="H408" s="77"/>
      <c r="I408" s="77"/>
      <c r="J408" s="76"/>
      <c r="K408" s="77"/>
      <c r="L408" s="77"/>
      <c r="M408" s="77"/>
      <c r="N408" s="77"/>
      <c r="O408" s="77"/>
    </row>
    <row r="409" spans="1:15" x14ac:dyDescent="0.25">
      <c r="A409" s="76"/>
      <c r="B409" s="76"/>
      <c r="C409" s="77"/>
      <c r="D409" s="76"/>
      <c r="E409" s="77"/>
      <c r="F409" s="77"/>
      <c r="G409" s="76"/>
      <c r="H409" s="77"/>
      <c r="I409" s="77"/>
      <c r="J409" s="76"/>
      <c r="K409" s="77"/>
      <c r="L409" s="77"/>
      <c r="M409" s="77"/>
      <c r="N409" s="77"/>
      <c r="O409" s="77"/>
    </row>
    <row r="410" spans="1:15" x14ac:dyDescent="0.25">
      <c r="A410" s="76"/>
      <c r="B410" s="76"/>
      <c r="C410" s="77"/>
      <c r="D410" s="76"/>
      <c r="E410" s="77"/>
      <c r="F410" s="77"/>
      <c r="G410" s="76"/>
      <c r="H410" s="77"/>
      <c r="I410" s="77"/>
      <c r="J410" s="76"/>
      <c r="K410" s="77"/>
      <c r="L410" s="77"/>
      <c r="M410" s="77"/>
      <c r="N410" s="77"/>
      <c r="O410" s="77"/>
    </row>
    <row r="411" spans="1:15" x14ac:dyDescent="0.25">
      <c r="A411" s="76"/>
      <c r="B411" s="76"/>
      <c r="C411" s="77"/>
      <c r="D411" s="76"/>
      <c r="E411" s="77"/>
      <c r="F411" s="77"/>
      <c r="G411" s="76"/>
      <c r="H411" s="77"/>
      <c r="I411" s="77"/>
      <c r="J411" s="76"/>
      <c r="K411" s="77"/>
      <c r="L411" s="77"/>
      <c r="M411" s="77"/>
      <c r="N411" s="77"/>
      <c r="O411" s="77"/>
    </row>
    <row r="412" spans="1:15" x14ac:dyDescent="0.25">
      <c r="A412" s="76"/>
      <c r="B412" s="76"/>
      <c r="C412" s="77"/>
      <c r="D412" s="76"/>
      <c r="E412" s="77"/>
      <c r="F412" s="77"/>
      <c r="G412" s="76"/>
      <c r="H412" s="77"/>
      <c r="I412" s="77"/>
      <c r="J412" s="76"/>
      <c r="K412" s="77"/>
      <c r="L412" s="77"/>
      <c r="M412" s="77"/>
      <c r="N412" s="77"/>
      <c r="O412" s="77"/>
    </row>
    <row r="413" spans="1:15" x14ac:dyDescent="0.25">
      <c r="A413" s="76"/>
      <c r="B413" s="76"/>
      <c r="C413" s="77"/>
      <c r="D413" s="76"/>
      <c r="E413" s="77"/>
      <c r="F413" s="77"/>
      <c r="G413" s="76"/>
      <c r="H413" s="77"/>
      <c r="I413" s="77"/>
      <c r="J413" s="76"/>
      <c r="K413" s="77"/>
      <c r="L413" s="77"/>
      <c r="M413" s="77"/>
      <c r="N413" s="77"/>
      <c r="O413" s="77"/>
    </row>
    <row r="414" spans="1:15" x14ac:dyDescent="0.25">
      <c r="A414" s="76"/>
      <c r="B414" s="76"/>
      <c r="C414" s="77"/>
      <c r="D414" s="76"/>
      <c r="E414" s="77"/>
      <c r="F414" s="77"/>
      <c r="G414" s="76"/>
      <c r="H414" s="77"/>
      <c r="I414" s="77"/>
      <c r="J414" s="76"/>
      <c r="K414" s="77"/>
      <c r="L414" s="77"/>
      <c r="M414" s="77"/>
      <c r="N414" s="77"/>
      <c r="O414" s="77"/>
    </row>
    <row r="415" spans="1:15" x14ac:dyDescent="0.25">
      <c r="A415" s="76"/>
      <c r="B415" s="76"/>
      <c r="C415" s="77"/>
      <c r="D415" s="76"/>
      <c r="E415" s="77"/>
      <c r="F415" s="77"/>
      <c r="G415" s="76"/>
      <c r="H415" s="77"/>
      <c r="I415" s="77"/>
      <c r="J415" s="76"/>
      <c r="K415" s="77"/>
      <c r="L415" s="77"/>
      <c r="M415" s="77"/>
      <c r="N415" s="77"/>
      <c r="O415" s="77"/>
    </row>
    <row r="416" spans="1:15" x14ac:dyDescent="0.25">
      <c r="A416" s="76"/>
      <c r="B416" s="76"/>
      <c r="C416" s="77"/>
      <c r="D416" s="76"/>
      <c r="E416" s="77"/>
      <c r="F416" s="77"/>
      <c r="G416" s="76"/>
      <c r="H416" s="77"/>
      <c r="I416" s="77"/>
      <c r="J416" s="76"/>
      <c r="K416" s="77"/>
      <c r="L416" s="77"/>
      <c r="M416" s="77"/>
      <c r="N416" s="77"/>
      <c r="O416" s="77"/>
    </row>
    <row r="417" spans="1:15" x14ac:dyDescent="0.25">
      <c r="A417" s="76"/>
      <c r="B417" s="76"/>
      <c r="C417" s="77"/>
      <c r="D417" s="76"/>
      <c r="E417" s="77"/>
      <c r="F417" s="77"/>
      <c r="G417" s="76"/>
      <c r="H417" s="77"/>
      <c r="I417" s="77"/>
      <c r="J417" s="76"/>
      <c r="K417" s="77"/>
      <c r="L417" s="77"/>
      <c r="M417" s="77"/>
      <c r="N417" s="77"/>
      <c r="O417" s="77"/>
    </row>
    <row r="418" spans="1:15" x14ac:dyDescent="0.25">
      <c r="A418" s="76"/>
      <c r="B418" s="76"/>
      <c r="C418" s="77"/>
      <c r="D418" s="76"/>
      <c r="E418" s="77"/>
      <c r="F418" s="77"/>
      <c r="G418" s="76"/>
      <c r="H418" s="77"/>
      <c r="I418" s="77"/>
      <c r="J418" s="76"/>
      <c r="K418" s="77"/>
      <c r="L418" s="77"/>
      <c r="M418" s="77"/>
      <c r="N418" s="77"/>
      <c r="O418" s="77"/>
    </row>
    <row r="419" spans="1:15" x14ac:dyDescent="0.25">
      <c r="A419" s="76"/>
      <c r="B419" s="76"/>
      <c r="C419" s="77"/>
      <c r="D419" s="76"/>
      <c r="E419" s="77"/>
      <c r="F419" s="77"/>
      <c r="G419" s="76"/>
      <c r="H419" s="77"/>
      <c r="I419" s="77"/>
      <c r="J419" s="76"/>
      <c r="K419" s="77"/>
      <c r="L419" s="77"/>
      <c r="M419" s="77"/>
      <c r="N419" s="77"/>
      <c r="O419" s="77"/>
    </row>
    <row r="420" spans="1:15" x14ac:dyDescent="0.25">
      <c r="A420" s="76"/>
      <c r="B420" s="76"/>
      <c r="C420" s="77"/>
      <c r="D420" s="76"/>
      <c r="E420" s="77"/>
      <c r="F420" s="77"/>
      <c r="G420" s="76"/>
      <c r="H420" s="77"/>
      <c r="I420" s="77"/>
      <c r="J420" s="76"/>
      <c r="K420" s="77"/>
      <c r="L420" s="77"/>
      <c r="M420" s="77"/>
      <c r="N420" s="77"/>
      <c r="O420" s="77"/>
    </row>
    <row r="421" spans="1:15" x14ac:dyDescent="0.25">
      <c r="A421" s="76"/>
      <c r="B421" s="76"/>
      <c r="C421" s="77"/>
      <c r="D421" s="76"/>
      <c r="E421" s="77"/>
      <c r="F421" s="77"/>
      <c r="G421" s="76"/>
      <c r="H421" s="77"/>
      <c r="I421" s="77"/>
      <c r="J421" s="76"/>
      <c r="K421" s="77"/>
      <c r="L421" s="77"/>
      <c r="M421" s="77"/>
      <c r="N421" s="77"/>
      <c r="O421" s="77"/>
    </row>
    <row r="422" spans="1:15" x14ac:dyDescent="0.25">
      <c r="A422" s="76"/>
      <c r="B422" s="76"/>
      <c r="C422" s="77"/>
      <c r="D422" s="76"/>
      <c r="E422" s="77"/>
      <c r="F422" s="77"/>
      <c r="G422" s="76"/>
      <c r="H422" s="77"/>
      <c r="I422" s="77"/>
      <c r="J422" s="76"/>
      <c r="K422" s="77"/>
      <c r="L422" s="77"/>
      <c r="M422" s="77"/>
      <c r="N422" s="77"/>
      <c r="O422" s="77"/>
    </row>
    <row r="423" spans="1:15" x14ac:dyDescent="0.25">
      <c r="A423" s="76"/>
      <c r="B423" s="76"/>
      <c r="C423" s="77"/>
      <c r="D423" s="76"/>
      <c r="E423" s="77"/>
      <c r="F423" s="77"/>
      <c r="G423" s="76"/>
      <c r="H423" s="77"/>
      <c r="I423" s="77"/>
      <c r="J423" s="76"/>
      <c r="K423" s="77"/>
      <c r="L423" s="77"/>
      <c r="M423" s="77"/>
      <c r="N423" s="77"/>
      <c r="O423" s="77"/>
    </row>
    <row r="424" spans="1:15" x14ac:dyDescent="0.25">
      <c r="A424" s="76"/>
      <c r="B424" s="76"/>
      <c r="C424" s="77"/>
      <c r="D424" s="76"/>
      <c r="E424" s="77"/>
      <c r="F424" s="77"/>
      <c r="G424" s="76"/>
      <c r="H424" s="77"/>
      <c r="I424" s="77"/>
      <c r="J424" s="76"/>
      <c r="K424" s="77"/>
      <c r="L424" s="77"/>
      <c r="M424" s="77"/>
      <c r="N424" s="77"/>
      <c r="O424" s="77"/>
    </row>
    <row r="425" spans="1:15" x14ac:dyDescent="0.25">
      <c r="A425" s="76"/>
      <c r="B425" s="76"/>
      <c r="C425" s="77"/>
      <c r="D425" s="76"/>
      <c r="E425" s="77"/>
      <c r="F425" s="77"/>
      <c r="G425" s="76"/>
      <c r="H425" s="77"/>
      <c r="I425" s="77"/>
      <c r="J425" s="76"/>
      <c r="K425" s="77"/>
      <c r="L425" s="77"/>
      <c r="M425" s="77"/>
      <c r="N425" s="77"/>
      <c r="O425" s="77"/>
    </row>
    <row r="426" spans="1:15" x14ac:dyDescent="0.25">
      <c r="A426" s="76"/>
      <c r="B426" s="76"/>
      <c r="C426" s="77"/>
      <c r="D426" s="76"/>
      <c r="E426" s="77"/>
      <c r="F426" s="77"/>
      <c r="G426" s="76"/>
      <c r="H426" s="77"/>
      <c r="I426" s="77"/>
      <c r="J426" s="76"/>
      <c r="K426" s="77"/>
      <c r="L426" s="77"/>
      <c r="M426" s="77"/>
      <c r="N426" s="77"/>
      <c r="O426" s="77"/>
    </row>
    <row r="427" spans="1:15" x14ac:dyDescent="0.25">
      <c r="A427" s="76"/>
      <c r="B427" s="76"/>
      <c r="C427" s="77"/>
      <c r="D427" s="76"/>
      <c r="E427" s="77"/>
      <c r="F427" s="77"/>
      <c r="G427" s="76"/>
      <c r="H427" s="77"/>
      <c r="I427" s="77"/>
      <c r="J427" s="76"/>
      <c r="K427" s="77"/>
      <c r="L427" s="77"/>
      <c r="M427" s="77"/>
      <c r="N427" s="77"/>
      <c r="O427" s="77"/>
    </row>
    <row r="428" spans="1:15" x14ac:dyDescent="0.25">
      <c r="A428" s="76"/>
      <c r="B428" s="76"/>
      <c r="C428" s="77"/>
      <c r="D428" s="76"/>
      <c r="E428" s="77"/>
      <c r="F428" s="77"/>
      <c r="G428" s="76"/>
      <c r="H428" s="77"/>
      <c r="I428" s="77"/>
      <c r="J428" s="76"/>
      <c r="K428" s="77"/>
      <c r="L428" s="77"/>
      <c r="M428" s="77"/>
      <c r="N428" s="77"/>
      <c r="O428" s="77"/>
    </row>
    <row r="429" spans="1:15" x14ac:dyDescent="0.25">
      <c r="A429" s="76"/>
      <c r="B429" s="76"/>
      <c r="C429" s="77"/>
      <c r="D429" s="76"/>
      <c r="E429" s="77"/>
      <c r="F429" s="77"/>
      <c r="G429" s="76"/>
      <c r="H429" s="77"/>
      <c r="I429" s="77"/>
      <c r="J429" s="76"/>
      <c r="K429" s="77"/>
      <c r="L429" s="77"/>
      <c r="M429" s="77"/>
      <c r="N429" s="77"/>
      <c r="O429" s="77"/>
    </row>
    <row r="430" spans="1:15" x14ac:dyDescent="0.25">
      <c r="A430" s="76"/>
      <c r="B430" s="76"/>
      <c r="C430" s="77"/>
      <c r="D430" s="76"/>
      <c r="E430" s="77"/>
      <c r="F430" s="77"/>
      <c r="G430" s="76"/>
      <c r="H430" s="77"/>
      <c r="I430" s="77"/>
      <c r="J430" s="76"/>
      <c r="K430" s="77"/>
      <c r="L430" s="77"/>
      <c r="M430" s="77"/>
      <c r="N430" s="77"/>
      <c r="O430" s="77"/>
    </row>
    <row r="431" spans="1:15" x14ac:dyDescent="0.25">
      <c r="A431" s="76"/>
      <c r="B431" s="76"/>
      <c r="C431" s="77"/>
      <c r="D431" s="76"/>
      <c r="E431" s="77"/>
      <c r="F431" s="77"/>
      <c r="G431" s="76"/>
      <c r="H431" s="77"/>
      <c r="I431" s="77"/>
      <c r="J431" s="76"/>
      <c r="K431" s="77"/>
      <c r="L431" s="77"/>
      <c r="M431" s="77"/>
      <c r="N431" s="77"/>
      <c r="O431" s="77"/>
    </row>
    <row r="432" spans="1:15" x14ac:dyDescent="0.25">
      <c r="A432" s="76"/>
      <c r="B432" s="76"/>
      <c r="C432" s="77"/>
      <c r="D432" s="76"/>
      <c r="E432" s="77"/>
      <c r="F432" s="77"/>
      <c r="G432" s="76"/>
      <c r="H432" s="77"/>
      <c r="I432" s="77"/>
      <c r="J432" s="76"/>
      <c r="K432" s="77"/>
      <c r="L432" s="77"/>
      <c r="M432" s="77"/>
      <c r="N432" s="77"/>
      <c r="O432" s="77"/>
    </row>
    <row r="433" spans="1:15" x14ac:dyDescent="0.25">
      <c r="A433" s="76"/>
      <c r="B433" s="76"/>
      <c r="C433" s="77"/>
      <c r="D433" s="76"/>
      <c r="E433" s="77"/>
      <c r="F433" s="77"/>
      <c r="G433" s="76"/>
      <c r="H433" s="77"/>
      <c r="I433" s="77"/>
      <c r="J433" s="76"/>
      <c r="K433" s="77"/>
      <c r="L433" s="77"/>
      <c r="M433" s="77"/>
      <c r="N433" s="77"/>
      <c r="O433" s="77"/>
    </row>
    <row r="434" spans="1:15" x14ac:dyDescent="0.25">
      <c r="A434" s="76"/>
      <c r="B434" s="76"/>
      <c r="C434" s="77"/>
      <c r="D434" s="76"/>
      <c r="E434" s="77"/>
      <c r="F434" s="77"/>
      <c r="G434" s="76"/>
      <c r="H434" s="77"/>
      <c r="I434" s="77"/>
      <c r="J434" s="76"/>
      <c r="K434" s="77"/>
      <c r="L434" s="77"/>
      <c r="M434" s="77"/>
      <c r="N434" s="77"/>
      <c r="O434" s="77"/>
    </row>
    <row r="435" spans="1:15" x14ac:dyDescent="0.25">
      <c r="A435" s="76"/>
      <c r="B435" s="76"/>
      <c r="C435" s="77"/>
      <c r="D435" s="76"/>
      <c r="E435" s="77"/>
      <c r="F435" s="77"/>
      <c r="G435" s="76"/>
      <c r="H435" s="77"/>
      <c r="I435" s="77"/>
      <c r="J435" s="76"/>
      <c r="K435" s="77"/>
      <c r="L435" s="77"/>
      <c r="M435" s="77"/>
      <c r="N435" s="77"/>
      <c r="O435" s="77"/>
    </row>
    <row r="436" spans="1:15" x14ac:dyDescent="0.25">
      <c r="A436" s="76"/>
      <c r="B436" s="76"/>
      <c r="C436" s="77"/>
      <c r="D436" s="76"/>
      <c r="E436" s="77"/>
      <c r="F436" s="77"/>
      <c r="G436" s="76"/>
      <c r="H436" s="77"/>
      <c r="I436" s="77"/>
      <c r="J436" s="76"/>
      <c r="K436" s="77"/>
      <c r="L436" s="77"/>
      <c r="M436" s="77"/>
      <c r="N436" s="77"/>
      <c r="O436" s="77"/>
    </row>
    <row r="437" spans="1:15" x14ac:dyDescent="0.25">
      <c r="A437" s="76"/>
      <c r="B437" s="76"/>
      <c r="C437" s="77"/>
      <c r="D437" s="76"/>
      <c r="E437" s="77"/>
      <c r="F437" s="77"/>
      <c r="G437" s="76"/>
      <c r="H437" s="77"/>
      <c r="I437" s="77"/>
      <c r="J437" s="76"/>
      <c r="K437" s="77"/>
      <c r="L437" s="77"/>
      <c r="M437" s="77"/>
      <c r="N437" s="77"/>
      <c r="O437" s="77"/>
    </row>
    <row r="438" spans="1:15" x14ac:dyDescent="0.25">
      <c r="A438" s="76"/>
      <c r="B438" s="76"/>
      <c r="C438" s="77"/>
      <c r="D438" s="76"/>
      <c r="E438" s="77"/>
      <c r="F438" s="77"/>
      <c r="G438" s="76"/>
      <c r="H438" s="77"/>
      <c r="I438" s="77"/>
      <c r="J438" s="76"/>
      <c r="K438" s="77"/>
      <c r="L438" s="77"/>
      <c r="M438" s="77"/>
      <c r="N438" s="77"/>
      <c r="O438" s="77"/>
    </row>
    <row r="439" spans="1:15" x14ac:dyDescent="0.25">
      <c r="A439" s="76"/>
      <c r="B439" s="76"/>
      <c r="C439" s="77"/>
      <c r="D439" s="76"/>
      <c r="E439" s="77"/>
      <c r="F439" s="77"/>
      <c r="G439" s="76"/>
      <c r="H439" s="77"/>
      <c r="I439" s="77"/>
      <c r="J439" s="76"/>
      <c r="K439" s="77"/>
      <c r="L439" s="77"/>
      <c r="M439" s="77"/>
      <c r="N439" s="77"/>
      <c r="O439" s="77"/>
    </row>
    <row r="440" spans="1:15" x14ac:dyDescent="0.25">
      <c r="A440" s="76"/>
      <c r="B440" s="76"/>
      <c r="C440" s="77"/>
      <c r="D440" s="76"/>
      <c r="E440" s="77"/>
      <c r="F440" s="77"/>
      <c r="G440" s="76"/>
      <c r="H440" s="77"/>
      <c r="I440" s="77"/>
      <c r="J440" s="76"/>
      <c r="K440" s="77"/>
      <c r="L440" s="77"/>
      <c r="M440" s="77"/>
      <c r="N440" s="77"/>
      <c r="O440" s="77"/>
    </row>
    <row r="441" spans="1:15" x14ac:dyDescent="0.25">
      <c r="A441" s="76"/>
      <c r="B441" s="76"/>
      <c r="C441" s="77"/>
      <c r="D441" s="76"/>
      <c r="E441" s="77"/>
      <c r="F441" s="77"/>
      <c r="G441" s="76"/>
      <c r="H441" s="77"/>
      <c r="I441" s="77"/>
      <c r="J441" s="76"/>
      <c r="K441" s="77"/>
      <c r="L441" s="77"/>
      <c r="M441" s="77"/>
      <c r="N441" s="77"/>
      <c r="O441" s="77"/>
    </row>
    <row r="442" spans="1:15" x14ac:dyDescent="0.25">
      <c r="A442" s="76"/>
      <c r="B442" s="76"/>
      <c r="C442" s="77"/>
      <c r="D442" s="76"/>
      <c r="E442" s="77"/>
      <c r="F442" s="77"/>
      <c r="G442" s="76"/>
      <c r="H442" s="77"/>
      <c r="I442" s="77"/>
      <c r="J442" s="76"/>
      <c r="K442" s="77"/>
      <c r="L442" s="77"/>
      <c r="M442" s="77"/>
      <c r="N442" s="77"/>
      <c r="O442" s="77"/>
    </row>
    <row r="443" spans="1:15" x14ac:dyDescent="0.25">
      <c r="A443" s="76"/>
      <c r="B443" s="76"/>
      <c r="C443" s="77"/>
      <c r="D443" s="76"/>
      <c r="E443" s="77"/>
      <c r="F443" s="77"/>
      <c r="G443" s="76"/>
      <c r="H443" s="77"/>
      <c r="I443" s="77"/>
      <c r="J443" s="76"/>
      <c r="K443" s="77"/>
      <c r="L443" s="77"/>
      <c r="M443" s="77"/>
      <c r="N443" s="77"/>
      <c r="O443" s="77"/>
    </row>
    <row r="444" spans="1:15" x14ac:dyDescent="0.25">
      <c r="A444" s="76"/>
      <c r="B444" s="76"/>
      <c r="C444" s="77"/>
      <c r="D444" s="76"/>
      <c r="E444" s="77"/>
      <c r="F444" s="77"/>
      <c r="G444" s="76"/>
      <c r="H444" s="77"/>
      <c r="I444" s="77"/>
      <c r="J444" s="76"/>
      <c r="K444" s="77"/>
      <c r="L444" s="77"/>
      <c r="M444" s="77"/>
      <c r="N444" s="77"/>
      <c r="O444" s="77"/>
    </row>
    <row r="445" spans="1:15" x14ac:dyDescent="0.25">
      <c r="A445" s="76"/>
      <c r="B445" s="76"/>
      <c r="C445" s="77"/>
      <c r="D445" s="76"/>
      <c r="E445" s="77"/>
      <c r="F445" s="77"/>
      <c r="G445" s="76"/>
      <c r="H445" s="77"/>
      <c r="I445" s="77"/>
      <c r="J445" s="76"/>
      <c r="K445" s="77"/>
      <c r="L445" s="77"/>
      <c r="M445" s="77"/>
      <c r="N445" s="77"/>
      <c r="O445" s="77"/>
    </row>
    <row r="446" spans="1:15" x14ac:dyDescent="0.25">
      <c r="A446" s="76"/>
      <c r="B446" s="76"/>
      <c r="C446" s="77"/>
      <c r="D446" s="76"/>
      <c r="E446" s="77"/>
      <c r="F446" s="77"/>
      <c r="G446" s="76"/>
      <c r="H446" s="77"/>
      <c r="I446" s="77"/>
      <c r="J446" s="76"/>
      <c r="K446" s="77"/>
      <c r="L446" s="77"/>
      <c r="M446" s="77"/>
      <c r="N446" s="77"/>
      <c r="O446" s="77"/>
    </row>
    <row r="447" spans="1:15" x14ac:dyDescent="0.25">
      <c r="A447" s="76"/>
      <c r="B447" s="76"/>
      <c r="C447" s="77"/>
      <c r="D447" s="76"/>
      <c r="E447" s="77"/>
      <c r="F447" s="77"/>
      <c r="G447" s="76"/>
      <c r="H447" s="77"/>
      <c r="I447" s="77"/>
      <c r="J447" s="76"/>
      <c r="K447" s="77"/>
      <c r="L447" s="77"/>
      <c r="M447" s="77"/>
      <c r="N447" s="77"/>
      <c r="O447" s="77"/>
    </row>
    <row r="448" spans="1:15" x14ac:dyDescent="0.25">
      <c r="A448" s="76"/>
      <c r="B448" s="76"/>
      <c r="C448" s="77"/>
      <c r="D448" s="76"/>
      <c r="E448" s="77"/>
      <c r="F448" s="77"/>
      <c r="G448" s="76"/>
      <c r="H448" s="77"/>
      <c r="I448" s="77"/>
      <c r="J448" s="76"/>
      <c r="K448" s="77"/>
      <c r="L448" s="77"/>
      <c r="M448" s="77"/>
      <c r="N448" s="77"/>
      <c r="O448" s="77"/>
    </row>
    <row r="449" spans="1:15" x14ac:dyDescent="0.25">
      <c r="A449" s="76"/>
      <c r="B449" s="76"/>
      <c r="C449" s="77"/>
      <c r="D449" s="76"/>
      <c r="E449" s="77"/>
      <c r="F449" s="77"/>
      <c r="G449" s="76"/>
      <c r="H449" s="77"/>
      <c r="I449" s="77"/>
      <c r="J449" s="76"/>
      <c r="K449" s="77"/>
      <c r="L449" s="77"/>
      <c r="M449" s="77"/>
      <c r="N449" s="77"/>
      <c r="O449" s="77"/>
    </row>
    <row r="450" spans="1:15" x14ac:dyDescent="0.25">
      <c r="A450" s="76"/>
      <c r="B450" s="76"/>
      <c r="C450" s="77"/>
      <c r="D450" s="76"/>
      <c r="E450" s="77"/>
      <c r="F450" s="77"/>
      <c r="G450" s="76"/>
      <c r="H450" s="77"/>
      <c r="I450" s="77"/>
      <c r="J450" s="76"/>
      <c r="K450" s="77"/>
      <c r="L450" s="77"/>
      <c r="M450" s="77"/>
      <c r="N450" s="77"/>
      <c r="O450" s="77"/>
    </row>
    <row r="451" spans="1:15" x14ac:dyDescent="0.25">
      <c r="A451" s="76"/>
      <c r="B451" s="76"/>
      <c r="C451" s="77"/>
      <c r="D451" s="76"/>
      <c r="E451" s="77"/>
      <c r="F451" s="77"/>
      <c r="G451" s="76"/>
      <c r="H451" s="77"/>
      <c r="I451" s="77"/>
      <c r="J451" s="76"/>
      <c r="K451" s="77"/>
      <c r="L451" s="77"/>
      <c r="M451" s="77"/>
      <c r="N451" s="77"/>
      <c r="O451" s="77"/>
    </row>
    <row r="452" spans="1:15" x14ac:dyDescent="0.25">
      <c r="A452" s="76"/>
      <c r="B452" s="76"/>
      <c r="C452" s="77"/>
      <c r="D452" s="76"/>
      <c r="E452" s="77"/>
      <c r="F452" s="77"/>
      <c r="G452" s="76"/>
      <c r="H452" s="77"/>
      <c r="I452" s="77"/>
      <c r="J452" s="76"/>
      <c r="K452" s="77"/>
      <c r="L452" s="77"/>
      <c r="M452" s="77"/>
      <c r="N452" s="77"/>
      <c r="O452" s="77"/>
    </row>
    <row r="453" spans="1:15" x14ac:dyDescent="0.25">
      <c r="A453" s="76"/>
      <c r="B453" s="76"/>
      <c r="C453" s="77"/>
      <c r="D453" s="76"/>
      <c r="E453" s="77"/>
      <c r="F453" s="77"/>
      <c r="G453" s="76"/>
      <c r="H453" s="77"/>
      <c r="I453" s="77"/>
      <c r="J453" s="76"/>
      <c r="K453" s="77"/>
      <c r="L453" s="77"/>
      <c r="M453" s="77"/>
      <c r="N453" s="77"/>
      <c r="O453" s="77"/>
    </row>
    <row r="454" spans="1:15" x14ac:dyDescent="0.25">
      <c r="A454" s="76"/>
      <c r="B454" s="76"/>
      <c r="C454" s="77"/>
      <c r="D454" s="76"/>
      <c r="E454" s="77"/>
      <c r="F454" s="77"/>
      <c r="G454" s="76"/>
      <c r="H454" s="77"/>
      <c r="I454" s="77"/>
      <c r="J454" s="76"/>
      <c r="K454" s="77"/>
      <c r="L454" s="77"/>
      <c r="M454" s="77"/>
      <c r="N454" s="77"/>
      <c r="O454" s="77"/>
    </row>
    <row r="455" spans="1:15" x14ac:dyDescent="0.25">
      <c r="A455" s="76"/>
      <c r="B455" s="76"/>
      <c r="C455" s="77"/>
      <c r="D455" s="76"/>
      <c r="E455" s="77"/>
      <c r="F455" s="77"/>
      <c r="G455" s="76"/>
      <c r="H455" s="77"/>
      <c r="I455" s="77"/>
      <c r="J455" s="76"/>
      <c r="K455" s="77"/>
      <c r="L455" s="77"/>
      <c r="M455" s="77"/>
      <c r="N455" s="77"/>
      <c r="O455" s="77"/>
    </row>
    <row r="456" spans="1:15" x14ac:dyDescent="0.25">
      <c r="A456" s="76"/>
      <c r="B456" s="76"/>
      <c r="C456" s="77"/>
      <c r="D456" s="76"/>
      <c r="E456" s="77"/>
      <c r="F456" s="77"/>
      <c r="G456" s="76"/>
      <c r="H456" s="77"/>
      <c r="I456" s="77"/>
      <c r="J456" s="76"/>
      <c r="K456" s="77"/>
      <c r="L456" s="77"/>
      <c r="M456" s="77"/>
      <c r="N456" s="77"/>
      <c r="O456" s="77"/>
    </row>
    <row r="457" spans="1:15" x14ac:dyDescent="0.25">
      <c r="A457" s="76"/>
      <c r="B457" s="76"/>
      <c r="C457" s="77"/>
      <c r="D457" s="76"/>
      <c r="E457" s="77"/>
      <c r="F457" s="77"/>
      <c r="G457" s="76"/>
      <c r="H457" s="77"/>
      <c r="I457" s="77"/>
      <c r="J457" s="76"/>
      <c r="K457" s="77"/>
      <c r="L457" s="77"/>
      <c r="M457" s="77"/>
      <c r="N457" s="77"/>
      <c r="O457" s="77"/>
    </row>
    <row r="458" spans="1:15" x14ac:dyDescent="0.25">
      <c r="A458" s="76"/>
      <c r="B458" s="76"/>
      <c r="C458" s="77"/>
      <c r="D458" s="76"/>
      <c r="E458" s="77"/>
      <c r="F458" s="77"/>
      <c r="G458" s="76"/>
      <c r="H458" s="77"/>
      <c r="I458" s="77"/>
      <c r="J458" s="76"/>
      <c r="K458" s="77"/>
      <c r="L458" s="77"/>
      <c r="M458" s="77"/>
      <c r="N458" s="77"/>
      <c r="O458" s="77"/>
    </row>
    <row r="459" spans="1:15" x14ac:dyDescent="0.25">
      <c r="A459" s="76"/>
      <c r="B459" s="76"/>
      <c r="C459" s="77"/>
      <c r="D459" s="76"/>
      <c r="E459" s="77"/>
      <c r="F459" s="77"/>
      <c r="G459" s="76"/>
      <c r="H459" s="77"/>
      <c r="I459" s="77"/>
      <c r="J459" s="76"/>
      <c r="K459" s="77"/>
      <c r="L459" s="77"/>
      <c r="M459" s="77"/>
      <c r="N459" s="77"/>
      <c r="O459" s="77"/>
    </row>
    <row r="460" spans="1:15" x14ac:dyDescent="0.25">
      <c r="A460" s="76"/>
      <c r="B460" s="76"/>
      <c r="C460" s="77"/>
      <c r="D460" s="76"/>
      <c r="E460" s="77"/>
      <c r="F460" s="77"/>
      <c r="G460" s="76"/>
      <c r="H460" s="77"/>
      <c r="I460" s="77"/>
      <c r="J460" s="76"/>
      <c r="K460" s="77"/>
      <c r="L460" s="77"/>
      <c r="M460" s="77"/>
      <c r="N460" s="77"/>
      <c r="O460" s="77"/>
    </row>
    <row r="461" spans="1:15" x14ac:dyDescent="0.25">
      <c r="A461" s="76"/>
      <c r="B461" s="76"/>
      <c r="C461" s="77"/>
      <c r="D461" s="76"/>
      <c r="E461" s="77"/>
      <c r="F461" s="77"/>
      <c r="G461" s="76"/>
      <c r="H461" s="77"/>
      <c r="I461" s="77"/>
      <c r="J461" s="76"/>
      <c r="K461" s="77"/>
      <c r="L461" s="77"/>
      <c r="M461" s="77"/>
      <c r="N461" s="77"/>
      <c r="O461" s="77"/>
    </row>
    <row r="462" spans="1:15" x14ac:dyDescent="0.25">
      <c r="A462" s="76"/>
      <c r="B462" s="76"/>
      <c r="C462" s="77"/>
      <c r="D462" s="76"/>
      <c r="E462" s="77"/>
      <c r="F462" s="77"/>
      <c r="G462" s="76"/>
      <c r="H462" s="77"/>
      <c r="I462" s="77"/>
      <c r="J462" s="76"/>
      <c r="K462" s="77"/>
      <c r="L462" s="77"/>
      <c r="M462" s="77"/>
      <c r="N462" s="77"/>
      <c r="O462" s="77"/>
    </row>
    <row r="463" spans="1:15" x14ac:dyDescent="0.25">
      <c r="A463" s="76"/>
      <c r="B463" s="76"/>
      <c r="C463" s="77"/>
      <c r="D463" s="76"/>
      <c r="E463" s="77"/>
      <c r="F463" s="77"/>
      <c r="G463" s="76"/>
      <c r="H463" s="77"/>
      <c r="I463" s="77"/>
      <c r="J463" s="76"/>
      <c r="K463" s="77"/>
      <c r="L463" s="77"/>
      <c r="M463" s="77"/>
      <c r="N463" s="77"/>
      <c r="O463" s="77"/>
    </row>
    <row r="464" spans="1:15" x14ac:dyDescent="0.25">
      <c r="A464" s="76"/>
      <c r="B464" s="76"/>
      <c r="C464" s="77"/>
      <c r="D464" s="76"/>
      <c r="E464" s="77"/>
      <c r="F464" s="77"/>
      <c r="G464" s="76"/>
      <c r="H464" s="77"/>
      <c r="I464" s="77"/>
      <c r="J464" s="76"/>
      <c r="K464" s="77"/>
      <c r="L464" s="77"/>
      <c r="M464" s="77"/>
      <c r="N464" s="77"/>
      <c r="O464" s="77"/>
    </row>
    <row r="465" spans="1:15" x14ac:dyDescent="0.25">
      <c r="A465" s="76"/>
      <c r="B465" s="76"/>
      <c r="C465" s="77"/>
      <c r="D465" s="76"/>
      <c r="E465" s="77"/>
      <c r="F465" s="77"/>
      <c r="G465" s="76"/>
      <c r="H465" s="77"/>
      <c r="I465" s="77"/>
      <c r="J465" s="76"/>
      <c r="K465" s="77"/>
      <c r="L465" s="77"/>
      <c r="M465" s="77"/>
      <c r="N465" s="77"/>
      <c r="O465" s="77"/>
    </row>
    <row r="466" spans="1:15" x14ac:dyDescent="0.25">
      <c r="A466" s="76"/>
      <c r="B466" s="76"/>
      <c r="C466" s="77"/>
      <c r="D466" s="76"/>
      <c r="E466" s="77"/>
      <c r="F466" s="77"/>
      <c r="G466" s="76"/>
      <c r="H466" s="77"/>
      <c r="I466" s="77"/>
      <c r="J466" s="76"/>
      <c r="K466" s="77"/>
      <c r="L466" s="77"/>
      <c r="M466" s="77"/>
      <c r="N466" s="77"/>
      <c r="O466" s="77"/>
    </row>
    <row r="467" spans="1:15" x14ac:dyDescent="0.25">
      <c r="A467" s="76"/>
      <c r="B467" s="76"/>
      <c r="C467" s="77"/>
      <c r="D467" s="76"/>
      <c r="E467" s="77"/>
      <c r="F467" s="77"/>
      <c r="G467" s="76"/>
      <c r="H467" s="77"/>
      <c r="I467" s="77"/>
      <c r="J467" s="76"/>
      <c r="K467" s="77"/>
      <c r="L467" s="77"/>
      <c r="M467" s="77"/>
      <c r="N467" s="77"/>
      <c r="O467" s="77"/>
    </row>
    <row r="468" spans="1:15" x14ac:dyDescent="0.25">
      <c r="A468" s="76"/>
      <c r="B468" s="76"/>
      <c r="C468" s="77"/>
      <c r="D468" s="76"/>
      <c r="E468" s="77"/>
      <c r="F468" s="77"/>
      <c r="G468" s="76"/>
      <c r="H468" s="77"/>
      <c r="I468" s="77"/>
      <c r="J468" s="76"/>
      <c r="K468" s="77"/>
      <c r="L468" s="77"/>
      <c r="M468" s="77"/>
      <c r="N468" s="77"/>
      <c r="O468" s="77"/>
    </row>
    <row r="469" spans="1:15" x14ac:dyDescent="0.25">
      <c r="A469" s="76"/>
      <c r="B469" s="76"/>
      <c r="C469" s="77"/>
      <c r="D469" s="76"/>
      <c r="E469" s="77"/>
      <c r="F469" s="77"/>
      <c r="G469" s="76"/>
      <c r="H469" s="77"/>
      <c r="I469" s="77"/>
      <c r="J469" s="76"/>
      <c r="K469" s="77"/>
      <c r="L469" s="77"/>
      <c r="M469" s="77"/>
      <c r="N469" s="77"/>
      <c r="O469" s="77"/>
    </row>
    <row r="470" spans="1:15" x14ac:dyDescent="0.25">
      <c r="A470" s="76"/>
      <c r="B470" s="76"/>
      <c r="C470" s="77"/>
      <c r="D470" s="76"/>
      <c r="E470" s="77"/>
      <c r="F470" s="77"/>
      <c r="G470" s="76"/>
      <c r="H470" s="77"/>
      <c r="I470" s="77"/>
      <c r="J470" s="76"/>
      <c r="K470" s="77"/>
      <c r="L470" s="77"/>
      <c r="M470" s="77"/>
      <c r="N470" s="77"/>
      <c r="O470" s="77"/>
    </row>
    <row r="471" spans="1:15" x14ac:dyDescent="0.25">
      <c r="A471" s="76"/>
      <c r="B471" s="76"/>
      <c r="C471" s="77"/>
      <c r="D471" s="76"/>
      <c r="E471" s="77"/>
      <c r="F471" s="77"/>
      <c r="G471" s="76"/>
      <c r="H471" s="77"/>
      <c r="I471" s="77"/>
      <c r="J471" s="76"/>
      <c r="K471" s="77"/>
      <c r="L471" s="77"/>
      <c r="M471" s="77"/>
      <c r="N471" s="77"/>
      <c r="O471" s="77"/>
    </row>
    <row r="472" spans="1:15" x14ac:dyDescent="0.25">
      <c r="A472" s="76"/>
      <c r="B472" s="76"/>
      <c r="C472" s="77"/>
      <c r="D472" s="76"/>
      <c r="E472" s="77"/>
      <c r="F472" s="77"/>
      <c r="G472" s="76"/>
      <c r="H472" s="77"/>
      <c r="I472" s="77"/>
      <c r="J472" s="76"/>
      <c r="K472" s="77"/>
      <c r="L472" s="77"/>
      <c r="M472" s="77"/>
      <c r="N472" s="77"/>
      <c r="O472" s="77"/>
    </row>
    <row r="473" spans="1:15" x14ac:dyDescent="0.25">
      <c r="A473" s="76"/>
      <c r="B473" s="76"/>
      <c r="C473" s="77"/>
      <c r="D473" s="76"/>
      <c r="E473" s="77"/>
      <c r="F473" s="77"/>
      <c r="G473" s="76"/>
      <c r="H473" s="77"/>
      <c r="I473" s="77"/>
      <c r="J473" s="76"/>
      <c r="K473" s="77"/>
      <c r="L473" s="77"/>
      <c r="M473" s="77"/>
      <c r="N473" s="77"/>
      <c r="O473" s="77"/>
    </row>
    <row r="474" spans="1:15" x14ac:dyDescent="0.25">
      <c r="A474" s="76"/>
      <c r="B474" s="76"/>
      <c r="C474" s="77"/>
      <c r="D474" s="76"/>
      <c r="E474" s="77"/>
      <c r="F474" s="77"/>
      <c r="G474" s="76"/>
      <c r="H474" s="77"/>
      <c r="I474" s="77"/>
      <c r="J474" s="76"/>
      <c r="K474" s="77"/>
      <c r="L474" s="77"/>
      <c r="M474" s="77"/>
      <c r="N474" s="77"/>
      <c r="O474" s="77"/>
    </row>
    <row r="475" spans="1:15" x14ac:dyDescent="0.25">
      <c r="A475" s="76"/>
      <c r="B475" s="76"/>
      <c r="C475" s="77"/>
      <c r="D475" s="76"/>
      <c r="E475" s="77"/>
      <c r="F475" s="77"/>
      <c r="G475" s="76"/>
      <c r="H475" s="77"/>
      <c r="I475" s="77"/>
      <c r="J475" s="76"/>
      <c r="K475" s="77"/>
      <c r="L475" s="77"/>
      <c r="M475" s="77"/>
      <c r="N475" s="77"/>
      <c r="O475" s="77"/>
    </row>
    <row r="476" spans="1:15" x14ac:dyDescent="0.25">
      <c r="A476" s="76"/>
      <c r="B476" s="76"/>
      <c r="C476" s="77"/>
      <c r="D476" s="76"/>
      <c r="E476" s="77"/>
      <c r="F476" s="77"/>
      <c r="G476" s="76"/>
      <c r="H476" s="77"/>
      <c r="I476" s="77"/>
      <c r="J476" s="76"/>
      <c r="K476" s="77"/>
      <c r="L476" s="77"/>
      <c r="M476" s="77"/>
      <c r="N476" s="77"/>
      <c r="O476" s="77"/>
    </row>
    <row r="477" spans="1:15" x14ac:dyDescent="0.25">
      <c r="A477" s="76"/>
      <c r="B477" s="76"/>
      <c r="C477" s="77"/>
      <c r="D477" s="76"/>
      <c r="E477" s="77"/>
      <c r="F477" s="77"/>
      <c r="G477" s="76"/>
      <c r="H477" s="77"/>
      <c r="I477" s="77"/>
      <c r="J477" s="76"/>
      <c r="K477" s="77"/>
      <c r="L477" s="77"/>
      <c r="M477" s="77"/>
      <c r="N477" s="77"/>
      <c r="O477" s="77"/>
    </row>
    <row r="478" spans="1:15" x14ac:dyDescent="0.25">
      <c r="A478" s="76"/>
      <c r="B478" s="76"/>
      <c r="C478" s="77"/>
      <c r="D478" s="76"/>
      <c r="E478" s="77"/>
      <c r="F478" s="77"/>
      <c r="G478" s="76"/>
      <c r="H478" s="77"/>
      <c r="I478" s="77"/>
      <c r="J478" s="76"/>
      <c r="K478" s="77"/>
      <c r="L478" s="77"/>
      <c r="M478" s="77"/>
      <c r="N478" s="77"/>
      <c r="O478" s="77"/>
    </row>
    <row r="479" spans="1:15" x14ac:dyDescent="0.25">
      <c r="A479" s="76"/>
      <c r="B479" s="76"/>
      <c r="C479" s="77"/>
      <c r="D479" s="76"/>
      <c r="E479" s="77"/>
      <c r="F479" s="77"/>
      <c r="G479" s="76"/>
      <c r="H479" s="77"/>
      <c r="I479" s="77"/>
      <c r="J479" s="76"/>
      <c r="K479" s="77"/>
      <c r="L479" s="77"/>
      <c r="M479" s="77"/>
      <c r="N479" s="77"/>
      <c r="O479" s="77"/>
    </row>
    <row r="480" spans="1:15" x14ac:dyDescent="0.25">
      <c r="A480" s="76"/>
      <c r="B480" s="76"/>
      <c r="C480" s="77"/>
      <c r="D480" s="76"/>
      <c r="E480" s="77"/>
      <c r="F480" s="77"/>
      <c r="G480" s="76"/>
      <c r="H480" s="77"/>
      <c r="I480" s="77"/>
      <c r="J480" s="76"/>
      <c r="K480" s="77"/>
      <c r="L480" s="77"/>
      <c r="M480" s="77"/>
      <c r="N480" s="77"/>
      <c r="O480" s="77"/>
    </row>
    <row r="481" spans="1:15" x14ac:dyDescent="0.25">
      <c r="A481" s="76"/>
      <c r="B481" s="76"/>
      <c r="C481" s="77"/>
      <c r="D481" s="76"/>
      <c r="E481" s="77"/>
      <c r="F481" s="77"/>
      <c r="G481" s="76"/>
      <c r="H481" s="77"/>
      <c r="I481" s="77"/>
      <c r="J481" s="76"/>
      <c r="K481" s="77"/>
      <c r="L481" s="77"/>
      <c r="M481" s="77"/>
      <c r="N481" s="77"/>
      <c r="O481" s="77"/>
    </row>
    <row r="482" spans="1:15" x14ac:dyDescent="0.25">
      <c r="A482" s="76"/>
      <c r="B482" s="76"/>
      <c r="C482" s="77"/>
      <c r="D482" s="76"/>
      <c r="E482" s="77"/>
      <c r="F482" s="77"/>
      <c r="G482" s="76"/>
      <c r="H482" s="77"/>
      <c r="I482" s="77"/>
      <c r="J482" s="76"/>
      <c r="K482" s="77"/>
      <c r="L482" s="77"/>
      <c r="M482" s="77"/>
      <c r="N482" s="77"/>
      <c r="O482" s="77"/>
    </row>
    <row r="483" spans="1:15" x14ac:dyDescent="0.25">
      <c r="A483" s="76"/>
      <c r="B483" s="76"/>
      <c r="C483" s="77"/>
      <c r="D483" s="76"/>
      <c r="E483" s="77"/>
      <c r="F483" s="77"/>
      <c r="G483" s="76"/>
      <c r="H483" s="77"/>
      <c r="I483" s="77"/>
      <c r="J483" s="76"/>
      <c r="K483" s="77"/>
      <c r="L483" s="77"/>
      <c r="M483" s="77"/>
      <c r="N483" s="77"/>
      <c r="O483" s="77"/>
    </row>
    <row r="484" spans="1:15" x14ac:dyDescent="0.25">
      <c r="A484" s="76"/>
      <c r="B484" s="76"/>
      <c r="C484" s="77"/>
      <c r="D484" s="76"/>
      <c r="E484" s="77"/>
      <c r="F484" s="77"/>
      <c r="G484" s="76"/>
      <c r="H484" s="77"/>
      <c r="I484" s="77"/>
      <c r="J484" s="76"/>
      <c r="K484" s="77"/>
      <c r="L484" s="77"/>
      <c r="M484" s="77"/>
      <c r="N484" s="77"/>
      <c r="O484" s="77"/>
    </row>
    <row r="485" spans="1:15" x14ac:dyDescent="0.25">
      <c r="A485" s="76"/>
      <c r="B485" s="76"/>
      <c r="C485" s="77"/>
      <c r="D485" s="76"/>
      <c r="E485" s="77"/>
      <c r="F485" s="77"/>
      <c r="G485" s="76"/>
      <c r="H485" s="77"/>
      <c r="I485" s="77"/>
      <c r="J485" s="76"/>
      <c r="K485" s="77"/>
      <c r="L485" s="77"/>
      <c r="M485" s="77"/>
      <c r="N485" s="77"/>
      <c r="O485" s="77"/>
    </row>
    <row r="486" spans="1:15" x14ac:dyDescent="0.25">
      <c r="A486" s="76"/>
      <c r="B486" s="76"/>
      <c r="C486" s="77"/>
      <c r="D486" s="76"/>
      <c r="E486" s="77"/>
      <c r="F486" s="77"/>
      <c r="G486" s="76"/>
      <c r="H486" s="77"/>
      <c r="I486" s="77"/>
      <c r="J486" s="76"/>
      <c r="K486" s="77"/>
      <c r="L486" s="77"/>
      <c r="M486" s="77"/>
      <c r="N486" s="77"/>
      <c r="O486" s="77"/>
    </row>
    <row r="487" spans="1:15" x14ac:dyDescent="0.25">
      <c r="A487" s="76"/>
      <c r="B487" s="76"/>
      <c r="C487" s="77"/>
      <c r="D487" s="76"/>
      <c r="E487" s="77"/>
      <c r="F487" s="77"/>
      <c r="G487" s="76"/>
      <c r="H487" s="77"/>
      <c r="I487" s="77"/>
      <c r="J487" s="76"/>
      <c r="K487" s="77"/>
      <c r="L487" s="77"/>
      <c r="M487" s="77"/>
      <c r="N487" s="77"/>
      <c r="O487" s="77"/>
    </row>
    <row r="488" spans="1:15" x14ac:dyDescent="0.25">
      <c r="A488" s="76"/>
      <c r="B488" s="76"/>
      <c r="C488" s="77"/>
      <c r="D488" s="76"/>
      <c r="E488" s="77"/>
      <c r="F488" s="77"/>
      <c r="G488" s="76"/>
      <c r="H488" s="77"/>
      <c r="I488" s="77"/>
      <c r="J488" s="76"/>
      <c r="K488" s="77"/>
      <c r="L488" s="77"/>
      <c r="M488" s="77"/>
      <c r="N488" s="77"/>
      <c r="O488" s="77"/>
    </row>
    <row r="489" spans="1:15" x14ac:dyDescent="0.25">
      <c r="A489" s="76"/>
      <c r="B489" s="76"/>
      <c r="C489" s="77"/>
      <c r="D489" s="76"/>
      <c r="E489" s="77"/>
      <c r="F489" s="77"/>
      <c r="G489" s="76"/>
      <c r="H489" s="77"/>
      <c r="I489" s="77"/>
      <c r="J489" s="76"/>
      <c r="K489" s="77"/>
      <c r="L489" s="77"/>
      <c r="M489" s="77"/>
      <c r="N489" s="77"/>
      <c r="O489" s="77"/>
    </row>
    <row r="490" spans="1:15" x14ac:dyDescent="0.25">
      <c r="A490" s="76"/>
      <c r="B490" s="76"/>
      <c r="C490" s="77"/>
      <c r="D490" s="76"/>
      <c r="E490" s="77"/>
      <c r="F490" s="77"/>
      <c r="G490" s="76"/>
      <c r="H490" s="77"/>
      <c r="I490" s="77"/>
      <c r="J490" s="76"/>
      <c r="K490" s="77"/>
      <c r="L490" s="77"/>
      <c r="M490" s="77"/>
      <c r="N490" s="77"/>
      <c r="O490" s="77"/>
    </row>
    <row r="491" spans="1:15" x14ac:dyDescent="0.25">
      <c r="A491" s="76"/>
      <c r="B491" s="76"/>
      <c r="C491" s="77"/>
      <c r="D491" s="76"/>
      <c r="E491" s="77"/>
      <c r="F491" s="77"/>
      <c r="G491" s="76"/>
      <c r="H491" s="77"/>
      <c r="I491" s="77"/>
      <c r="J491" s="76"/>
      <c r="K491" s="77"/>
      <c r="L491" s="77"/>
      <c r="M491" s="77"/>
      <c r="N491" s="77"/>
      <c r="O491" s="77"/>
    </row>
    <row r="492" spans="1:15" x14ac:dyDescent="0.25">
      <c r="A492" s="76"/>
      <c r="B492" s="76"/>
      <c r="C492" s="77"/>
      <c r="D492" s="76"/>
      <c r="E492" s="77"/>
      <c r="F492" s="77"/>
      <c r="G492" s="76"/>
      <c r="H492" s="77"/>
      <c r="I492" s="77"/>
      <c r="J492" s="76"/>
      <c r="K492" s="77"/>
      <c r="L492" s="77"/>
      <c r="M492" s="77"/>
      <c r="N492" s="77"/>
      <c r="O492" s="77"/>
    </row>
    <row r="493" spans="1:15" x14ac:dyDescent="0.25">
      <c r="A493" s="76"/>
      <c r="B493" s="76"/>
      <c r="C493" s="77"/>
      <c r="D493" s="76"/>
      <c r="E493" s="77"/>
      <c r="F493" s="77"/>
      <c r="G493" s="76"/>
      <c r="H493" s="77"/>
      <c r="I493" s="77"/>
      <c r="J493" s="76"/>
      <c r="K493" s="77"/>
      <c r="L493" s="77"/>
      <c r="M493" s="77"/>
      <c r="N493" s="77"/>
      <c r="O493" s="77"/>
    </row>
    <row r="494" spans="1:15" x14ac:dyDescent="0.25">
      <c r="A494" s="76"/>
      <c r="B494" s="76"/>
      <c r="C494" s="77"/>
      <c r="D494" s="76"/>
      <c r="E494" s="77"/>
      <c r="F494" s="77"/>
      <c r="G494" s="76"/>
      <c r="H494" s="77"/>
      <c r="I494" s="77"/>
      <c r="J494" s="76"/>
      <c r="K494" s="77"/>
      <c r="L494" s="77"/>
      <c r="M494" s="77"/>
      <c r="N494" s="77"/>
      <c r="O494" s="77"/>
    </row>
    <row r="495" spans="1:15" x14ac:dyDescent="0.25">
      <c r="A495" s="76"/>
      <c r="B495" s="76"/>
      <c r="C495" s="77"/>
      <c r="D495" s="76"/>
      <c r="E495" s="77"/>
      <c r="F495" s="77"/>
      <c r="G495" s="76"/>
      <c r="H495" s="77"/>
      <c r="I495" s="77"/>
      <c r="J495" s="76"/>
      <c r="K495" s="77"/>
      <c r="L495" s="77"/>
      <c r="M495" s="77"/>
      <c r="N495" s="77"/>
      <c r="O495" s="77"/>
    </row>
    <row r="496" spans="1:15" x14ac:dyDescent="0.25">
      <c r="A496" s="76"/>
      <c r="B496" s="76"/>
      <c r="C496" s="77"/>
      <c r="D496" s="76"/>
      <c r="E496" s="77"/>
      <c r="F496" s="77"/>
      <c r="G496" s="76"/>
      <c r="H496" s="77"/>
      <c r="I496" s="77"/>
      <c r="J496" s="76"/>
      <c r="K496" s="77"/>
      <c r="L496" s="77"/>
      <c r="M496" s="77"/>
      <c r="N496" s="77"/>
      <c r="O496" s="77"/>
    </row>
    <row r="497" spans="1:15" x14ac:dyDescent="0.25">
      <c r="A497" s="76"/>
      <c r="B497" s="76"/>
      <c r="C497" s="77"/>
      <c r="D497" s="76"/>
      <c r="E497" s="77"/>
      <c r="F497" s="77"/>
      <c r="G497" s="76"/>
      <c r="H497" s="77"/>
      <c r="I497" s="77"/>
      <c r="J497" s="76"/>
      <c r="K497" s="77"/>
      <c r="L497" s="77"/>
      <c r="M497" s="77"/>
      <c r="N497" s="77"/>
      <c r="O497" s="77"/>
    </row>
    <row r="498" spans="1:15" x14ac:dyDescent="0.25">
      <c r="A498" s="76"/>
      <c r="B498" s="76"/>
      <c r="C498" s="77"/>
      <c r="D498" s="76"/>
      <c r="E498" s="77"/>
      <c r="F498" s="77"/>
      <c r="G498" s="76"/>
      <c r="H498" s="77"/>
      <c r="I498" s="77"/>
      <c r="J498" s="76"/>
      <c r="K498" s="77"/>
      <c r="L498" s="77"/>
      <c r="M498" s="77"/>
      <c r="N498" s="77"/>
      <c r="O498" s="77"/>
    </row>
    <row r="499" spans="1:15" x14ac:dyDescent="0.25">
      <c r="A499" s="76"/>
      <c r="B499" s="76"/>
      <c r="C499" s="77"/>
      <c r="D499" s="76"/>
      <c r="E499" s="77"/>
      <c r="F499" s="77"/>
      <c r="G499" s="76"/>
      <c r="H499" s="77"/>
      <c r="I499" s="77"/>
      <c r="J499" s="76"/>
      <c r="K499" s="77"/>
      <c r="L499" s="77"/>
      <c r="M499" s="77"/>
      <c r="N499" s="77"/>
      <c r="O499" s="77"/>
    </row>
    <row r="500" spans="1:15" x14ac:dyDescent="0.25">
      <c r="A500" s="76"/>
      <c r="B500" s="76"/>
      <c r="C500" s="77"/>
      <c r="D500" s="76"/>
      <c r="E500" s="77"/>
      <c r="F500" s="77"/>
      <c r="G500" s="76"/>
      <c r="H500" s="77"/>
      <c r="I500" s="77"/>
      <c r="J500" s="76"/>
      <c r="K500" s="77"/>
      <c r="L500" s="77"/>
      <c r="M500" s="77"/>
      <c r="N500" s="77"/>
      <c r="O500" s="77"/>
    </row>
    <row r="501" spans="1:15" x14ac:dyDescent="0.25">
      <c r="A501" s="76"/>
      <c r="B501" s="76"/>
      <c r="C501" s="77"/>
      <c r="D501" s="76"/>
      <c r="E501" s="77"/>
      <c r="F501" s="77"/>
      <c r="G501" s="76"/>
      <c r="H501" s="77"/>
      <c r="I501" s="77"/>
      <c r="J501" s="76"/>
      <c r="K501" s="77"/>
      <c r="L501" s="77"/>
      <c r="M501" s="77"/>
      <c r="N501" s="77"/>
      <c r="O501" s="77"/>
    </row>
    <row r="502" spans="1:15" x14ac:dyDescent="0.25">
      <c r="A502" s="76"/>
      <c r="B502" s="76"/>
      <c r="C502" s="77"/>
      <c r="D502" s="76"/>
      <c r="E502" s="77"/>
      <c r="F502" s="77"/>
      <c r="G502" s="76"/>
      <c r="H502" s="77"/>
      <c r="I502" s="77"/>
      <c r="J502" s="76"/>
      <c r="K502" s="77"/>
      <c r="L502" s="77"/>
      <c r="M502" s="77"/>
      <c r="N502" s="77"/>
      <c r="O502" s="77"/>
    </row>
    <row r="503" spans="1:15" x14ac:dyDescent="0.25">
      <c r="A503" s="76"/>
      <c r="B503" s="76"/>
      <c r="C503" s="77"/>
      <c r="D503" s="76"/>
      <c r="E503" s="77"/>
      <c r="F503" s="77"/>
      <c r="G503" s="76"/>
      <c r="H503" s="77"/>
      <c r="I503" s="77"/>
      <c r="J503" s="76"/>
      <c r="K503" s="77"/>
      <c r="L503" s="77"/>
      <c r="M503" s="77"/>
      <c r="N503" s="77"/>
      <c r="O503" s="77"/>
    </row>
    <row r="504" spans="1:15" x14ac:dyDescent="0.25">
      <c r="A504" s="76"/>
      <c r="B504" s="76"/>
      <c r="C504" s="77"/>
      <c r="D504" s="76"/>
      <c r="E504" s="77"/>
      <c r="F504" s="77"/>
      <c r="G504" s="76"/>
      <c r="H504" s="77"/>
      <c r="I504" s="77"/>
      <c r="J504" s="76"/>
      <c r="K504" s="77"/>
      <c r="L504" s="77"/>
      <c r="M504" s="77"/>
      <c r="N504" s="77"/>
      <c r="O504" s="77"/>
    </row>
    <row r="505" spans="1:15" x14ac:dyDescent="0.25">
      <c r="A505" s="76"/>
      <c r="B505" s="76"/>
      <c r="C505" s="77"/>
      <c r="D505" s="76"/>
      <c r="E505" s="77"/>
      <c r="F505" s="77"/>
      <c r="G505" s="76"/>
      <c r="H505" s="77"/>
      <c r="I505" s="77"/>
      <c r="J505" s="76"/>
      <c r="K505" s="77"/>
      <c r="L505" s="77"/>
      <c r="M505" s="77"/>
      <c r="N505" s="77"/>
      <c r="O505" s="77"/>
    </row>
    <row r="506" spans="1:15" x14ac:dyDescent="0.25">
      <c r="A506" s="76"/>
      <c r="B506" s="76"/>
      <c r="C506" s="77"/>
      <c r="D506" s="76"/>
      <c r="E506" s="77"/>
      <c r="F506" s="77"/>
      <c r="G506" s="76"/>
      <c r="H506" s="77"/>
      <c r="I506" s="77"/>
      <c r="J506" s="76"/>
      <c r="K506" s="77"/>
      <c r="L506" s="77"/>
      <c r="M506" s="77"/>
      <c r="N506" s="77"/>
      <c r="O506" s="77"/>
    </row>
    <row r="507" spans="1:15" x14ac:dyDescent="0.25">
      <c r="A507" s="76"/>
      <c r="B507" s="76"/>
      <c r="C507" s="77"/>
      <c r="D507" s="76"/>
      <c r="E507" s="77"/>
      <c r="F507" s="77"/>
      <c r="G507" s="76"/>
      <c r="H507" s="77"/>
      <c r="I507" s="77"/>
      <c r="J507" s="76"/>
      <c r="K507" s="77"/>
      <c r="L507" s="77"/>
      <c r="M507" s="77"/>
      <c r="N507" s="77"/>
      <c r="O507" s="77"/>
    </row>
    <row r="508" spans="1:15" x14ac:dyDescent="0.25">
      <c r="A508" s="76"/>
      <c r="B508" s="76"/>
      <c r="C508" s="77"/>
      <c r="D508" s="76"/>
      <c r="E508" s="77"/>
      <c r="F508" s="77"/>
      <c r="G508" s="76"/>
      <c r="H508" s="77"/>
      <c r="I508" s="77"/>
      <c r="J508" s="76"/>
      <c r="K508" s="77"/>
      <c r="L508" s="77"/>
      <c r="M508" s="77"/>
      <c r="N508" s="77"/>
      <c r="O508" s="77"/>
    </row>
    <row r="509" spans="1:15" x14ac:dyDescent="0.25">
      <c r="A509" s="76"/>
      <c r="B509" s="76"/>
      <c r="C509" s="77"/>
      <c r="D509" s="76"/>
      <c r="E509" s="77"/>
      <c r="F509" s="77"/>
      <c r="G509" s="76"/>
      <c r="H509" s="77"/>
      <c r="I509" s="77"/>
      <c r="J509" s="76"/>
      <c r="K509" s="77"/>
      <c r="L509" s="77"/>
      <c r="M509" s="77"/>
      <c r="N509" s="77"/>
      <c r="O509" s="77"/>
    </row>
    <row r="510" spans="1:15" x14ac:dyDescent="0.25">
      <c r="A510" s="76"/>
      <c r="B510" s="76"/>
      <c r="C510" s="77"/>
      <c r="D510" s="76"/>
      <c r="E510" s="77"/>
      <c r="F510" s="77"/>
      <c r="G510" s="76"/>
      <c r="H510" s="77"/>
      <c r="I510" s="77"/>
      <c r="J510" s="76"/>
      <c r="K510" s="77"/>
      <c r="L510" s="77"/>
      <c r="M510" s="77"/>
      <c r="N510" s="77"/>
      <c r="O510" s="77"/>
    </row>
    <row r="511" spans="1:15" x14ac:dyDescent="0.25">
      <c r="A511" s="76"/>
      <c r="B511" s="76"/>
      <c r="C511" s="77"/>
      <c r="D511" s="76"/>
      <c r="E511" s="77"/>
      <c r="F511" s="77"/>
      <c r="G511" s="76"/>
      <c r="H511" s="77"/>
      <c r="I511" s="77"/>
      <c r="J511" s="76"/>
      <c r="K511" s="77"/>
      <c r="L511" s="77"/>
      <c r="M511" s="77"/>
      <c r="N511" s="77"/>
      <c r="O511" s="77"/>
    </row>
    <row r="512" spans="1:15" x14ac:dyDescent="0.25">
      <c r="A512" s="76"/>
      <c r="B512" s="76"/>
      <c r="C512" s="77"/>
      <c r="D512" s="76"/>
      <c r="E512" s="77"/>
      <c r="F512" s="77"/>
      <c r="G512" s="76"/>
      <c r="H512" s="77"/>
      <c r="I512" s="77"/>
      <c r="J512" s="76"/>
      <c r="K512" s="77"/>
      <c r="L512" s="77"/>
      <c r="M512" s="77"/>
      <c r="N512" s="77"/>
      <c r="O512" s="77"/>
    </row>
    <row r="513" spans="1:15" x14ac:dyDescent="0.25">
      <c r="A513" s="76"/>
      <c r="B513" s="76"/>
      <c r="C513" s="77"/>
      <c r="D513" s="76"/>
      <c r="E513" s="77"/>
      <c r="F513" s="77"/>
      <c r="G513" s="76"/>
      <c r="H513" s="77"/>
      <c r="I513" s="77"/>
      <c r="J513" s="76"/>
      <c r="K513" s="77"/>
      <c r="L513" s="77"/>
      <c r="M513" s="77"/>
      <c r="N513" s="77"/>
      <c r="O513" s="77"/>
    </row>
    <row r="514" spans="1:15" x14ac:dyDescent="0.25">
      <c r="A514" s="76"/>
      <c r="B514" s="76"/>
      <c r="C514" s="77"/>
      <c r="D514" s="76"/>
      <c r="E514" s="77"/>
      <c r="F514" s="77"/>
      <c r="G514" s="76"/>
      <c r="H514" s="77"/>
      <c r="I514" s="77"/>
      <c r="J514" s="76"/>
      <c r="K514" s="77"/>
      <c r="L514" s="77"/>
      <c r="M514" s="77"/>
      <c r="N514" s="77"/>
      <c r="O514" s="77"/>
    </row>
    <row r="515" spans="1:15" x14ac:dyDescent="0.25">
      <c r="A515" s="76"/>
      <c r="B515" s="76"/>
      <c r="C515" s="77"/>
      <c r="D515" s="76"/>
      <c r="E515" s="77"/>
      <c r="F515" s="77"/>
      <c r="G515" s="76"/>
      <c r="H515" s="77"/>
      <c r="I515" s="77"/>
      <c r="J515" s="76"/>
      <c r="K515" s="77"/>
      <c r="L515" s="77"/>
      <c r="M515" s="77"/>
      <c r="N515" s="77"/>
      <c r="O515" s="77"/>
    </row>
    <row r="516" spans="1:15" x14ac:dyDescent="0.25">
      <c r="A516" s="76"/>
      <c r="B516" s="76"/>
      <c r="C516" s="77"/>
      <c r="D516" s="76"/>
      <c r="E516" s="77"/>
      <c r="F516" s="77"/>
      <c r="G516" s="76"/>
      <c r="H516" s="77"/>
      <c r="I516" s="77"/>
      <c r="J516" s="76"/>
      <c r="K516" s="77"/>
      <c r="L516" s="77"/>
      <c r="M516" s="77"/>
      <c r="N516" s="77"/>
      <c r="O516" s="77"/>
    </row>
    <row r="517" spans="1:15" x14ac:dyDescent="0.25">
      <c r="A517" s="76"/>
      <c r="B517" s="76"/>
      <c r="C517" s="77"/>
      <c r="D517" s="76"/>
      <c r="E517" s="77"/>
      <c r="F517" s="77"/>
      <c r="G517" s="76"/>
      <c r="H517" s="77"/>
      <c r="I517" s="77"/>
      <c r="J517" s="76"/>
      <c r="K517" s="77"/>
      <c r="L517" s="77"/>
      <c r="M517" s="77"/>
      <c r="N517" s="77"/>
      <c r="O517" s="77"/>
    </row>
    <row r="518" spans="1:15" x14ac:dyDescent="0.25">
      <c r="A518" s="76"/>
      <c r="B518" s="76"/>
      <c r="C518" s="77"/>
      <c r="D518" s="76"/>
      <c r="E518" s="77"/>
      <c r="F518" s="77"/>
      <c r="G518" s="76"/>
      <c r="H518" s="77"/>
      <c r="I518" s="77"/>
      <c r="J518" s="76"/>
      <c r="K518" s="77"/>
      <c r="L518" s="77"/>
      <c r="M518" s="77"/>
      <c r="N518" s="77"/>
      <c r="O518" s="77"/>
    </row>
    <row r="519" spans="1:15" x14ac:dyDescent="0.25">
      <c r="A519" s="76"/>
      <c r="B519" s="76"/>
      <c r="C519" s="77"/>
      <c r="D519" s="76"/>
      <c r="E519" s="77"/>
      <c r="F519" s="77"/>
      <c r="G519" s="76"/>
      <c r="H519" s="77"/>
      <c r="I519" s="77"/>
      <c r="J519" s="76"/>
      <c r="K519" s="77"/>
      <c r="L519" s="77"/>
      <c r="M519" s="77"/>
      <c r="N519" s="77"/>
      <c r="O519" s="77"/>
    </row>
    <row r="520" spans="1:15" x14ac:dyDescent="0.25">
      <c r="A520" s="76"/>
      <c r="B520" s="76"/>
      <c r="C520" s="77"/>
      <c r="D520" s="76"/>
      <c r="E520" s="77"/>
      <c r="F520" s="77"/>
      <c r="G520" s="76"/>
      <c r="H520" s="77"/>
      <c r="I520" s="77"/>
      <c r="J520" s="76"/>
      <c r="K520" s="77"/>
      <c r="L520" s="77"/>
      <c r="M520" s="77"/>
      <c r="N520" s="77"/>
      <c r="O520" s="77"/>
    </row>
    <row r="521" spans="1:15" x14ac:dyDescent="0.25">
      <c r="A521" s="76"/>
      <c r="B521" s="76"/>
      <c r="C521" s="77"/>
      <c r="D521" s="76"/>
      <c r="E521" s="77"/>
      <c r="F521" s="77"/>
      <c r="G521" s="76"/>
      <c r="H521" s="77"/>
      <c r="I521" s="77"/>
      <c r="J521" s="76"/>
      <c r="K521" s="77"/>
      <c r="L521" s="77"/>
      <c r="M521" s="77"/>
      <c r="N521" s="77"/>
      <c r="O521" s="77"/>
    </row>
    <row r="522" spans="1:15" x14ac:dyDescent="0.25">
      <c r="A522" s="76"/>
      <c r="B522" s="76"/>
      <c r="C522" s="77"/>
      <c r="D522" s="76"/>
      <c r="E522" s="77"/>
      <c r="F522" s="77"/>
      <c r="G522" s="76"/>
      <c r="H522" s="77"/>
      <c r="I522" s="77"/>
      <c r="J522" s="76"/>
      <c r="K522" s="77"/>
      <c r="L522" s="77"/>
      <c r="M522" s="77"/>
      <c r="N522" s="77"/>
      <c r="O522" s="77"/>
    </row>
    <row r="523" spans="1:15" x14ac:dyDescent="0.25">
      <c r="A523" s="76"/>
      <c r="B523" s="76"/>
      <c r="C523" s="77"/>
      <c r="D523" s="76"/>
      <c r="E523" s="77"/>
      <c r="F523" s="77"/>
      <c r="G523" s="76"/>
      <c r="H523" s="77"/>
      <c r="I523" s="77"/>
      <c r="J523" s="76"/>
      <c r="K523" s="77"/>
      <c r="L523" s="77"/>
      <c r="M523" s="77"/>
      <c r="N523" s="77"/>
      <c r="O523" s="77"/>
    </row>
    <row r="524" spans="1:15" x14ac:dyDescent="0.25">
      <c r="A524" s="76"/>
      <c r="B524" s="76"/>
      <c r="C524" s="77"/>
      <c r="D524" s="76"/>
      <c r="E524" s="77"/>
      <c r="F524" s="77"/>
      <c r="G524" s="76"/>
      <c r="H524" s="77"/>
      <c r="I524" s="77"/>
      <c r="J524" s="76"/>
      <c r="K524" s="77"/>
      <c r="L524" s="77"/>
      <c r="M524" s="77"/>
      <c r="N524" s="77"/>
      <c r="O524" s="77"/>
    </row>
    <row r="525" spans="1:15" x14ac:dyDescent="0.25">
      <c r="A525" s="76"/>
      <c r="B525" s="76"/>
      <c r="C525" s="77"/>
      <c r="D525" s="76"/>
      <c r="E525" s="77"/>
      <c r="F525" s="77"/>
      <c r="G525" s="76"/>
      <c r="H525" s="77"/>
      <c r="I525" s="77"/>
      <c r="J525" s="76"/>
      <c r="K525" s="77"/>
      <c r="L525" s="77"/>
      <c r="M525" s="77"/>
      <c r="N525" s="77"/>
      <c r="O525" s="77"/>
    </row>
    <row r="526" spans="1:15" x14ac:dyDescent="0.25">
      <c r="A526" s="76"/>
      <c r="B526" s="76"/>
      <c r="C526" s="77"/>
      <c r="D526" s="76"/>
      <c r="E526" s="77"/>
      <c r="F526" s="77"/>
      <c r="G526" s="76"/>
      <c r="H526" s="77"/>
      <c r="I526" s="77"/>
      <c r="J526" s="76"/>
      <c r="K526" s="77"/>
      <c r="L526" s="77"/>
      <c r="M526" s="77"/>
      <c r="N526" s="77"/>
      <c r="O526" s="77"/>
    </row>
    <row r="527" spans="1:15" x14ac:dyDescent="0.25">
      <c r="A527" s="76"/>
      <c r="B527" s="76"/>
      <c r="C527" s="77"/>
      <c r="D527" s="76"/>
      <c r="E527" s="77"/>
      <c r="F527" s="77"/>
      <c r="G527" s="76"/>
      <c r="H527" s="77"/>
      <c r="I527" s="77"/>
      <c r="J527" s="76"/>
      <c r="K527" s="77"/>
      <c r="L527" s="77"/>
      <c r="M527" s="77"/>
      <c r="N527" s="77"/>
      <c r="O527" s="77"/>
    </row>
    <row r="528" spans="1:15" x14ac:dyDescent="0.25">
      <c r="A528" s="76"/>
      <c r="B528" s="76"/>
      <c r="C528" s="77"/>
      <c r="D528" s="76"/>
      <c r="E528" s="77"/>
      <c r="F528" s="77"/>
      <c r="G528" s="76"/>
      <c r="H528" s="77"/>
      <c r="I528" s="77"/>
      <c r="J528" s="76"/>
      <c r="K528" s="77"/>
      <c r="L528" s="77"/>
      <c r="M528" s="77"/>
      <c r="N528" s="77"/>
      <c r="O528" s="77"/>
    </row>
    <row r="529" spans="1:15" x14ac:dyDescent="0.25">
      <c r="A529" s="76"/>
      <c r="B529" s="76"/>
      <c r="C529" s="77"/>
      <c r="D529" s="76"/>
      <c r="E529" s="77"/>
      <c r="F529" s="77"/>
      <c r="G529" s="76"/>
      <c r="H529" s="77"/>
      <c r="I529" s="77"/>
      <c r="J529" s="76"/>
      <c r="K529" s="77"/>
      <c r="L529" s="77"/>
      <c r="M529" s="77"/>
      <c r="N529" s="77"/>
      <c r="O529" s="77"/>
    </row>
    <row r="530" spans="1:15" x14ac:dyDescent="0.25">
      <c r="A530" s="76"/>
      <c r="B530" s="76"/>
      <c r="C530" s="77"/>
      <c r="D530" s="76"/>
      <c r="E530" s="77"/>
      <c r="F530" s="77"/>
      <c r="G530" s="76"/>
      <c r="H530" s="77"/>
      <c r="I530" s="77"/>
      <c r="J530" s="76"/>
      <c r="K530" s="77"/>
      <c r="L530" s="77"/>
      <c r="M530" s="77"/>
      <c r="N530" s="77"/>
      <c r="O530" s="77"/>
    </row>
    <row r="531" spans="1:15" x14ac:dyDescent="0.25">
      <c r="A531" s="76"/>
      <c r="B531" s="76"/>
      <c r="C531" s="77"/>
      <c r="D531" s="76"/>
      <c r="E531" s="77"/>
      <c r="F531" s="77"/>
      <c r="G531" s="76"/>
      <c r="H531" s="77"/>
      <c r="I531" s="77"/>
      <c r="J531" s="76"/>
      <c r="K531" s="77"/>
      <c r="L531" s="77"/>
      <c r="M531" s="77"/>
      <c r="N531" s="77"/>
      <c r="O531" s="77"/>
    </row>
    <row r="532" spans="1:15" x14ac:dyDescent="0.25">
      <c r="A532" s="76"/>
      <c r="B532" s="76"/>
      <c r="C532" s="77"/>
      <c r="D532" s="76"/>
      <c r="E532" s="77"/>
      <c r="F532" s="77"/>
      <c r="G532" s="76"/>
      <c r="H532" s="77"/>
      <c r="I532" s="77"/>
      <c r="J532" s="76"/>
      <c r="K532" s="77"/>
      <c r="L532" s="77"/>
      <c r="M532" s="77"/>
      <c r="N532" s="77"/>
      <c r="O532" s="77"/>
    </row>
    <row r="533" spans="1:15" x14ac:dyDescent="0.25">
      <c r="A533" s="76"/>
      <c r="B533" s="76"/>
      <c r="C533" s="77"/>
      <c r="D533" s="76"/>
      <c r="E533" s="77"/>
      <c r="F533" s="77"/>
      <c r="G533" s="76"/>
      <c r="H533" s="77"/>
      <c r="I533" s="77"/>
      <c r="J533" s="76"/>
      <c r="K533" s="77"/>
      <c r="L533" s="77"/>
      <c r="M533" s="77"/>
      <c r="N533" s="77"/>
      <c r="O533" s="77"/>
    </row>
    <row r="534" spans="1:15" x14ac:dyDescent="0.25">
      <c r="A534" s="76"/>
      <c r="B534" s="76"/>
      <c r="C534" s="77"/>
      <c r="D534" s="76"/>
      <c r="E534" s="77"/>
      <c r="F534" s="77"/>
      <c r="G534" s="76"/>
      <c r="H534" s="77"/>
      <c r="I534" s="77"/>
      <c r="J534" s="76"/>
      <c r="K534" s="77"/>
      <c r="L534" s="77"/>
      <c r="M534" s="77"/>
      <c r="N534" s="77"/>
      <c r="O534" s="77"/>
    </row>
    <row r="535" spans="1:15" x14ac:dyDescent="0.25">
      <c r="A535" s="76"/>
      <c r="B535" s="76"/>
      <c r="C535" s="77"/>
      <c r="D535" s="76"/>
      <c r="E535" s="77"/>
      <c r="F535" s="77"/>
      <c r="G535" s="76"/>
      <c r="H535" s="77"/>
      <c r="I535" s="77"/>
      <c r="J535" s="76"/>
      <c r="K535" s="77"/>
      <c r="L535" s="77"/>
      <c r="M535" s="77"/>
      <c r="N535" s="77"/>
      <c r="O535" s="77"/>
    </row>
    <row r="536" spans="1:15" x14ac:dyDescent="0.25">
      <c r="M536" s="77"/>
      <c r="N536" s="77"/>
      <c r="O536" s="77"/>
    </row>
    <row r="537" spans="1:15" x14ac:dyDescent="0.25">
      <c r="M537" s="77"/>
      <c r="N537" s="77"/>
      <c r="O537" s="77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5"/>
  <sheetViews>
    <sheetView topLeftCell="F5" workbookViewId="0">
      <pane ySplit="3" topLeftCell="A9" activePane="bottomLeft" state="frozen"/>
      <selection activeCell="A5" sqref="A5"/>
      <selection pane="bottomLeft" activeCell="R9" sqref="R9"/>
    </sheetView>
  </sheetViews>
  <sheetFormatPr baseColWidth="10" defaultRowHeight="15" x14ac:dyDescent="0.25"/>
  <cols>
    <col min="1" max="1" width="7.7109375" style="7" customWidth="1"/>
    <col min="2" max="2" width="8.7109375" style="7" customWidth="1"/>
    <col min="3" max="3" width="23.7109375" customWidth="1"/>
    <col min="4" max="4" width="7.7109375" style="7" customWidth="1"/>
    <col min="5" max="5" width="8.7109375" customWidth="1"/>
    <col min="6" max="6" width="23.7109375" customWidth="1"/>
    <col min="7" max="7" width="7.7109375" style="7" customWidth="1"/>
    <col min="8" max="8" width="8.7109375" customWidth="1"/>
    <col min="9" max="9" width="23.7109375" customWidth="1"/>
    <col min="10" max="10" width="7.7109375" style="7" customWidth="1"/>
    <col min="11" max="11" width="9.855468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08" t="s">
        <v>10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10" t="s">
        <v>15</v>
      </c>
      <c r="M1" s="110"/>
      <c r="N1" s="6">
        <v>2014</v>
      </c>
      <c r="O1" s="5"/>
    </row>
    <row r="2" spans="1:18" ht="15.75" x14ac:dyDescent="0.25">
      <c r="A2" s="8">
        <v>2013</v>
      </c>
    </row>
    <row r="3" spans="1:18" ht="15.75" x14ac:dyDescent="0.25">
      <c r="A3" s="30" t="s">
        <v>7</v>
      </c>
      <c r="C3" s="116" t="s">
        <v>8</v>
      </c>
      <c r="D3" s="116"/>
      <c r="E3" s="28" t="s">
        <v>9</v>
      </c>
      <c r="F3" s="4" t="e">
        <f>#REF!+#REF!+#REF!+#REF!+#REF!</f>
        <v>#REF!</v>
      </c>
      <c r="H3" s="4" t="s">
        <v>3</v>
      </c>
      <c r="I3" s="2" t="e">
        <f>#REF!+#REF!+#REF!+#REF!+#REF!</f>
        <v>#REF!</v>
      </c>
    </row>
    <row r="5" spans="1:18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3" t="s">
        <v>6</v>
      </c>
      <c r="K5" s="123"/>
      <c r="L5" s="123"/>
      <c r="M5" s="122" t="s">
        <v>17</v>
      </c>
      <c r="N5" s="122"/>
      <c r="O5" s="122"/>
      <c r="Q5" s="117" t="s">
        <v>18</v>
      </c>
      <c r="R5" s="117"/>
    </row>
    <row r="6" spans="1:18" x14ac:dyDescent="0.25">
      <c r="A6" s="9">
        <f>SUBTOTAL(3,A8:A121)</f>
        <v>54</v>
      </c>
      <c r="B6" s="9">
        <f>SUBTOTAL(9,B8:B121)</f>
        <v>25975</v>
      </c>
      <c r="C6" s="47">
        <v>42162</v>
      </c>
      <c r="D6" s="9">
        <f>SUBTOTAL(3,D8:D120)</f>
        <v>34</v>
      </c>
      <c r="E6" s="1">
        <f>SUBTOTAL(9,E8:E120)</f>
        <v>17280</v>
      </c>
      <c r="F6" s="50">
        <v>42169</v>
      </c>
      <c r="G6" s="9">
        <f>SUBTOTAL(3,G8:G120)</f>
        <v>22</v>
      </c>
      <c r="H6" s="1">
        <f>SUBTOTAL(9,H8:H120)</f>
        <v>12910</v>
      </c>
      <c r="I6" s="51">
        <v>42176</v>
      </c>
      <c r="J6" s="9">
        <f>SUBTOTAL(3,J8:J110)</f>
        <v>34</v>
      </c>
      <c r="K6" s="1">
        <f>SUBTOTAL(9,K8:K110)</f>
        <v>37060</v>
      </c>
      <c r="L6" s="75">
        <v>41818</v>
      </c>
      <c r="M6" s="1">
        <f>SUBTOTAL(3,M8:M120)</f>
        <v>0</v>
      </c>
      <c r="N6" s="1">
        <f>SUBTOTAL(9,N8:N120)</f>
        <v>0</v>
      </c>
      <c r="O6" s="97"/>
      <c r="Q6" s="42">
        <f>+A6+D6+G6+J6+M6</f>
        <v>144</v>
      </c>
      <c r="R6" s="41">
        <f>+B6+E6+H6+K6+N6</f>
        <v>93225</v>
      </c>
    </row>
    <row r="7" spans="1:18" x14ac:dyDescent="0.25">
      <c r="A7" s="58" t="s">
        <v>1</v>
      </c>
      <c r="B7" s="58" t="s">
        <v>3</v>
      </c>
      <c r="C7" s="58" t="s">
        <v>2</v>
      </c>
      <c r="D7" s="59" t="s">
        <v>1</v>
      </c>
      <c r="E7" s="59" t="s">
        <v>3</v>
      </c>
      <c r="F7" s="59" t="s">
        <v>2</v>
      </c>
      <c r="G7" s="60" t="s">
        <v>1</v>
      </c>
      <c r="H7" s="60" t="s">
        <v>3</v>
      </c>
      <c r="I7" s="60" t="s">
        <v>2</v>
      </c>
      <c r="J7" s="72" t="s">
        <v>1</v>
      </c>
      <c r="K7" s="72" t="s">
        <v>3</v>
      </c>
      <c r="L7" s="72" t="s">
        <v>2</v>
      </c>
      <c r="M7" s="53" t="s">
        <v>1</v>
      </c>
      <c r="N7" s="53" t="s">
        <v>3</v>
      </c>
      <c r="O7" s="53" t="s">
        <v>2</v>
      </c>
      <c r="P7" s="39"/>
      <c r="Q7" s="54" t="s">
        <v>9</v>
      </c>
      <c r="R7" s="54" t="s">
        <v>3</v>
      </c>
    </row>
    <row r="8" spans="1:18" x14ac:dyDescent="0.25">
      <c r="A8" s="25">
        <v>9556</v>
      </c>
      <c r="B8" s="61">
        <v>1200</v>
      </c>
      <c r="C8" s="26" t="s">
        <v>259</v>
      </c>
      <c r="D8" s="20">
        <v>9610</v>
      </c>
      <c r="E8" s="82">
        <v>400</v>
      </c>
      <c r="F8" s="21"/>
      <c r="G8" s="17">
        <v>9644</v>
      </c>
      <c r="H8" s="79">
        <v>150</v>
      </c>
      <c r="I8" s="18"/>
      <c r="J8" s="73">
        <v>9666</v>
      </c>
      <c r="K8" s="83">
        <v>400</v>
      </c>
      <c r="L8" s="74" t="s">
        <v>248</v>
      </c>
      <c r="M8" s="23"/>
      <c r="N8" s="85"/>
      <c r="O8" s="23"/>
      <c r="Q8" s="44"/>
      <c r="R8" s="44"/>
    </row>
    <row r="9" spans="1:18" x14ac:dyDescent="0.25">
      <c r="A9" s="25"/>
      <c r="B9" s="61"/>
      <c r="C9" s="26" t="s">
        <v>25</v>
      </c>
      <c r="D9" s="20">
        <v>9611</v>
      </c>
      <c r="E9" s="82">
        <v>160</v>
      </c>
      <c r="F9" s="21" t="s">
        <v>23</v>
      </c>
      <c r="G9" s="17">
        <v>9645</v>
      </c>
      <c r="H9" s="79">
        <v>600</v>
      </c>
      <c r="I9" s="18" t="s">
        <v>261</v>
      </c>
      <c r="J9" s="73">
        <v>9667</v>
      </c>
      <c r="K9" s="83">
        <v>320</v>
      </c>
      <c r="L9" s="74" t="s">
        <v>144</v>
      </c>
      <c r="M9" s="23"/>
      <c r="N9" s="85"/>
      <c r="O9" s="23"/>
    </row>
    <row r="10" spans="1:18" x14ac:dyDescent="0.25">
      <c r="A10" s="25">
        <v>9557</v>
      </c>
      <c r="B10" s="61">
        <v>800</v>
      </c>
      <c r="C10" s="26" t="s">
        <v>260</v>
      </c>
      <c r="D10" s="20">
        <v>9612</v>
      </c>
      <c r="E10" s="82"/>
      <c r="F10" s="21" t="s">
        <v>306</v>
      </c>
      <c r="G10" s="17"/>
      <c r="H10" s="79"/>
      <c r="I10" s="18" t="s">
        <v>33</v>
      </c>
      <c r="J10" s="73">
        <v>9668</v>
      </c>
      <c r="K10" s="83">
        <v>300</v>
      </c>
      <c r="L10" s="74"/>
      <c r="M10" s="23"/>
      <c r="N10" s="85"/>
      <c r="O10" s="23"/>
    </row>
    <row r="11" spans="1:18" x14ac:dyDescent="0.25">
      <c r="A11" s="25"/>
      <c r="B11" s="61"/>
      <c r="C11" s="26" t="s">
        <v>25</v>
      </c>
      <c r="D11" s="20"/>
      <c r="E11" s="82"/>
      <c r="F11" s="21" t="s">
        <v>307</v>
      </c>
      <c r="G11" s="17">
        <v>9646</v>
      </c>
      <c r="H11" s="79">
        <v>600</v>
      </c>
      <c r="I11" s="18" t="s">
        <v>248</v>
      </c>
      <c r="J11" s="73">
        <v>9669</v>
      </c>
      <c r="K11" s="83">
        <v>160</v>
      </c>
      <c r="L11" s="74" t="s">
        <v>49</v>
      </c>
      <c r="M11" s="23"/>
      <c r="N11" s="85"/>
      <c r="O11" s="23"/>
    </row>
    <row r="12" spans="1:18" x14ac:dyDescent="0.25">
      <c r="A12" s="25">
        <v>9558</v>
      </c>
      <c r="B12" s="61">
        <v>600</v>
      </c>
      <c r="C12" s="26" t="s">
        <v>168</v>
      </c>
      <c r="D12" s="20"/>
      <c r="E12" s="82"/>
      <c r="F12" s="21" t="s">
        <v>308</v>
      </c>
      <c r="G12" s="17">
        <v>9647</v>
      </c>
      <c r="H12" s="79">
        <v>800</v>
      </c>
      <c r="I12" s="18" t="s">
        <v>260</v>
      </c>
      <c r="J12" s="73">
        <v>9670</v>
      </c>
      <c r="K12" s="83">
        <v>400</v>
      </c>
      <c r="L12" s="74"/>
      <c r="M12" s="23"/>
      <c r="N12" s="85"/>
      <c r="O12" s="23"/>
    </row>
    <row r="13" spans="1:18" x14ac:dyDescent="0.25">
      <c r="A13" s="25"/>
      <c r="B13" s="61"/>
      <c r="C13" s="26" t="s">
        <v>27</v>
      </c>
      <c r="D13" s="20">
        <v>9613</v>
      </c>
      <c r="E13" s="82"/>
      <c r="F13" s="21" t="s">
        <v>309</v>
      </c>
      <c r="G13" s="17"/>
      <c r="H13" s="79"/>
      <c r="I13" s="18" t="s">
        <v>25</v>
      </c>
      <c r="J13" s="73">
        <v>9671</v>
      </c>
      <c r="K13" s="83">
        <v>400</v>
      </c>
      <c r="L13" s="74"/>
      <c r="M13" s="23"/>
      <c r="N13" s="85"/>
      <c r="O13" s="23"/>
    </row>
    <row r="14" spans="1:18" x14ac:dyDescent="0.25">
      <c r="A14" s="25">
        <v>9559</v>
      </c>
      <c r="B14" s="61">
        <v>250</v>
      </c>
      <c r="C14" s="26"/>
      <c r="D14" s="20"/>
      <c r="E14" s="82"/>
      <c r="F14" s="21" t="s">
        <v>310</v>
      </c>
      <c r="G14" s="17">
        <v>9648</v>
      </c>
      <c r="H14" s="79">
        <v>560</v>
      </c>
      <c r="I14" s="18" t="s">
        <v>316</v>
      </c>
      <c r="J14" s="73">
        <v>9672</v>
      </c>
      <c r="K14" s="83">
        <v>400</v>
      </c>
      <c r="L14" s="74" t="s">
        <v>320</v>
      </c>
      <c r="M14" s="23"/>
      <c r="N14" s="85"/>
      <c r="O14" s="43"/>
    </row>
    <row r="15" spans="1:18" x14ac:dyDescent="0.25">
      <c r="A15" s="25">
        <v>9560</v>
      </c>
      <c r="B15" s="61">
        <v>900</v>
      </c>
      <c r="C15" s="26" t="s">
        <v>42</v>
      </c>
      <c r="D15" s="20"/>
      <c r="E15" s="82"/>
      <c r="F15" s="21" t="s">
        <v>311</v>
      </c>
      <c r="G15" s="17"/>
      <c r="H15" s="79"/>
      <c r="I15" s="18" t="s">
        <v>317</v>
      </c>
      <c r="J15" s="73">
        <v>9673</v>
      </c>
      <c r="K15" s="83">
        <v>560</v>
      </c>
      <c r="L15" s="74" t="s">
        <v>321</v>
      </c>
      <c r="M15" s="23"/>
      <c r="N15" s="85"/>
      <c r="O15" s="23"/>
    </row>
    <row r="16" spans="1:18" x14ac:dyDescent="0.25">
      <c r="A16" s="25"/>
      <c r="B16" s="61"/>
      <c r="C16" s="26" t="s">
        <v>33</v>
      </c>
      <c r="D16" s="20">
        <v>9614</v>
      </c>
      <c r="E16" s="82">
        <v>800</v>
      </c>
      <c r="F16" s="21" t="s">
        <v>260</v>
      </c>
      <c r="G16" s="17">
        <v>9649</v>
      </c>
      <c r="H16" s="79">
        <v>800</v>
      </c>
      <c r="I16" s="18" t="s">
        <v>260</v>
      </c>
      <c r="J16" s="73">
        <v>9674</v>
      </c>
      <c r="K16" s="83">
        <v>300</v>
      </c>
      <c r="L16" s="74" t="s">
        <v>145</v>
      </c>
      <c r="M16" s="23"/>
      <c r="N16" s="85"/>
      <c r="O16" s="23"/>
    </row>
    <row r="17" spans="1:15" x14ac:dyDescent="0.25">
      <c r="A17" s="25">
        <v>9561</v>
      </c>
      <c r="B17" s="61">
        <v>160</v>
      </c>
      <c r="C17" s="26" t="s">
        <v>301</v>
      </c>
      <c r="D17" s="20"/>
      <c r="E17" s="82"/>
      <c r="F17" s="21" t="s">
        <v>25</v>
      </c>
      <c r="G17" s="17"/>
      <c r="H17" s="79"/>
      <c r="I17" s="18" t="s">
        <v>25</v>
      </c>
      <c r="J17" s="73"/>
      <c r="K17" s="83"/>
      <c r="L17" s="74" t="s">
        <v>76</v>
      </c>
      <c r="M17" s="23"/>
      <c r="N17" s="85"/>
      <c r="O17" s="23"/>
    </row>
    <row r="18" spans="1:15" x14ac:dyDescent="0.25">
      <c r="A18" s="25">
        <v>9562</v>
      </c>
      <c r="B18" s="61">
        <v>125</v>
      </c>
      <c r="C18" s="26"/>
      <c r="D18" s="20">
        <v>9615</v>
      </c>
      <c r="E18" s="82">
        <v>200</v>
      </c>
      <c r="F18" s="45"/>
      <c r="G18" s="17">
        <v>9650</v>
      </c>
      <c r="H18" s="79">
        <v>300</v>
      </c>
      <c r="I18" s="18"/>
      <c r="J18" s="73">
        <v>9675</v>
      </c>
      <c r="K18" s="83">
        <v>600</v>
      </c>
      <c r="L18" s="74" t="s">
        <v>259</v>
      </c>
      <c r="M18" s="23"/>
      <c r="N18" s="85"/>
      <c r="O18" s="23"/>
    </row>
    <row r="19" spans="1:15" x14ac:dyDescent="0.25">
      <c r="A19" s="25">
        <v>9563</v>
      </c>
      <c r="B19" s="61">
        <v>400</v>
      </c>
      <c r="C19" s="26" t="s">
        <v>260</v>
      </c>
      <c r="D19" s="20">
        <v>9616</v>
      </c>
      <c r="E19" s="82">
        <v>400</v>
      </c>
      <c r="F19" s="21"/>
      <c r="G19" s="17">
        <v>9651</v>
      </c>
      <c r="H19" s="79">
        <v>800</v>
      </c>
      <c r="I19" s="18" t="s">
        <v>260</v>
      </c>
      <c r="J19" s="73"/>
      <c r="K19" s="83"/>
      <c r="L19" s="74" t="s">
        <v>27</v>
      </c>
      <c r="M19" s="23"/>
      <c r="N19" s="85"/>
      <c r="O19" s="23"/>
    </row>
    <row r="20" spans="1:15" x14ac:dyDescent="0.25">
      <c r="A20" s="25"/>
      <c r="B20" s="61"/>
      <c r="C20" s="26" t="s">
        <v>27</v>
      </c>
      <c r="D20" s="20">
        <v>9617</v>
      </c>
      <c r="E20" s="82">
        <v>560</v>
      </c>
      <c r="F20" s="21" t="s">
        <v>312</v>
      </c>
      <c r="G20" s="17"/>
      <c r="H20" s="79"/>
      <c r="I20" s="18" t="s">
        <v>25</v>
      </c>
      <c r="J20" s="73">
        <v>9676</v>
      </c>
      <c r="K20" s="83">
        <v>1200</v>
      </c>
      <c r="L20" s="74" t="s">
        <v>272</v>
      </c>
      <c r="M20" s="23"/>
      <c r="N20" s="85"/>
      <c r="O20" s="23"/>
    </row>
    <row r="21" spans="1:15" x14ac:dyDescent="0.25">
      <c r="A21" s="25">
        <v>9564</v>
      </c>
      <c r="B21" s="61">
        <v>160</v>
      </c>
      <c r="C21" s="26" t="s">
        <v>302</v>
      </c>
      <c r="D21" s="20"/>
      <c r="E21" s="82"/>
      <c r="F21" s="21" t="s">
        <v>313</v>
      </c>
      <c r="G21" s="17">
        <v>9652</v>
      </c>
      <c r="H21" s="79">
        <v>400</v>
      </c>
      <c r="I21" s="18"/>
      <c r="J21" s="73"/>
      <c r="K21" s="83"/>
      <c r="L21" s="74" t="s">
        <v>25</v>
      </c>
      <c r="M21" s="23"/>
      <c r="N21" s="85"/>
      <c r="O21" s="23"/>
    </row>
    <row r="22" spans="1:15" x14ac:dyDescent="0.25">
      <c r="A22" s="25">
        <v>9565</v>
      </c>
      <c r="B22" s="61">
        <v>300</v>
      </c>
      <c r="C22" s="26"/>
      <c r="D22" s="20">
        <v>9618</v>
      </c>
      <c r="E22" s="82">
        <v>400</v>
      </c>
      <c r="F22" s="21" t="s">
        <v>314</v>
      </c>
      <c r="G22" s="17">
        <v>9653</v>
      </c>
      <c r="H22" s="79">
        <v>400</v>
      </c>
      <c r="I22" s="18" t="s">
        <v>303</v>
      </c>
      <c r="J22" s="73">
        <v>9677</v>
      </c>
      <c r="K22" s="83">
        <v>800</v>
      </c>
      <c r="L22" s="74" t="s">
        <v>303</v>
      </c>
      <c r="M22" s="23"/>
      <c r="N22" s="85"/>
      <c r="O22" s="23"/>
    </row>
    <row r="23" spans="1:15" x14ac:dyDescent="0.25">
      <c r="A23" s="25">
        <v>9566</v>
      </c>
      <c r="B23" s="61">
        <v>800</v>
      </c>
      <c r="C23" s="26" t="s">
        <v>260</v>
      </c>
      <c r="D23" s="20"/>
      <c r="E23" s="82"/>
      <c r="F23" s="21" t="s">
        <v>27</v>
      </c>
      <c r="G23" s="17"/>
      <c r="H23" s="79"/>
      <c r="I23" s="18" t="s">
        <v>27</v>
      </c>
      <c r="J23" s="73"/>
      <c r="K23" s="83"/>
      <c r="L23" s="74" t="s">
        <v>25</v>
      </c>
      <c r="M23" s="23"/>
      <c r="N23" s="85"/>
      <c r="O23" s="23"/>
    </row>
    <row r="24" spans="1:15" x14ac:dyDescent="0.25">
      <c r="A24" s="25"/>
      <c r="B24" s="61"/>
      <c r="C24" s="26" t="s">
        <v>25</v>
      </c>
      <c r="D24" s="20">
        <v>9619</v>
      </c>
      <c r="E24" s="82">
        <v>300</v>
      </c>
      <c r="F24" s="21"/>
      <c r="G24" s="17">
        <v>9654</v>
      </c>
      <c r="H24" s="79">
        <v>300</v>
      </c>
      <c r="I24" s="18"/>
      <c r="J24" s="73">
        <v>9678</v>
      </c>
      <c r="K24" s="83">
        <v>600</v>
      </c>
      <c r="L24" s="74" t="s">
        <v>260</v>
      </c>
      <c r="M24" s="23"/>
      <c r="N24" s="85"/>
      <c r="O24" s="23"/>
    </row>
    <row r="25" spans="1:15" x14ac:dyDescent="0.25">
      <c r="A25" s="25">
        <v>9567</v>
      </c>
      <c r="B25" s="61">
        <v>400</v>
      </c>
      <c r="C25" s="26"/>
      <c r="D25" s="20">
        <v>9620</v>
      </c>
      <c r="E25" s="82">
        <v>1200</v>
      </c>
      <c r="F25" s="21" t="s">
        <v>259</v>
      </c>
      <c r="G25" s="17">
        <v>9655</v>
      </c>
      <c r="H25" s="79">
        <v>2000</v>
      </c>
      <c r="I25" s="18" t="s">
        <v>318</v>
      </c>
      <c r="J25" s="73"/>
      <c r="K25" s="83"/>
      <c r="L25" s="74" t="s">
        <v>33</v>
      </c>
      <c r="M25" s="23"/>
      <c r="N25" s="85"/>
      <c r="O25" s="23"/>
    </row>
    <row r="26" spans="1:15" x14ac:dyDescent="0.25">
      <c r="A26" s="25">
        <v>9568</v>
      </c>
      <c r="B26" s="61">
        <v>400</v>
      </c>
      <c r="C26" s="26"/>
      <c r="D26" s="20"/>
      <c r="E26" s="82"/>
      <c r="F26" s="21" t="s">
        <v>25</v>
      </c>
      <c r="G26" s="17"/>
      <c r="H26" s="79"/>
      <c r="I26" s="18" t="s">
        <v>319</v>
      </c>
      <c r="J26" s="73">
        <v>9679</v>
      </c>
      <c r="K26" s="83">
        <v>160</v>
      </c>
      <c r="L26" s="74" t="s">
        <v>23</v>
      </c>
      <c r="M26" s="23"/>
      <c r="N26" s="85"/>
      <c r="O26" s="23"/>
    </row>
    <row r="27" spans="1:15" x14ac:dyDescent="0.25">
      <c r="A27" s="25">
        <v>9569</v>
      </c>
      <c r="B27" s="61">
        <v>160</v>
      </c>
      <c r="C27" s="26" t="s">
        <v>172</v>
      </c>
      <c r="D27" s="20">
        <v>9621</v>
      </c>
      <c r="E27" s="82">
        <v>400</v>
      </c>
      <c r="F27" s="21" t="s">
        <v>222</v>
      </c>
      <c r="G27" s="17">
        <v>9656</v>
      </c>
      <c r="H27" s="79">
        <v>1200</v>
      </c>
      <c r="I27" s="18" t="s">
        <v>291</v>
      </c>
      <c r="J27" s="73">
        <v>9680</v>
      </c>
      <c r="K27" s="83">
        <v>400</v>
      </c>
      <c r="L27" s="74"/>
      <c r="M27" s="23"/>
      <c r="N27" s="85"/>
      <c r="O27" s="43"/>
    </row>
    <row r="28" spans="1:15" x14ac:dyDescent="0.25">
      <c r="A28" s="25">
        <v>9570</v>
      </c>
      <c r="B28" s="61">
        <v>300</v>
      </c>
      <c r="C28" s="26"/>
      <c r="D28" s="20">
        <v>9622</v>
      </c>
      <c r="E28" s="82">
        <v>200</v>
      </c>
      <c r="F28" s="21"/>
      <c r="G28" s="17"/>
      <c r="H28" s="79"/>
      <c r="I28" s="18" t="s">
        <v>25</v>
      </c>
      <c r="J28" s="73">
        <v>9681</v>
      </c>
      <c r="K28" s="83">
        <v>960</v>
      </c>
      <c r="L28" s="74" t="s">
        <v>322</v>
      </c>
      <c r="M28" s="23"/>
      <c r="N28" s="85"/>
      <c r="O28" s="23"/>
    </row>
    <row r="29" spans="1:15" x14ac:dyDescent="0.25">
      <c r="A29" s="25">
        <v>9571</v>
      </c>
      <c r="B29" s="61">
        <v>400</v>
      </c>
      <c r="C29" s="26"/>
      <c r="D29" s="20">
        <v>9623</v>
      </c>
      <c r="E29" s="82">
        <v>3600</v>
      </c>
      <c r="F29" s="21" t="s">
        <v>216</v>
      </c>
      <c r="G29" s="17">
        <v>9657</v>
      </c>
      <c r="H29" s="79">
        <v>400</v>
      </c>
      <c r="I29" s="18"/>
      <c r="J29" s="73"/>
      <c r="K29" s="83"/>
      <c r="L29" s="74" t="s">
        <v>25</v>
      </c>
      <c r="M29" s="23"/>
      <c r="N29" s="85"/>
      <c r="O29" s="23"/>
    </row>
    <row r="30" spans="1:15" x14ac:dyDescent="0.25">
      <c r="A30" s="25">
        <v>9572</v>
      </c>
      <c r="B30" s="61">
        <v>400</v>
      </c>
      <c r="C30" s="26"/>
      <c r="D30" s="20"/>
      <c r="E30" s="82"/>
      <c r="F30" s="21" t="s">
        <v>270</v>
      </c>
      <c r="G30" s="17">
        <v>9658</v>
      </c>
      <c r="H30" s="79">
        <v>800</v>
      </c>
      <c r="I30" s="18" t="s">
        <v>151</v>
      </c>
      <c r="J30" s="73">
        <v>9682</v>
      </c>
      <c r="K30" s="83">
        <v>300</v>
      </c>
      <c r="L30" s="74" t="s">
        <v>320</v>
      </c>
      <c r="M30" s="23"/>
      <c r="N30" s="85"/>
      <c r="O30" s="23"/>
    </row>
    <row r="31" spans="1:15" x14ac:dyDescent="0.25">
      <c r="A31" s="25">
        <v>9573</v>
      </c>
      <c r="B31" s="61">
        <v>400</v>
      </c>
      <c r="C31" s="26"/>
      <c r="D31" s="20"/>
      <c r="E31" s="82"/>
      <c r="F31" s="21" t="s">
        <v>25</v>
      </c>
      <c r="G31" s="17"/>
      <c r="H31" s="79"/>
      <c r="I31" s="18" t="s">
        <v>25</v>
      </c>
      <c r="J31" s="73">
        <v>9683</v>
      </c>
      <c r="K31" s="83">
        <v>400</v>
      </c>
      <c r="L31" s="74"/>
      <c r="M31" s="23"/>
      <c r="N31" s="85"/>
      <c r="O31" s="23"/>
    </row>
    <row r="32" spans="1:15" x14ac:dyDescent="0.25">
      <c r="A32" s="25">
        <v>9574</v>
      </c>
      <c r="B32" s="61">
        <v>600</v>
      </c>
      <c r="C32" s="26" t="s">
        <v>260</v>
      </c>
      <c r="D32" s="20">
        <v>9624</v>
      </c>
      <c r="E32" s="82">
        <v>150</v>
      </c>
      <c r="F32" s="21"/>
      <c r="G32" s="17">
        <v>9659</v>
      </c>
      <c r="H32" s="79">
        <v>400</v>
      </c>
      <c r="I32" s="18"/>
      <c r="J32" s="73">
        <v>9684</v>
      </c>
      <c r="K32" s="83">
        <v>800</v>
      </c>
      <c r="L32" s="74" t="s">
        <v>260</v>
      </c>
      <c r="M32" s="23"/>
      <c r="N32" s="85"/>
      <c r="O32" s="23"/>
    </row>
    <row r="33" spans="1:15" x14ac:dyDescent="0.25">
      <c r="A33" s="25"/>
      <c r="B33" s="61"/>
      <c r="C33" s="26" t="s">
        <v>33</v>
      </c>
      <c r="D33" s="20">
        <v>9625</v>
      </c>
      <c r="E33" s="82">
        <v>350</v>
      </c>
      <c r="F33" s="21"/>
      <c r="G33" s="17">
        <v>9660</v>
      </c>
      <c r="H33" s="79">
        <v>400</v>
      </c>
      <c r="I33" s="18"/>
      <c r="J33" s="73"/>
      <c r="K33" s="83"/>
      <c r="L33" s="74" t="s">
        <v>25</v>
      </c>
      <c r="M33" s="23"/>
      <c r="N33" s="85"/>
      <c r="O33" s="23"/>
    </row>
    <row r="34" spans="1:15" x14ac:dyDescent="0.25">
      <c r="A34" s="25">
        <v>9575</v>
      </c>
      <c r="B34" s="61">
        <v>1200</v>
      </c>
      <c r="C34" s="26" t="s">
        <v>259</v>
      </c>
      <c r="D34" s="20">
        <v>9626</v>
      </c>
      <c r="E34" s="82">
        <v>400</v>
      </c>
      <c r="F34" s="21"/>
      <c r="G34" s="17">
        <v>9661</v>
      </c>
      <c r="H34" s="79">
        <v>400</v>
      </c>
      <c r="I34" s="18"/>
      <c r="J34" s="73">
        <v>9685</v>
      </c>
      <c r="K34" s="83">
        <v>400</v>
      </c>
      <c r="L34" s="74"/>
      <c r="M34" s="23"/>
      <c r="N34" s="85"/>
      <c r="O34" s="43"/>
    </row>
    <row r="35" spans="1:15" x14ac:dyDescent="0.25">
      <c r="A35" s="25"/>
      <c r="B35" s="61"/>
      <c r="C35" s="26" t="s">
        <v>25</v>
      </c>
      <c r="D35" s="20">
        <v>9627</v>
      </c>
      <c r="E35" s="82">
        <v>300</v>
      </c>
      <c r="F35" s="21"/>
      <c r="G35" s="17">
        <v>9662</v>
      </c>
      <c r="H35" s="79">
        <v>400</v>
      </c>
      <c r="I35" s="18"/>
      <c r="J35" s="73">
        <v>9686</v>
      </c>
      <c r="K35" s="83">
        <v>400</v>
      </c>
      <c r="L35" s="74" t="s">
        <v>260</v>
      </c>
      <c r="M35" s="23"/>
      <c r="N35" s="85"/>
      <c r="O35" s="23"/>
    </row>
    <row r="36" spans="1:15" x14ac:dyDescent="0.25">
      <c r="A36" s="25">
        <v>9576</v>
      </c>
      <c r="B36" s="61">
        <v>800</v>
      </c>
      <c r="C36" s="26" t="s">
        <v>303</v>
      </c>
      <c r="D36" s="20">
        <v>9628</v>
      </c>
      <c r="E36" s="82">
        <v>160</v>
      </c>
      <c r="F36" s="21" t="s">
        <v>23</v>
      </c>
      <c r="G36" s="17">
        <v>9663</v>
      </c>
      <c r="H36" s="79">
        <v>400</v>
      </c>
      <c r="I36" s="18"/>
      <c r="J36" s="73"/>
      <c r="K36" s="83"/>
      <c r="L36" s="74" t="s">
        <v>27</v>
      </c>
      <c r="M36" s="23"/>
      <c r="N36" s="85"/>
      <c r="O36" s="23"/>
    </row>
    <row r="37" spans="1:15" x14ac:dyDescent="0.25">
      <c r="A37" s="25"/>
      <c r="B37" s="61"/>
      <c r="C37" s="26" t="s">
        <v>25</v>
      </c>
      <c r="D37" s="20">
        <v>9629</v>
      </c>
      <c r="E37" s="82">
        <v>400</v>
      </c>
      <c r="F37" s="21"/>
      <c r="G37" s="17">
        <v>9664</v>
      </c>
      <c r="H37" s="79">
        <v>400</v>
      </c>
      <c r="I37" s="18" t="s">
        <v>260</v>
      </c>
      <c r="J37" s="73">
        <v>9687</v>
      </c>
      <c r="K37" s="83">
        <v>200</v>
      </c>
      <c r="L37" s="74" t="s">
        <v>303</v>
      </c>
      <c r="M37" s="23"/>
      <c r="N37" s="85"/>
      <c r="O37" s="23"/>
    </row>
    <row r="38" spans="1:15" x14ac:dyDescent="0.25">
      <c r="A38" s="25">
        <v>9577</v>
      </c>
      <c r="B38" s="61">
        <v>400</v>
      </c>
      <c r="C38" s="26"/>
      <c r="D38" s="20">
        <v>9630</v>
      </c>
      <c r="E38" s="82">
        <v>800</v>
      </c>
      <c r="F38" s="21" t="s">
        <v>260</v>
      </c>
      <c r="G38" s="17"/>
      <c r="H38" s="79"/>
      <c r="I38" s="18" t="s">
        <v>27</v>
      </c>
      <c r="J38" s="73"/>
      <c r="K38" s="83"/>
      <c r="L38" s="74" t="s">
        <v>86</v>
      </c>
      <c r="M38" s="23"/>
      <c r="N38" s="85"/>
      <c r="O38" s="23"/>
    </row>
    <row r="39" spans="1:15" x14ac:dyDescent="0.25">
      <c r="A39" s="25">
        <v>9578</v>
      </c>
      <c r="B39" s="61">
        <v>800</v>
      </c>
      <c r="C39" s="26" t="s">
        <v>261</v>
      </c>
      <c r="D39" s="20"/>
      <c r="E39" s="82"/>
      <c r="F39" s="21" t="s">
        <v>25</v>
      </c>
      <c r="G39" s="17">
        <v>9665</v>
      </c>
      <c r="H39" s="79">
        <v>400</v>
      </c>
      <c r="I39" s="18"/>
      <c r="J39" s="73">
        <v>9688</v>
      </c>
      <c r="K39" s="83">
        <v>400</v>
      </c>
      <c r="L39" s="74"/>
      <c r="M39" s="23"/>
      <c r="N39" s="85"/>
      <c r="O39" s="23"/>
    </row>
    <row r="40" spans="1:15" x14ac:dyDescent="0.25">
      <c r="A40" s="25"/>
      <c r="B40" s="61"/>
      <c r="C40" s="26" t="s">
        <v>25</v>
      </c>
      <c r="D40" s="20">
        <v>9631</v>
      </c>
      <c r="E40" s="82">
        <v>400</v>
      </c>
      <c r="F40" s="21"/>
      <c r="G40" s="17"/>
      <c r="H40" s="79"/>
      <c r="I40" s="18"/>
      <c r="J40" s="73">
        <v>9689</v>
      </c>
      <c r="K40" s="83">
        <v>600</v>
      </c>
      <c r="L40" s="74" t="s">
        <v>260</v>
      </c>
      <c r="M40" s="23"/>
      <c r="N40" s="85"/>
      <c r="O40" s="23"/>
    </row>
    <row r="41" spans="1:15" x14ac:dyDescent="0.25">
      <c r="A41" s="25">
        <v>9579</v>
      </c>
      <c r="B41" s="61">
        <v>560</v>
      </c>
      <c r="C41" s="26" t="s">
        <v>292</v>
      </c>
      <c r="D41" s="20">
        <v>9632</v>
      </c>
      <c r="E41" s="82">
        <v>200</v>
      </c>
      <c r="F41" s="21"/>
      <c r="G41" s="17"/>
      <c r="H41" s="79"/>
      <c r="I41" s="18"/>
      <c r="J41" s="73"/>
      <c r="K41" s="83"/>
      <c r="L41" s="74" t="s">
        <v>33</v>
      </c>
      <c r="M41" s="23"/>
      <c r="N41" s="85"/>
      <c r="O41" s="23"/>
    </row>
    <row r="42" spans="1:15" x14ac:dyDescent="0.25">
      <c r="A42" s="25">
        <v>9580</v>
      </c>
      <c r="B42" s="61">
        <v>160</v>
      </c>
      <c r="C42" s="26" t="s">
        <v>304</v>
      </c>
      <c r="D42" s="20">
        <v>9633</v>
      </c>
      <c r="E42" s="82">
        <v>400</v>
      </c>
      <c r="F42" s="21"/>
      <c r="G42" s="17"/>
      <c r="H42" s="79"/>
      <c r="I42" s="18"/>
      <c r="J42" s="73">
        <v>9690</v>
      </c>
      <c r="K42" s="83">
        <v>400</v>
      </c>
      <c r="L42" s="74" t="s">
        <v>260</v>
      </c>
      <c r="M42" s="23"/>
      <c r="N42" s="85"/>
      <c r="O42" s="23"/>
    </row>
    <row r="43" spans="1:15" x14ac:dyDescent="0.25">
      <c r="A43" s="25">
        <v>9581</v>
      </c>
      <c r="B43" s="61">
        <v>800</v>
      </c>
      <c r="C43" s="26" t="s">
        <v>303</v>
      </c>
      <c r="D43" s="20">
        <v>9634</v>
      </c>
      <c r="E43" s="82">
        <v>600</v>
      </c>
      <c r="F43" s="21" t="s">
        <v>261</v>
      </c>
      <c r="G43" s="17"/>
      <c r="H43" s="79"/>
      <c r="I43" s="18"/>
      <c r="J43" s="73"/>
      <c r="K43" s="83"/>
      <c r="L43" s="80" t="s">
        <v>323</v>
      </c>
      <c r="M43" s="23"/>
      <c r="N43" s="85"/>
      <c r="O43" s="23"/>
    </row>
    <row r="44" spans="1:15" x14ac:dyDescent="0.25">
      <c r="A44" s="25"/>
      <c r="B44" s="61"/>
      <c r="C44" s="26" t="s">
        <v>25</v>
      </c>
      <c r="D44" s="20"/>
      <c r="E44" s="82"/>
      <c r="F44" s="21" t="s">
        <v>33</v>
      </c>
      <c r="G44" s="17"/>
      <c r="H44" s="79"/>
      <c r="I44" s="18"/>
      <c r="J44" s="73">
        <v>9691</v>
      </c>
      <c r="K44" s="83"/>
      <c r="L44" s="74" t="s">
        <v>44</v>
      </c>
      <c r="M44" s="23"/>
      <c r="N44" s="85"/>
      <c r="O44" s="23"/>
    </row>
    <row r="45" spans="1:15" x14ac:dyDescent="0.25">
      <c r="A45" s="25">
        <v>9582</v>
      </c>
      <c r="B45" s="61">
        <v>300</v>
      </c>
      <c r="C45" s="26"/>
      <c r="D45" s="20">
        <v>9635</v>
      </c>
      <c r="E45" s="82">
        <v>1200</v>
      </c>
      <c r="F45" s="21" t="s">
        <v>259</v>
      </c>
      <c r="G45" s="17"/>
      <c r="H45" s="79"/>
      <c r="I45" s="18"/>
      <c r="J45" s="73">
        <v>9692</v>
      </c>
      <c r="K45" s="83">
        <v>400</v>
      </c>
      <c r="L45" s="74"/>
      <c r="M45" s="23"/>
      <c r="N45" s="85"/>
      <c r="O45" s="23"/>
    </row>
    <row r="46" spans="1:15" x14ac:dyDescent="0.25">
      <c r="A46" s="25">
        <v>9583</v>
      </c>
      <c r="B46" s="61">
        <v>400</v>
      </c>
      <c r="C46" s="26"/>
      <c r="D46" s="20"/>
      <c r="E46" s="82"/>
      <c r="F46" s="21" t="s">
        <v>25</v>
      </c>
      <c r="G46" s="17"/>
      <c r="H46" s="79"/>
      <c r="I46" s="18"/>
      <c r="J46" s="73">
        <v>9693</v>
      </c>
      <c r="K46" s="83">
        <v>400</v>
      </c>
      <c r="L46" s="74"/>
      <c r="M46" s="23"/>
      <c r="N46" s="85"/>
      <c r="O46" s="23"/>
    </row>
    <row r="47" spans="1:15" x14ac:dyDescent="0.25">
      <c r="A47" s="25">
        <v>9584</v>
      </c>
      <c r="B47" s="61">
        <v>400</v>
      </c>
      <c r="C47" s="26"/>
      <c r="D47" s="20">
        <v>9636</v>
      </c>
      <c r="E47" s="82">
        <v>200</v>
      </c>
      <c r="F47" s="21"/>
      <c r="G47" s="17"/>
      <c r="H47" s="79"/>
      <c r="I47" s="18"/>
      <c r="J47" s="73">
        <v>9694</v>
      </c>
      <c r="K47" s="83">
        <v>600</v>
      </c>
      <c r="L47" s="74" t="s">
        <v>303</v>
      </c>
      <c r="M47" s="23"/>
      <c r="N47" s="85"/>
      <c r="O47" s="23"/>
    </row>
    <row r="48" spans="1:15" x14ac:dyDescent="0.25">
      <c r="A48" s="25">
        <v>9585</v>
      </c>
      <c r="B48" s="61">
        <v>300</v>
      </c>
      <c r="C48" s="26" t="s">
        <v>261</v>
      </c>
      <c r="D48" s="20">
        <v>9637</v>
      </c>
      <c r="E48" s="82">
        <v>350</v>
      </c>
      <c r="F48" s="21"/>
      <c r="G48" s="17"/>
      <c r="H48" s="79"/>
      <c r="I48" s="18"/>
      <c r="J48" s="73"/>
      <c r="K48" s="83"/>
      <c r="L48" s="74" t="s">
        <v>33</v>
      </c>
      <c r="M48" s="23"/>
      <c r="N48" s="85"/>
      <c r="O48" s="23"/>
    </row>
    <row r="49" spans="1:15" x14ac:dyDescent="0.25">
      <c r="A49" s="25"/>
      <c r="B49" s="61"/>
      <c r="C49" s="26" t="s">
        <v>76</v>
      </c>
      <c r="D49" s="20">
        <v>9638</v>
      </c>
      <c r="E49" s="82">
        <v>300</v>
      </c>
      <c r="F49" s="21" t="s">
        <v>114</v>
      </c>
      <c r="G49" s="17"/>
      <c r="H49" s="79"/>
      <c r="I49" s="18"/>
      <c r="J49" s="73">
        <v>9695</v>
      </c>
      <c r="K49" s="83">
        <v>300</v>
      </c>
      <c r="L49" s="74"/>
      <c r="M49" s="23"/>
      <c r="N49" s="85"/>
      <c r="O49" s="23"/>
    </row>
    <row r="50" spans="1:15" x14ac:dyDescent="0.25">
      <c r="A50" s="25">
        <v>9586</v>
      </c>
      <c r="B50" s="61">
        <v>400</v>
      </c>
      <c r="C50" s="26"/>
      <c r="D50" s="20">
        <v>9639</v>
      </c>
      <c r="E50" s="82">
        <v>400</v>
      </c>
      <c r="F50" s="21" t="s">
        <v>315</v>
      </c>
      <c r="G50" s="17"/>
      <c r="H50" s="79"/>
      <c r="I50" s="18"/>
      <c r="J50" s="73">
        <v>9696</v>
      </c>
      <c r="K50" s="83">
        <v>200</v>
      </c>
      <c r="L50" s="74"/>
      <c r="M50" s="23"/>
      <c r="N50" s="85"/>
      <c r="O50" s="23"/>
    </row>
    <row r="51" spans="1:15" x14ac:dyDescent="0.25">
      <c r="A51" s="25">
        <v>9587</v>
      </c>
      <c r="B51" s="61">
        <v>300</v>
      </c>
      <c r="C51" s="26"/>
      <c r="D51" s="20"/>
      <c r="E51" s="82"/>
      <c r="F51" s="21" t="s">
        <v>86</v>
      </c>
      <c r="G51" s="17"/>
      <c r="H51" s="79"/>
      <c r="I51" s="18"/>
      <c r="J51" s="107">
        <v>9754</v>
      </c>
      <c r="K51" s="83">
        <v>600</v>
      </c>
      <c r="L51" s="74" t="s">
        <v>89</v>
      </c>
      <c r="M51" s="23"/>
      <c r="N51" s="85"/>
      <c r="O51" s="23"/>
    </row>
    <row r="52" spans="1:15" x14ac:dyDescent="0.25">
      <c r="A52" s="25">
        <v>9588</v>
      </c>
      <c r="B52" s="61">
        <v>300</v>
      </c>
      <c r="C52" s="26"/>
      <c r="D52" s="20">
        <v>9640</v>
      </c>
      <c r="E52" s="82">
        <v>150</v>
      </c>
      <c r="F52" s="21"/>
      <c r="G52" s="17"/>
      <c r="H52" s="79"/>
      <c r="I52" s="18"/>
      <c r="J52" s="73"/>
      <c r="K52" s="83"/>
      <c r="L52" s="74" t="s">
        <v>27</v>
      </c>
      <c r="M52" s="23"/>
      <c r="N52" s="85"/>
      <c r="O52" s="23"/>
    </row>
    <row r="53" spans="1:15" x14ac:dyDescent="0.25">
      <c r="A53" s="25">
        <v>9589</v>
      </c>
      <c r="B53" s="61">
        <v>400</v>
      </c>
      <c r="C53" s="26" t="s">
        <v>229</v>
      </c>
      <c r="D53" s="20">
        <v>9641</v>
      </c>
      <c r="E53" s="82">
        <v>400</v>
      </c>
      <c r="F53" s="21"/>
      <c r="G53" s="17"/>
      <c r="H53" s="79"/>
      <c r="I53" s="18"/>
      <c r="J53" s="107">
        <v>9755</v>
      </c>
      <c r="K53" s="83">
        <v>400</v>
      </c>
      <c r="L53" s="74" t="s">
        <v>274</v>
      </c>
      <c r="M53" s="23"/>
      <c r="N53" s="85"/>
      <c r="O53" s="23"/>
    </row>
    <row r="54" spans="1:15" x14ac:dyDescent="0.25">
      <c r="A54" s="25">
        <v>9590</v>
      </c>
      <c r="B54" s="61">
        <v>400</v>
      </c>
      <c r="C54" s="26"/>
      <c r="D54" s="20">
        <v>9642</v>
      </c>
      <c r="E54" s="82">
        <v>300</v>
      </c>
      <c r="F54" s="21" t="s">
        <v>248</v>
      </c>
      <c r="G54" s="17"/>
      <c r="H54" s="79"/>
      <c r="I54" s="18"/>
      <c r="J54" s="73"/>
      <c r="K54" s="83">
        <v>11000</v>
      </c>
      <c r="L54" s="74" t="s">
        <v>553</v>
      </c>
      <c r="M54" s="23"/>
      <c r="N54" s="85"/>
      <c r="O54" s="23"/>
    </row>
    <row r="55" spans="1:15" x14ac:dyDescent="0.25">
      <c r="A55" s="25">
        <v>9591</v>
      </c>
      <c r="B55" s="61">
        <v>400</v>
      </c>
      <c r="C55" s="26"/>
      <c r="D55" s="20">
        <v>9643</v>
      </c>
      <c r="E55" s="82">
        <v>1200</v>
      </c>
      <c r="F55" s="21" t="s">
        <v>259</v>
      </c>
      <c r="G55" s="17"/>
      <c r="H55" s="79"/>
      <c r="I55" s="18"/>
      <c r="J55" s="107">
        <v>9757</v>
      </c>
      <c r="K55" s="83">
        <v>300</v>
      </c>
      <c r="L55" s="74" t="s">
        <v>274</v>
      </c>
      <c r="M55" s="23"/>
      <c r="N55" s="85"/>
      <c r="O55" s="23"/>
    </row>
    <row r="56" spans="1:15" x14ac:dyDescent="0.25">
      <c r="A56" s="25">
        <v>9592</v>
      </c>
      <c r="B56" s="61">
        <v>400</v>
      </c>
      <c r="C56" s="26"/>
      <c r="D56" s="20"/>
      <c r="E56" s="82"/>
      <c r="F56" s="21" t="s">
        <v>25</v>
      </c>
      <c r="G56" s="17"/>
      <c r="H56" s="79"/>
      <c r="I56" s="18"/>
      <c r="J56" s="73"/>
      <c r="K56" s="83">
        <v>11000</v>
      </c>
      <c r="L56" s="74" t="s">
        <v>552</v>
      </c>
      <c r="M56" s="23"/>
      <c r="N56" s="85"/>
      <c r="O56" s="23"/>
    </row>
    <row r="57" spans="1:15" x14ac:dyDescent="0.25">
      <c r="A57" s="25">
        <v>9593</v>
      </c>
      <c r="B57" s="61">
        <v>400</v>
      </c>
      <c r="C57" s="26"/>
      <c r="D57" s="20"/>
      <c r="E57" s="82"/>
      <c r="F57" s="21"/>
      <c r="G57" s="17"/>
      <c r="H57" s="79"/>
      <c r="I57" s="18"/>
      <c r="J57" s="73"/>
      <c r="K57" s="83"/>
      <c r="L57" s="74"/>
      <c r="M57" s="23"/>
      <c r="N57" s="85"/>
      <c r="O57" s="23"/>
    </row>
    <row r="58" spans="1:15" x14ac:dyDescent="0.25">
      <c r="A58" s="25">
        <v>9594</v>
      </c>
      <c r="B58" s="61">
        <v>300</v>
      </c>
      <c r="C58" s="26"/>
      <c r="D58" s="20"/>
      <c r="E58" s="82"/>
      <c r="F58" s="21"/>
      <c r="G58" s="17"/>
      <c r="H58" s="79"/>
      <c r="I58" s="18"/>
      <c r="J58" s="73"/>
      <c r="K58" s="83"/>
      <c r="L58" s="74"/>
      <c r="M58" s="23"/>
      <c r="N58" s="85"/>
      <c r="O58" s="23"/>
    </row>
    <row r="59" spans="1:15" x14ac:dyDescent="0.25">
      <c r="A59" s="25">
        <v>9595</v>
      </c>
      <c r="B59" s="61">
        <v>400</v>
      </c>
      <c r="C59" s="26"/>
      <c r="D59" s="20"/>
      <c r="E59" s="82"/>
      <c r="F59" s="21"/>
      <c r="G59" s="17"/>
      <c r="H59" s="79"/>
      <c r="I59" s="18"/>
      <c r="J59" s="73"/>
      <c r="K59" s="83"/>
      <c r="L59" s="74"/>
      <c r="M59" s="23"/>
      <c r="N59" s="85"/>
      <c r="O59" s="23"/>
    </row>
    <row r="60" spans="1:15" x14ac:dyDescent="0.25">
      <c r="A60" s="25">
        <v>9596</v>
      </c>
      <c r="B60" s="61">
        <v>400</v>
      </c>
      <c r="C60" s="26"/>
      <c r="D60" s="20"/>
      <c r="E60" s="82"/>
      <c r="F60" s="21"/>
      <c r="G60" s="17"/>
      <c r="H60" s="79"/>
      <c r="I60" s="18"/>
      <c r="J60" s="73"/>
      <c r="K60" s="83"/>
      <c r="L60" s="74"/>
      <c r="M60" s="23"/>
      <c r="N60" s="85"/>
      <c r="O60" s="23"/>
    </row>
    <row r="61" spans="1:15" x14ac:dyDescent="0.25">
      <c r="A61" s="25">
        <v>9597</v>
      </c>
      <c r="B61" s="61">
        <v>400</v>
      </c>
      <c r="C61" s="26" t="s">
        <v>305</v>
      </c>
      <c r="D61" s="20"/>
      <c r="E61" s="82"/>
      <c r="F61" s="21"/>
      <c r="G61" s="17"/>
      <c r="H61" s="79"/>
      <c r="I61" s="18"/>
      <c r="J61" s="73"/>
      <c r="K61" s="83"/>
      <c r="L61" s="74"/>
      <c r="M61" s="23"/>
      <c r="N61" s="85"/>
      <c r="O61" s="23"/>
    </row>
    <row r="62" spans="1:15" x14ac:dyDescent="0.25">
      <c r="A62" s="25">
        <v>9598</v>
      </c>
      <c r="B62" s="61">
        <v>400</v>
      </c>
      <c r="C62" s="26"/>
      <c r="D62" s="20"/>
      <c r="E62" s="82"/>
      <c r="F62" s="21"/>
      <c r="G62" s="17"/>
      <c r="H62" s="79"/>
      <c r="I62" s="18"/>
      <c r="J62" s="73"/>
      <c r="K62" s="83"/>
      <c r="L62" s="74"/>
      <c r="M62" s="23"/>
      <c r="N62" s="85"/>
      <c r="O62" s="23"/>
    </row>
    <row r="63" spans="1:15" x14ac:dyDescent="0.25">
      <c r="A63" s="25">
        <v>9599</v>
      </c>
      <c r="B63" s="61">
        <v>800</v>
      </c>
      <c r="C63" s="26" t="s">
        <v>260</v>
      </c>
      <c r="D63" s="20"/>
      <c r="E63" s="82"/>
      <c r="F63" s="21"/>
      <c r="G63" s="17"/>
      <c r="H63" s="79"/>
      <c r="I63" s="18"/>
      <c r="J63" s="73"/>
      <c r="K63" s="83"/>
      <c r="L63" s="74"/>
      <c r="M63" s="23"/>
      <c r="N63" s="85"/>
      <c r="O63" s="23"/>
    </row>
    <row r="64" spans="1:15" x14ac:dyDescent="0.25">
      <c r="A64" s="25"/>
      <c r="B64" s="61"/>
      <c r="C64" s="26" t="s">
        <v>25</v>
      </c>
      <c r="D64" s="20"/>
      <c r="E64" s="82"/>
      <c r="F64" s="21"/>
      <c r="G64" s="17"/>
      <c r="H64" s="79"/>
      <c r="I64" s="18"/>
      <c r="J64" s="73"/>
      <c r="K64" s="83"/>
      <c r="L64" s="74"/>
      <c r="M64" s="23"/>
      <c r="N64" s="85"/>
      <c r="O64" s="23"/>
    </row>
    <row r="65" spans="1:16" x14ac:dyDescent="0.25">
      <c r="A65" s="25">
        <v>9600</v>
      </c>
      <c r="B65" s="61">
        <v>800</v>
      </c>
      <c r="C65" s="26" t="s">
        <v>261</v>
      </c>
      <c r="D65" s="20"/>
      <c r="E65" s="82"/>
      <c r="F65" s="21"/>
      <c r="G65" s="17"/>
      <c r="H65" s="79"/>
      <c r="I65" s="18"/>
      <c r="J65" s="73"/>
      <c r="K65" s="83"/>
      <c r="L65" s="74"/>
      <c r="M65" s="23"/>
      <c r="N65" s="85"/>
      <c r="O65" s="23"/>
    </row>
    <row r="66" spans="1:16" x14ac:dyDescent="0.25">
      <c r="A66" s="25"/>
      <c r="B66" s="61"/>
      <c r="C66" s="26" t="s">
        <v>25</v>
      </c>
      <c r="D66" s="20"/>
      <c r="E66" s="82"/>
      <c r="F66" s="21"/>
      <c r="G66" s="17"/>
      <c r="H66" s="79"/>
      <c r="I66" s="18"/>
      <c r="J66" s="73"/>
      <c r="K66" s="83"/>
      <c r="L66" s="74"/>
      <c r="M66" s="23"/>
      <c r="N66" s="85"/>
      <c r="O66" s="23"/>
    </row>
    <row r="67" spans="1:16" x14ac:dyDescent="0.25">
      <c r="A67" s="25">
        <v>9601</v>
      </c>
      <c r="B67" s="61">
        <v>400</v>
      </c>
      <c r="C67" s="26" t="s">
        <v>238</v>
      </c>
      <c r="D67" s="20"/>
      <c r="E67" s="82"/>
      <c r="F67" s="21"/>
      <c r="G67" s="17"/>
      <c r="H67" s="79"/>
      <c r="I67" s="18"/>
      <c r="J67" s="73"/>
      <c r="K67" s="83"/>
      <c r="L67" s="74"/>
      <c r="M67" s="23"/>
      <c r="N67" s="85"/>
      <c r="O67" s="23"/>
    </row>
    <row r="68" spans="1:16" x14ac:dyDescent="0.25">
      <c r="A68" s="25">
        <v>9602</v>
      </c>
      <c r="B68" s="61">
        <v>1200</v>
      </c>
      <c r="C68" s="26" t="s">
        <v>259</v>
      </c>
      <c r="D68" s="20"/>
      <c r="E68" s="82"/>
      <c r="F68" s="21"/>
      <c r="G68" s="17"/>
      <c r="H68" s="79"/>
      <c r="I68" s="18"/>
      <c r="J68" s="73"/>
      <c r="K68" s="83"/>
      <c r="L68" s="74"/>
      <c r="M68" s="23"/>
      <c r="N68" s="85"/>
      <c r="O68" s="23"/>
    </row>
    <row r="69" spans="1:16" x14ac:dyDescent="0.25">
      <c r="A69" s="25"/>
      <c r="B69" s="61"/>
      <c r="C69" s="26" t="s">
        <v>25</v>
      </c>
      <c r="D69" s="20"/>
      <c r="E69" s="82"/>
      <c r="F69" s="21"/>
      <c r="G69" s="17"/>
      <c r="H69" s="79"/>
      <c r="I69" s="18"/>
      <c r="J69" s="73"/>
      <c r="K69" s="83"/>
      <c r="L69" s="74"/>
      <c r="M69" s="23"/>
      <c r="N69" s="85"/>
      <c r="O69" s="23"/>
    </row>
    <row r="70" spans="1:16" x14ac:dyDescent="0.25">
      <c r="A70" s="25">
        <v>9603</v>
      </c>
      <c r="B70" s="61">
        <v>400</v>
      </c>
      <c r="C70" s="26"/>
      <c r="D70" s="20"/>
      <c r="E70" s="82"/>
      <c r="F70" s="21"/>
      <c r="G70" s="17"/>
      <c r="H70" s="79"/>
      <c r="I70" s="18"/>
      <c r="J70" s="73"/>
      <c r="K70" s="83"/>
      <c r="L70" s="74"/>
      <c r="M70" s="23"/>
      <c r="N70" s="85"/>
      <c r="O70" s="23"/>
    </row>
    <row r="71" spans="1:16" x14ac:dyDescent="0.25">
      <c r="A71" s="25">
        <v>9604</v>
      </c>
      <c r="B71" s="61">
        <v>400</v>
      </c>
      <c r="C71" s="26" t="s">
        <v>248</v>
      </c>
      <c r="D71" s="20"/>
      <c r="E71" s="82"/>
      <c r="F71" s="21"/>
      <c r="G71" s="17"/>
      <c r="H71" s="79"/>
      <c r="I71" s="18"/>
      <c r="J71" s="73"/>
      <c r="K71" s="83"/>
      <c r="L71" s="74"/>
      <c r="M71" s="23"/>
      <c r="N71" s="85"/>
      <c r="O71" s="23"/>
    </row>
    <row r="72" spans="1:16" x14ac:dyDescent="0.25">
      <c r="A72" s="25">
        <v>9605</v>
      </c>
      <c r="B72" s="61">
        <v>400</v>
      </c>
      <c r="C72" s="26"/>
      <c r="D72" s="20"/>
      <c r="E72" s="82"/>
      <c r="F72" s="21"/>
      <c r="G72" s="17"/>
      <c r="H72" s="79"/>
      <c r="I72" s="18"/>
      <c r="J72" s="73"/>
      <c r="K72" s="83"/>
      <c r="L72" s="74"/>
      <c r="M72" s="23"/>
      <c r="N72" s="85"/>
      <c r="O72" s="23"/>
    </row>
    <row r="73" spans="1:16" x14ac:dyDescent="0.25">
      <c r="A73" s="25">
        <v>9606</v>
      </c>
      <c r="B73" s="61">
        <v>600</v>
      </c>
      <c r="C73" s="26" t="s">
        <v>261</v>
      </c>
      <c r="D73" s="20"/>
      <c r="E73" s="82"/>
      <c r="F73" s="21"/>
      <c r="G73" s="17"/>
      <c r="H73" s="79"/>
      <c r="I73" s="18"/>
      <c r="J73" s="73"/>
      <c r="K73" s="83"/>
      <c r="L73" s="74"/>
      <c r="M73" s="23"/>
      <c r="N73" s="85"/>
      <c r="O73" s="23"/>
    </row>
    <row r="74" spans="1:16" x14ac:dyDescent="0.25">
      <c r="A74" s="25"/>
      <c r="B74" s="61"/>
      <c r="C74" s="26" t="s">
        <v>33</v>
      </c>
      <c r="D74" s="20"/>
      <c r="E74" s="82"/>
      <c r="F74" s="21"/>
      <c r="G74" s="17"/>
      <c r="H74" s="79"/>
      <c r="I74" s="18"/>
      <c r="J74" s="73"/>
      <c r="K74" s="83"/>
      <c r="L74" s="74"/>
      <c r="M74" s="23"/>
      <c r="N74" s="85"/>
      <c r="O74" s="23"/>
    </row>
    <row r="75" spans="1:16" x14ac:dyDescent="0.25">
      <c r="A75" s="25">
        <v>9607</v>
      </c>
      <c r="B75" s="61">
        <v>400</v>
      </c>
      <c r="C75" s="26"/>
      <c r="D75" s="20"/>
      <c r="E75" s="82"/>
      <c r="F75" s="21"/>
      <c r="G75" s="17"/>
      <c r="H75" s="79"/>
      <c r="I75" s="18"/>
      <c r="J75" s="73"/>
      <c r="K75" s="83"/>
      <c r="L75" s="74"/>
      <c r="M75" s="23"/>
      <c r="N75" s="85"/>
      <c r="O75" s="23"/>
    </row>
    <row r="76" spans="1:16" x14ac:dyDescent="0.25">
      <c r="A76" s="25">
        <v>9608</v>
      </c>
      <c r="B76" s="61">
        <v>400</v>
      </c>
      <c r="C76" s="26"/>
      <c r="D76" s="20"/>
      <c r="E76" s="82"/>
      <c r="F76" s="21"/>
      <c r="G76" s="17"/>
      <c r="H76" s="79"/>
      <c r="I76" s="18"/>
      <c r="J76" s="73"/>
      <c r="K76" s="83"/>
      <c r="L76" s="74"/>
      <c r="M76" s="23"/>
      <c r="N76" s="85"/>
      <c r="O76" s="23"/>
    </row>
    <row r="77" spans="1:16" x14ac:dyDescent="0.25">
      <c r="A77" s="25">
        <v>9609</v>
      </c>
      <c r="B77" s="61">
        <v>400</v>
      </c>
      <c r="C77" s="26"/>
      <c r="D77" s="20"/>
      <c r="E77" s="82"/>
      <c r="F77" s="21"/>
      <c r="G77" s="17"/>
      <c r="H77" s="79"/>
      <c r="I77" s="18"/>
      <c r="J77" s="73"/>
      <c r="K77" s="83"/>
      <c r="L77" s="74"/>
      <c r="M77" s="23"/>
      <c r="N77" s="85"/>
      <c r="O77" s="23"/>
    </row>
    <row r="78" spans="1:16" x14ac:dyDescent="0.25">
      <c r="A78" s="25"/>
      <c r="B78" s="61"/>
      <c r="C78" s="26"/>
      <c r="D78" s="20"/>
      <c r="E78" s="82"/>
      <c r="F78" s="21"/>
      <c r="G78" s="17"/>
      <c r="H78" s="79"/>
      <c r="I78" s="18"/>
      <c r="J78" s="73"/>
      <c r="K78" s="83"/>
      <c r="L78" s="74"/>
      <c r="M78" s="23"/>
      <c r="N78" s="85"/>
      <c r="O78" s="23"/>
    </row>
    <row r="79" spans="1:16" x14ac:dyDescent="0.25">
      <c r="A79" s="25"/>
      <c r="B79" s="61"/>
      <c r="C79" s="26"/>
      <c r="D79" s="20"/>
      <c r="E79" s="82"/>
      <c r="F79" s="21"/>
      <c r="G79" s="17"/>
      <c r="H79" s="79"/>
      <c r="I79" s="18"/>
      <c r="J79" s="73"/>
      <c r="K79" s="83"/>
      <c r="L79" s="74"/>
      <c r="M79" s="23"/>
      <c r="N79" s="85"/>
      <c r="O79" s="23"/>
    </row>
    <row r="80" spans="1:16" x14ac:dyDescent="0.25">
      <c r="A80" s="37"/>
      <c r="B80" s="78"/>
      <c r="C80" s="70"/>
      <c r="D80" s="37"/>
      <c r="E80" s="86"/>
      <c r="F80" s="70"/>
      <c r="G80" s="37"/>
      <c r="H80" s="86"/>
      <c r="I80" s="70"/>
      <c r="J80" s="37"/>
      <c r="K80" s="86"/>
      <c r="L80" s="70"/>
      <c r="M80" s="70"/>
      <c r="N80" s="86"/>
      <c r="O80" s="70"/>
      <c r="P80" s="70"/>
    </row>
    <row r="81" spans="1:16" x14ac:dyDescent="0.25">
      <c r="A81" s="37"/>
      <c r="B81" s="78"/>
      <c r="C81" s="70"/>
      <c r="D81" s="37"/>
      <c r="E81" s="86"/>
      <c r="F81" s="70"/>
      <c r="G81" s="37"/>
      <c r="H81" s="86"/>
      <c r="I81" s="70"/>
      <c r="J81" s="37"/>
      <c r="K81" s="86"/>
      <c r="L81" s="70"/>
      <c r="M81" s="70"/>
      <c r="N81" s="86"/>
      <c r="O81" s="70"/>
      <c r="P81" s="70"/>
    </row>
    <row r="82" spans="1:16" x14ac:dyDescent="0.25">
      <c r="A82" s="37"/>
      <c r="B82" s="78"/>
      <c r="C82" s="70"/>
      <c r="D82" s="37"/>
      <c r="E82" s="86"/>
      <c r="F82" s="70"/>
      <c r="G82" s="37"/>
      <c r="H82" s="86"/>
      <c r="I82" s="70"/>
      <c r="J82" s="37"/>
      <c r="K82" s="86"/>
      <c r="L82" s="70"/>
      <c r="M82" s="70"/>
      <c r="N82" s="86"/>
      <c r="O82" s="70"/>
      <c r="P82" s="70"/>
    </row>
    <row r="83" spans="1:16" x14ac:dyDescent="0.25">
      <c r="A83" s="37"/>
      <c r="B83" s="78"/>
      <c r="C83" s="70"/>
      <c r="D83" s="37"/>
      <c r="E83" s="86"/>
      <c r="F83" s="70"/>
      <c r="G83" s="37"/>
      <c r="H83" s="86"/>
      <c r="I83" s="70"/>
      <c r="J83" s="37"/>
      <c r="K83" s="86"/>
      <c r="L83" s="70"/>
      <c r="M83" s="70"/>
      <c r="N83" s="86"/>
      <c r="O83" s="70"/>
      <c r="P83" s="70"/>
    </row>
    <row r="84" spans="1:16" x14ac:dyDescent="0.25">
      <c r="A84" s="37"/>
      <c r="B84" s="78"/>
      <c r="C84" s="70"/>
      <c r="D84" s="37"/>
      <c r="E84" s="86"/>
      <c r="F84" s="70"/>
      <c r="G84" s="37"/>
      <c r="H84" s="86"/>
      <c r="I84" s="70"/>
      <c r="J84" s="37"/>
      <c r="K84" s="86"/>
      <c r="L84" s="70"/>
      <c r="M84" s="70"/>
      <c r="N84" s="86"/>
      <c r="O84" s="70"/>
      <c r="P84" s="70"/>
    </row>
    <row r="85" spans="1:16" x14ac:dyDescent="0.25">
      <c r="A85" s="37"/>
      <c r="B85" s="78"/>
      <c r="C85" s="70"/>
      <c r="D85" s="37"/>
      <c r="E85" s="86"/>
      <c r="F85" s="70"/>
      <c r="G85" s="37"/>
      <c r="H85" s="86"/>
      <c r="I85" s="70"/>
      <c r="J85" s="37"/>
      <c r="K85" s="86"/>
      <c r="L85" s="70"/>
      <c r="M85" s="70"/>
      <c r="N85" s="86"/>
      <c r="O85" s="70"/>
      <c r="P85" s="70"/>
    </row>
    <row r="86" spans="1:16" x14ac:dyDescent="0.25">
      <c r="A86" s="37"/>
      <c r="B86" s="78"/>
      <c r="C86" s="70"/>
      <c r="D86" s="37"/>
      <c r="E86" s="86"/>
      <c r="F86" s="70"/>
      <c r="G86" s="37"/>
      <c r="H86" s="86"/>
      <c r="I86" s="70"/>
      <c r="J86" s="37"/>
      <c r="K86" s="86"/>
      <c r="L86" s="70"/>
      <c r="M86" s="70"/>
      <c r="N86" s="86"/>
      <c r="O86" s="70"/>
      <c r="P86" s="70"/>
    </row>
    <row r="87" spans="1:16" x14ac:dyDescent="0.25">
      <c r="A87" s="37"/>
      <c r="B87" s="78"/>
      <c r="C87" s="70"/>
      <c r="D87" s="37"/>
      <c r="E87" s="86"/>
      <c r="F87" s="70"/>
      <c r="G87" s="37"/>
      <c r="H87" s="86"/>
      <c r="I87" s="70"/>
      <c r="J87" s="37"/>
      <c r="K87" s="86"/>
      <c r="L87" s="70"/>
      <c r="M87" s="70"/>
      <c r="N87" s="86"/>
      <c r="O87" s="70"/>
      <c r="P87" s="70"/>
    </row>
    <row r="88" spans="1:16" x14ac:dyDescent="0.25">
      <c r="A88" s="37"/>
      <c r="B88" s="78"/>
      <c r="C88" s="70"/>
      <c r="D88" s="37"/>
      <c r="E88" s="70"/>
      <c r="F88" s="70"/>
      <c r="G88" s="37"/>
      <c r="H88" s="70"/>
      <c r="I88" s="70"/>
      <c r="J88" s="37"/>
      <c r="K88" s="70"/>
      <c r="L88" s="70"/>
      <c r="M88" s="70"/>
      <c r="N88" s="70"/>
      <c r="O88" s="70"/>
    </row>
    <row r="89" spans="1:16" x14ac:dyDescent="0.25">
      <c r="A89" s="37"/>
      <c r="B89" s="78"/>
      <c r="C89" s="70"/>
      <c r="D89" s="37"/>
      <c r="E89" s="70"/>
      <c r="F89" s="70"/>
      <c r="G89" s="37"/>
      <c r="H89" s="70"/>
      <c r="I89" s="70"/>
      <c r="J89" s="37"/>
      <c r="K89" s="70"/>
      <c r="L89" s="70"/>
      <c r="M89" s="70"/>
      <c r="N89" s="70"/>
      <c r="O89" s="70"/>
    </row>
    <row r="90" spans="1:16" x14ac:dyDescent="0.25">
      <c r="A90" s="37"/>
      <c r="B90" s="78"/>
      <c r="C90" s="70"/>
      <c r="D90" s="37"/>
      <c r="E90" s="70"/>
      <c r="F90" s="70"/>
      <c r="G90" s="37"/>
      <c r="H90" s="70"/>
      <c r="I90" s="70"/>
      <c r="J90" s="37"/>
      <c r="K90" s="70"/>
      <c r="L90" s="70"/>
      <c r="M90" s="70"/>
      <c r="N90" s="70"/>
      <c r="O90" s="70"/>
    </row>
    <row r="91" spans="1:16" x14ac:dyDescent="0.25">
      <c r="A91" s="37"/>
      <c r="B91" s="78"/>
      <c r="C91" s="70"/>
      <c r="D91" s="37"/>
      <c r="E91" s="70"/>
      <c r="F91" s="70"/>
      <c r="G91" s="37"/>
      <c r="H91" s="70"/>
      <c r="I91" s="70"/>
      <c r="J91" s="37"/>
      <c r="K91" s="70"/>
      <c r="L91" s="70"/>
      <c r="M91" s="70"/>
      <c r="N91" s="70"/>
      <c r="O91" s="70"/>
    </row>
    <row r="92" spans="1:16" x14ac:dyDescent="0.25">
      <c r="A92" s="37"/>
      <c r="B92" s="78"/>
      <c r="C92" s="70"/>
      <c r="D92" s="37"/>
      <c r="E92" s="70"/>
      <c r="F92" s="70"/>
      <c r="G92" s="37"/>
      <c r="H92" s="70"/>
      <c r="I92" s="70"/>
      <c r="J92" s="37"/>
      <c r="K92" s="70"/>
      <c r="L92" s="70"/>
      <c r="M92" s="70"/>
      <c r="N92" s="70"/>
      <c r="O92" s="70"/>
    </row>
    <row r="93" spans="1:16" x14ac:dyDescent="0.25">
      <c r="A93" s="37"/>
      <c r="B93" s="78"/>
      <c r="C93" s="70"/>
      <c r="D93" s="37"/>
      <c r="E93" s="70"/>
      <c r="F93" s="70"/>
      <c r="G93" s="37"/>
      <c r="H93" s="70"/>
      <c r="I93" s="70"/>
      <c r="J93" s="37"/>
      <c r="K93" s="70"/>
      <c r="L93" s="70"/>
      <c r="M93" s="70"/>
      <c r="N93" s="70"/>
      <c r="O93" s="70"/>
    </row>
    <row r="94" spans="1:16" x14ac:dyDescent="0.25">
      <c r="A94" s="37"/>
      <c r="B94" s="78"/>
      <c r="C94" s="70"/>
      <c r="D94" s="37"/>
      <c r="E94" s="70"/>
      <c r="F94" s="70"/>
      <c r="G94" s="37"/>
      <c r="H94" s="70"/>
      <c r="I94" s="70"/>
      <c r="J94" s="37"/>
      <c r="K94" s="70"/>
      <c r="L94" s="70"/>
      <c r="M94" s="70"/>
      <c r="N94" s="70"/>
      <c r="O94" s="70"/>
    </row>
    <row r="95" spans="1:16" x14ac:dyDescent="0.25">
      <c r="A95" s="37"/>
      <c r="B95" s="78"/>
      <c r="C95" s="70"/>
      <c r="D95" s="37"/>
      <c r="E95" s="70"/>
      <c r="F95" s="70"/>
      <c r="G95" s="37"/>
      <c r="H95" s="70"/>
      <c r="I95" s="70"/>
      <c r="J95" s="37"/>
      <c r="K95" s="70"/>
      <c r="L95" s="70"/>
      <c r="M95" s="70"/>
      <c r="N95" s="70"/>
      <c r="O95" s="70"/>
    </row>
    <row r="96" spans="1:16" x14ac:dyDescent="0.25">
      <c r="A96" s="37"/>
      <c r="B96" s="78"/>
      <c r="C96" s="70"/>
      <c r="D96" s="37"/>
      <c r="E96" s="70"/>
      <c r="F96" s="70"/>
      <c r="G96" s="37"/>
      <c r="H96" s="70"/>
      <c r="I96" s="70"/>
      <c r="J96" s="37"/>
      <c r="K96" s="70"/>
      <c r="L96" s="70"/>
      <c r="M96" s="70"/>
      <c r="N96" s="70"/>
      <c r="O96" s="70"/>
    </row>
    <row r="97" spans="1:15" x14ac:dyDescent="0.25">
      <c r="A97" s="37"/>
      <c r="B97" s="78"/>
      <c r="C97" s="70"/>
      <c r="D97" s="37"/>
      <c r="E97" s="70"/>
      <c r="F97" s="70"/>
      <c r="G97" s="37"/>
      <c r="H97" s="70"/>
      <c r="I97" s="70"/>
      <c r="J97" s="37"/>
      <c r="K97" s="70"/>
      <c r="L97" s="70"/>
      <c r="M97" s="70"/>
      <c r="N97" s="70"/>
      <c r="O97" s="70"/>
    </row>
    <row r="98" spans="1:15" x14ac:dyDescent="0.25">
      <c r="A98" s="37"/>
      <c r="B98" s="78"/>
      <c r="C98" s="70"/>
      <c r="D98" s="37"/>
      <c r="E98" s="70"/>
      <c r="F98" s="70"/>
      <c r="G98" s="37"/>
      <c r="H98" s="70"/>
      <c r="I98" s="70"/>
      <c r="J98" s="37"/>
      <c r="K98" s="70"/>
      <c r="L98" s="70"/>
      <c r="M98" s="70"/>
      <c r="N98" s="70"/>
      <c r="O98" s="70"/>
    </row>
    <row r="99" spans="1:15" x14ac:dyDescent="0.25">
      <c r="A99" s="37"/>
      <c r="B99" s="78"/>
      <c r="C99" s="70"/>
      <c r="D99" s="37"/>
      <c r="E99" s="70"/>
      <c r="F99" s="70"/>
      <c r="G99" s="37"/>
      <c r="H99" s="70"/>
      <c r="I99" s="70"/>
      <c r="J99" s="37"/>
      <c r="K99" s="70"/>
      <c r="L99" s="70"/>
      <c r="M99" s="70"/>
      <c r="N99" s="70"/>
      <c r="O99" s="70"/>
    </row>
    <row r="100" spans="1:15" x14ac:dyDescent="0.25">
      <c r="A100" s="37"/>
      <c r="B100" s="78"/>
      <c r="C100" s="70"/>
      <c r="D100" s="37"/>
      <c r="E100" s="70"/>
      <c r="F100" s="70"/>
      <c r="G100" s="37"/>
      <c r="H100" s="70"/>
      <c r="I100" s="70"/>
      <c r="J100" s="37"/>
      <c r="K100" s="70"/>
      <c r="L100" s="70"/>
      <c r="M100" s="70"/>
      <c r="N100" s="70"/>
      <c r="O100" s="70"/>
    </row>
    <row r="101" spans="1:15" x14ac:dyDescent="0.25">
      <c r="A101" s="37"/>
      <c r="B101" s="78"/>
      <c r="C101" s="70"/>
      <c r="D101" s="37"/>
      <c r="E101" s="70"/>
      <c r="F101" s="70"/>
      <c r="G101" s="37"/>
      <c r="H101" s="70"/>
      <c r="I101" s="70"/>
      <c r="J101" s="37"/>
      <c r="K101" s="70"/>
      <c r="L101" s="70"/>
      <c r="M101" s="70"/>
      <c r="N101" s="70"/>
      <c r="O101" s="70"/>
    </row>
    <row r="102" spans="1:15" x14ac:dyDescent="0.25">
      <c r="A102" s="37"/>
      <c r="B102" s="78"/>
      <c r="C102" s="70"/>
      <c r="D102" s="37"/>
      <c r="E102" s="70"/>
      <c r="F102" s="70"/>
      <c r="G102" s="37"/>
      <c r="H102" s="70"/>
      <c r="I102" s="70"/>
      <c r="J102" s="37"/>
      <c r="K102" s="70"/>
      <c r="L102" s="70"/>
      <c r="M102" s="70"/>
      <c r="N102" s="70"/>
      <c r="O102" s="70"/>
    </row>
    <row r="103" spans="1:15" x14ac:dyDescent="0.25">
      <c r="A103" s="37"/>
      <c r="B103" s="78"/>
      <c r="C103" s="70"/>
      <c r="D103" s="37"/>
      <c r="E103" s="70"/>
      <c r="F103" s="70"/>
      <c r="G103" s="37"/>
      <c r="H103" s="70"/>
      <c r="I103" s="70"/>
      <c r="J103" s="37"/>
      <c r="K103" s="70"/>
      <c r="L103" s="70"/>
      <c r="M103" s="70"/>
      <c r="N103" s="70"/>
      <c r="O103" s="70"/>
    </row>
    <row r="104" spans="1:15" x14ac:dyDescent="0.25">
      <c r="A104" s="37"/>
      <c r="B104" s="78"/>
      <c r="C104" s="70"/>
      <c r="D104" s="37"/>
      <c r="E104" s="70"/>
      <c r="F104" s="70"/>
      <c r="G104" s="37"/>
      <c r="H104" s="70"/>
      <c r="I104" s="70"/>
      <c r="J104" s="37"/>
      <c r="K104" s="70"/>
      <c r="L104" s="70"/>
      <c r="M104" s="70"/>
      <c r="N104" s="70"/>
      <c r="O104" s="70"/>
    </row>
    <row r="105" spans="1:15" x14ac:dyDescent="0.25">
      <c r="A105" s="37"/>
      <c r="B105" s="78"/>
      <c r="C105" s="70"/>
      <c r="D105" s="37"/>
      <c r="E105" s="70"/>
      <c r="F105" s="70"/>
      <c r="G105" s="37"/>
      <c r="H105" s="70"/>
      <c r="I105" s="70"/>
      <c r="J105" s="37"/>
      <c r="K105" s="70"/>
      <c r="L105" s="70"/>
      <c r="M105" s="70"/>
      <c r="N105" s="70"/>
      <c r="O105" s="70"/>
    </row>
    <row r="106" spans="1:15" x14ac:dyDescent="0.25">
      <c r="A106" s="37"/>
      <c r="B106" s="78"/>
      <c r="C106" s="70"/>
      <c r="D106" s="37"/>
      <c r="E106" s="70"/>
      <c r="F106" s="70"/>
      <c r="G106" s="37"/>
      <c r="H106" s="70"/>
      <c r="I106" s="70"/>
      <c r="J106" s="37"/>
      <c r="K106" s="70"/>
      <c r="L106" s="70"/>
      <c r="M106" s="70"/>
      <c r="N106" s="70"/>
      <c r="O106" s="70"/>
    </row>
    <row r="107" spans="1:15" x14ac:dyDescent="0.25">
      <c r="A107" s="37"/>
      <c r="B107" s="78"/>
      <c r="C107" s="70"/>
      <c r="D107" s="37"/>
      <c r="E107" s="70"/>
      <c r="F107" s="70"/>
      <c r="G107" s="37"/>
      <c r="H107" s="70"/>
      <c r="I107" s="70"/>
      <c r="J107" s="37"/>
      <c r="K107" s="70"/>
      <c r="L107" s="70"/>
      <c r="M107" s="70"/>
      <c r="N107" s="70"/>
      <c r="O107" s="70"/>
    </row>
    <row r="108" spans="1:15" x14ac:dyDescent="0.25">
      <c r="A108" s="37"/>
      <c r="B108" s="78"/>
      <c r="C108" s="70"/>
      <c r="D108" s="37"/>
      <c r="E108" s="70"/>
      <c r="F108" s="70"/>
      <c r="G108" s="37"/>
      <c r="H108" s="70"/>
      <c r="I108" s="70"/>
      <c r="J108" s="37"/>
      <c r="K108" s="70"/>
      <c r="L108" s="70"/>
      <c r="M108" s="70"/>
      <c r="N108" s="70"/>
      <c r="O108" s="70"/>
    </row>
    <row r="109" spans="1:15" x14ac:dyDescent="0.25">
      <c r="A109" s="37"/>
      <c r="B109" s="78"/>
      <c r="C109" s="70"/>
      <c r="D109" s="37"/>
      <c r="E109" s="70"/>
      <c r="F109" s="70"/>
      <c r="G109" s="37"/>
      <c r="H109" s="70"/>
      <c r="I109" s="70"/>
      <c r="J109" s="37"/>
      <c r="K109" s="70"/>
      <c r="L109" s="70"/>
      <c r="M109" s="70"/>
      <c r="N109" s="70"/>
      <c r="O109" s="70"/>
    </row>
    <row r="110" spans="1:15" x14ac:dyDescent="0.25">
      <c r="A110" s="37"/>
      <c r="B110" s="78"/>
      <c r="C110" s="70"/>
      <c r="D110" s="37"/>
      <c r="E110" s="70"/>
      <c r="F110" s="70"/>
      <c r="G110" s="37"/>
      <c r="H110" s="70"/>
      <c r="I110" s="70"/>
      <c r="J110" s="37"/>
      <c r="K110" s="70"/>
      <c r="L110" s="70"/>
      <c r="M110" s="70"/>
      <c r="N110" s="70"/>
      <c r="O110" s="70"/>
    </row>
    <row r="111" spans="1:15" x14ac:dyDescent="0.25">
      <c r="A111" s="37"/>
      <c r="B111" s="78"/>
      <c r="C111" s="70"/>
      <c r="D111" s="37"/>
      <c r="E111" s="70"/>
      <c r="F111" s="70"/>
      <c r="G111" s="37"/>
      <c r="H111" s="70"/>
      <c r="I111" s="70"/>
      <c r="J111" s="37"/>
      <c r="K111" s="70"/>
      <c r="L111" s="70"/>
      <c r="M111" s="70"/>
      <c r="N111" s="70"/>
      <c r="O111" s="70"/>
    </row>
    <row r="112" spans="1:15" x14ac:dyDescent="0.25">
      <c r="A112" s="37"/>
      <c r="B112" s="78"/>
      <c r="C112" s="70"/>
      <c r="D112" s="37"/>
      <c r="E112" s="70"/>
      <c r="F112" s="70"/>
      <c r="G112" s="37"/>
      <c r="H112" s="70"/>
      <c r="I112" s="70"/>
      <c r="J112" s="37"/>
      <c r="K112" s="70"/>
      <c r="L112" s="70"/>
      <c r="M112" s="70"/>
      <c r="N112" s="70"/>
      <c r="O112" s="70"/>
    </row>
    <row r="113" spans="1:15" x14ac:dyDescent="0.25">
      <c r="A113" s="37"/>
      <c r="B113" s="78"/>
      <c r="C113" s="70"/>
      <c r="D113" s="37"/>
      <c r="E113" s="70"/>
      <c r="F113" s="70"/>
      <c r="G113" s="37"/>
      <c r="H113" s="70"/>
      <c r="I113" s="70"/>
      <c r="J113" s="37"/>
      <c r="K113" s="70"/>
      <c r="L113" s="70"/>
      <c r="M113" s="70"/>
      <c r="N113" s="70"/>
      <c r="O113" s="70"/>
    </row>
    <row r="114" spans="1:15" x14ac:dyDescent="0.25">
      <c r="A114" s="37"/>
      <c r="B114" s="78"/>
      <c r="C114" s="70"/>
      <c r="D114" s="37"/>
      <c r="E114" s="70"/>
      <c r="F114" s="70"/>
      <c r="G114" s="37"/>
      <c r="H114" s="70"/>
      <c r="I114" s="70"/>
      <c r="J114" s="37"/>
      <c r="K114" s="70"/>
      <c r="L114" s="70"/>
      <c r="M114" s="70"/>
      <c r="N114" s="70"/>
      <c r="O114" s="70"/>
    </row>
    <row r="115" spans="1:15" x14ac:dyDescent="0.25">
      <c r="A115" s="37"/>
      <c r="B115" s="78"/>
      <c r="C115" s="70"/>
      <c r="D115" s="37"/>
      <c r="E115" s="70"/>
      <c r="F115" s="70"/>
      <c r="G115" s="37"/>
      <c r="H115" s="70"/>
      <c r="I115" s="70"/>
      <c r="J115" s="37"/>
      <c r="K115" s="70"/>
      <c r="L115" s="70"/>
      <c r="M115" s="70"/>
      <c r="N115" s="70"/>
      <c r="O115" s="70"/>
    </row>
    <row r="116" spans="1:15" x14ac:dyDescent="0.25">
      <c r="A116" s="37"/>
      <c r="B116" s="78"/>
      <c r="C116" s="70"/>
      <c r="D116" s="37"/>
      <c r="E116" s="70"/>
      <c r="F116" s="70"/>
      <c r="G116" s="37"/>
      <c r="H116" s="70"/>
      <c r="I116" s="70"/>
      <c r="J116" s="37"/>
      <c r="K116" s="70"/>
      <c r="L116" s="70"/>
      <c r="M116" s="70"/>
      <c r="N116" s="70"/>
      <c r="O116" s="70"/>
    </row>
    <row r="117" spans="1:15" x14ac:dyDescent="0.25">
      <c r="A117" s="37"/>
      <c r="B117" s="78"/>
      <c r="C117" s="70"/>
      <c r="D117" s="37"/>
      <c r="E117" s="70"/>
      <c r="F117" s="70"/>
      <c r="G117" s="37"/>
      <c r="H117" s="70"/>
      <c r="I117" s="70"/>
      <c r="J117" s="37"/>
      <c r="K117" s="70"/>
      <c r="L117" s="70"/>
      <c r="M117" s="70"/>
      <c r="N117" s="70"/>
      <c r="O117" s="70"/>
    </row>
    <row r="118" spans="1:15" x14ac:dyDescent="0.25">
      <c r="A118" s="37"/>
      <c r="B118" s="78"/>
      <c r="C118" s="70"/>
      <c r="D118" s="37"/>
      <c r="E118" s="70"/>
      <c r="F118" s="70"/>
      <c r="G118" s="37"/>
      <c r="H118" s="70"/>
      <c r="I118" s="70"/>
      <c r="J118" s="37"/>
      <c r="K118" s="70"/>
      <c r="L118" s="70"/>
      <c r="M118" s="70"/>
      <c r="N118" s="70"/>
      <c r="O118" s="70"/>
    </row>
    <row r="119" spans="1:15" x14ac:dyDescent="0.25">
      <c r="A119" s="37"/>
      <c r="B119" s="78"/>
      <c r="C119" s="70"/>
      <c r="D119" s="37"/>
      <c r="E119" s="70"/>
      <c r="F119" s="70"/>
      <c r="G119" s="37"/>
      <c r="H119" s="70"/>
      <c r="I119" s="70"/>
      <c r="J119" s="37"/>
      <c r="K119" s="70"/>
      <c r="L119" s="70"/>
      <c r="M119" s="70"/>
      <c r="N119" s="70"/>
      <c r="O119" s="70"/>
    </row>
    <row r="120" spans="1:15" x14ac:dyDescent="0.25">
      <c r="A120" s="37"/>
      <c r="B120" s="78"/>
      <c r="C120" s="70"/>
      <c r="D120" s="37"/>
      <c r="E120" s="70"/>
      <c r="F120" s="70"/>
      <c r="G120" s="37"/>
      <c r="H120" s="70"/>
      <c r="I120" s="70"/>
      <c r="J120" s="37"/>
      <c r="K120" s="70"/>
      <c r="L120" s="70"/>
      <c r="M120" s="70"/>
      <c r="N120" s="70"/>
      <c r="O120" s="70"/>
    </row>
    <row r="121" spans="1:15" x14ac:dyDescent="0.25">
      <c r="A121" s="37"/>
      <c r="B121" s="78"/>
      <c r="C121" s="70"/>
      <c r="D121" s="37"/>
      <c r="E121" s="70"/>
      <c r="F121" s="70"/>
      <c r="G121" s="37"/>
      <c r="H121" s="70"/>
      <c r="I121" s="70"/>
      <c r="J121" s="37"/>
      <c r="K121" s="70"/>
      <c r="L121" s="70"/>
      <c r="M121" s="70"/>
      <c r="N121" s="70"/>
      <c r="O121" s="70"/>
    </row>
    <row r="122" spans="1:15" x14ac:dyDescent="0.25">
      <c r="A122" s="37"/>
      <c r="B122" s="78"/>
      <c r="C122" s="70"/>
      <c r="D122" s="37"/>
      <c r="E122" s="70"/>
      <c r="F122" s="70"/>
      <c r="G122" s="37"/>
      <c r="H122" s="70"/>
      <c r="I122" s="70"/>
      <c r="J122" s="37"/>
      <c r="K122" s="70"/>
      <c r="L122" s="70"/>
      <c r="M122" s="70"/>
      <c r="N122" s="70"/>
      <c r="O122" s="70"/>
    </row>
    <row r="123" spans="1:15" x14ac:dyDescent="0.25">
      <c r="A123" s="37"/>
      <c r="B123" s="78"/>
      <c r="C123" s="70"/>
      <c r="D123" s="37"/>
      <c r="E123" s="70"/>
      <c r="F123" s="70"/>
      <c r="G123" s="37"/>
      <c r="H123" s="70"/>
      <c r="I123" s="70"/>
      <c r="J123" s="37"/>
      <c r="K123" s="70"/>
      <c r="L123" s="70"/>
      <c r="M123" s="70"/>
      <c r="N123" s="70"/>
      <c r="O123" s="70"/>
    </row>
    <row r="124" spans="1:15" x14ac:dyDescent="0.25">
      <c r="A124" s="37"/>
      <c r="B124" s="78"/>
      <c r="C124" s="70"/>
      <c r="D124" s="37"/>
      <c r="E124" s="70"/>
      <c r="F124" s="70"/>
      <c r="G124" s="37"/>
      <c r="H124" s="70"/>
      <c r="I124" s="70"/>
      <c r="J124" s="37"/>
      <c r="K124" s="70"/>
      <c r="L124" s="70"/>
      <c r="M124" s="70"/>
      <c r="N124" s="70"/>
      <c r="O124" s="70"/>
    </row>
    <row r="125" spans="1:15" x14ac:dyDescent="0.25">
      <c r="A125" s="37"/>
      <c r="B125" s="78"/>
      <c r="C125" s="70"/>
      <c r="D125" s="37"/>
      <c r="E125" s="70"/>
      <c r="F125" s="70"/>
      <c r="G125" s="37"/>
      <c r="H125" s="70"/>
      <c r="I125" s="70"/>
      <c r="J125" s="37"/>
      <c r="K125" s="70"/>
      <c r="L125" s="70"/>
      <c r="M125" s="70"/>
      <c r="N125" s="70"/>
      <c r="O125" s="70"/>
    </row>
    <row r="126" spans="1:15" x14ac:dyDescent="0.25">
      <c r="A126" s="37"/>
      <c r="B126" s="78"/>
      <c r="C126" s="70"/>
      <c r="D126" s="37"/>
      <c r="E126" s="70"/>
      <c r="F126" s="70"/>
      <c r="G126" s="37"/>
      <c r="H126" s="70"/>
      <c r="I126" s="70"/>
      <c r="J126" s="37"/>
      <c r="K126" s="70"/>
      <c r="L126" s="70"/>
      <c r="M126" s="70"/>
      <c r="N126" s="70"/>
      <c r="O126" s="70"/>
    </row>
    <row r="127" spans="1:15" x14ac:dyDescent="0.25">
      <c r="A127" s="37"/>
      <c r="B127" s="78"/>
      <c r="C127" s="70"/>
      <c r="D127" s="37"/>
      <c r="E127" s="70"/>
      <c r="F127" s="70"/>
      <c r="G127" s="37"/>
      <c r="H127" s="70"/>
      <c r="I127" s="70"/>
      <c r="J127" s="37"/>
      <c r="K127" s="70"/>
      <c r="L127" s="70"/>
      <c r="M127" s="70"/>
      <c r="N127" s="70"/>
      <c r="O127" s="70"/>
    </row>
    <row r="128" spans="1:15" x14ac:dyDescent="0.25">
      <c r="A128" s="37"/>
      <c r="B128" s="78"/>
      <c r="C128" s="70"/>
      <c r="D128" s="37"/>
      <c r="E128" s="70"/>
      <c r="F128" s="70"/>
      <c r="G128" s="37"/>
      <c r="H128" s="70"/>
      <c r="I128" s="70"/>
      <c r="J128" s="37"/>
      <c r="K128" s="70"/>
      <c r="L128" s="70"/>
      <c r="M128" s="70"/>
      <c r="N128" s="70"/>
      <c r="O128" s="70"/>
    </row>
    <row r="129" spans="1:15" x14ac:dyDescent="0.25">
      <c r="A129" s="37"/>
      <c r="B129" s="78"/>
      <c r="C129" s="70"/>
      <c r="D129" s="37"/>
      <c r="E129" s="70"/>
      <c r="F129" s="70"/>
      <c r="G129" s="37"/>
      <c r="H129" s="70"/>
      <c r="I129" s="70"/>
      <c r="J129" s="37"/>
      <c r="K129" s="70"/>
      <c r="L129" s="70"/>
      <c r="M129" s="70"/>
      <c r="N129" s="70"/>
      <c r="O129" s="70"/>
    </row>
    <row r="130" spans="1:15" x14ac:dyDescent="0.25">
      <c r="A130" s="37"/>
      <c r="B130" s="78"/>
      <c r="C130" s="70"/>
      <c r="D130" s="37"/>
      <c r="E130" s="70"/>
      <c r="F130" s="70"/>
      <c r="G130" s="37"/>
      <c r="H130" s="70"/>
      <c r="I130" s="70"/>
      <c r="J130" s="37"/>
      <c r="K130" s="70"/>
      <c r="L130" s="70"/>
      <c r="M130" s="70"/>
      <c r="N130" s="70"/>
      <c r="O130" s="70"/>
    </row>
    <row r="131" spans="1:15" x14ac:dyDescent="0.25">
      <c r="A131" s="37"/>
      <c r="B131" s="78"/>
      <c r="C131" s="70"/>
      <c r="D131" s="37"/>
      <c r="E131" s="70"/>
      <c r="F131" s="70"/>
      <c r="G131" s="37"/>
      <c r="H131" s="70"/>
      <c r="I131" s="70"/>
      <c r="J131" s="37"/>
      <c r="K131" s="70"/>
      <c r="L131" s="70"/>
      <c r="M131" s="70"/>
      <c r="N131" s="70"/>
      <c r="O131" s="70"/>
    </row>
    <row r="132" spans="1:15" x14ac:dyDescent="0.25">
      <c r="A132" s="37"/>
      <c r="B132" s="78"/>
      <c r="C132" s="70"/>
      <c r="D132" s="37"/>
      <c r="E132" s="70"/>
      <c r="F132" s="70"/>
      <c r="G132" s="37"/>
      <c r="H132" s="70"/>
      <c r="I132" s="70"/>
      <c r="J132" s="37"/>
      <c r="K132" s="70"/>
      <c r="L132" s="70"/>
      <c r="M132" s="70"/>
      <c r="N132" s="70"/>
      <c r="O132" s="70"/>
    </row>
    <row r="133" spans="1:15" x14ac:dyDescent="0.25">
      <c r="A133" s="37"/>
      <c r="B133" s="78"/>
      <c r="C133" s="70"/>
      <c r="D133" s="37"/>
      <c r="E133" s="70"/>
      <c r="F133" s="70"/>
      <c r="G133" s="37"/>
      <c r="H133" s="70"/>
      <c r="I133" s="70"/>
      <c r="J133" s="37"/>
      <c r="K133" s="70"/>
      <c r="L133" s="70"/>
      <c r="M133" s="70"/>
      <c r="N133" s="70"/>
      <c r="O133" s="70"/>
    </row>
    <row r="134" spans="1:15" x14ac:dyDescent="0.25">
      <c r="A134" s="37"/>
      <c r="B134" s="78"/>
      <c r="C134" s="70"/>
      <c r="D134" s="37"/>
      <c r="E134" s="70"/>
      <c r="F134" s="70"/>
      <c r="G134" s="37"/>
      <c r="H134" s="70"/>
      <c r="I134" s="70"/>
      <c r="J134" s="37"/>
      <c r="K134" s="70"/>
      <c r="L134" s="70"/>
      <c r="M134" s="70"/>
      <c r="N134" s="70"/>
      <c r="O134" s="70"/>
    </row>
    <row r="135" spans="1:15" x14ac:dyDescent="0.25">
      <c r="A135" s="37"/>
      <c r="B135" s="78"/>
      <c r="C135" s="70"/>
      <c r="D135" s="37"/>
      <c r="E135" s="70"/>
      <c r="F135" s="70"/>
      <c r="G135" s="37"/>
      <c r="H135" s="70"/>
      <c r="I135" s="70"/>
      <c r="J135" s="37"/>
      <c r="K135" s="70"/>
      <c r="L135" s="70"/>
      <c r="M135" s="70"/>
      <c r="N135" s="70"/>
      <c r="O135" s="70"/>
    </row>
    <row r="136" spans="1:15" x14ac:dyDescent="0.25">
      <c r="A136" s="37"/>
      <c r="B136" s="78"/>
      <c r="C136" s="70"/>
      <c r="D136" s="37"/>
      <c r="E136" s="70"/>
      <c r="F136" s="70"/>
      <c r="G136" s="37"/>
      <c r="H136" s="70"/>
      <c r="I136" s="70"/>
      <c r="J136" s="37"/>
      <c r="K136" s="70"/>
      <c r="L136" s="70"/>
      <c r="M136" s="70"/>
      <c r="N136" s="70"/>
      <c r="O136" s="70"/>
    </row>
    <row r="137" spans="1:15" x14ac:dyDescent="0.25">
      <c r="A137" s="37"/>
      <c r="B137" s="78"/>
      <c r="C137" s="70"/>
      <c r="D137" s="37"/>
      <c r="E137" s="70"/>
      <c r="F137" s="70"/>
      <c r="G137" s="37"/>
      <c r="H137" s="70"/>
      <c r="I137" s="70"/>
      <c r="J137" s="37"/>
      <c r="K137" s="70"/>
      <c r="L137" s="70"/>
      <c r="M137" s="70"/>
      <c r="N137" s="70"/>
      <c r="O137" s="70"/>
    </row>
    <row r="138" spans="1:15" x14ac:dyDescent="0.25">
      <c r="A138" s="37"/>
      <c r="B138" s="78"/>
      <c r="C138" s="70"/>
      <c r="D138" s="37"/>
      <c r="E138" s="70"/>
      <c r="F138" s="70"/>
      <c r="G138" s="37"/>
      <c r="H138" s="70"/>
      <c r="I138" s="70"/>
      <c r="J138" s="37"/>
      <c r="K138" s="70"/>
      <c r="L138" s="70"/>
      <c r="M138" s="70"/>
      <c r="N138" s="70"/>
      <c r="O138" s="70"/>
    </row>
    <row r="139" spans="1:15" x14ac:dyDescent="0.25">
      <c r="A139" s="37"/>
      <c r="B139" s="78"/>
      <c r="C139" s="70"/>
      <c r="D139" s="37"/>
      <c r="E139" s="70"/>
      <c r="F139" s="70"/>
      <c r="G139" s="37"/>
      <c r="H139" s="70"/>
      <c r="I139" s="70"/>
      <c r="J139" s="37"/>
      <c r="K139" s="70"/>
      <c r="L139" s="70"/>
      <c r="M139" s="70"/>
      <c r="N139" s="70"/>
      <c r="O139" s="70"/>
    </row>
    <row r="140" spans="1:15" x14ac:dyDescent="0.25">
      <c r="A140" s="37"/>
      <c r="B140" s="78"/>
      <c r="C140" s="70"/>
      <c r="D140" s="37"/>
      <c r="E140" s="70"/>
      <c r="F140" s="70"/>
      <c r="G140" s="37"/>
      <c r="H140" s="70"/>
      <c r="I140" s="70"/>
      <c r="J140" s="37"/>
      <c r="K140" s="70"/>
      <c r="L140" s="70"/>
      <c r="M140" s="70"/>
      <c r="N140" s="70"/>
      <c r="O140" s="70"/>
    </row>
    <row r="141" spans="1:15" x14ac:dyDescent="0.25">
      <c r="A141" s="37"/>
      <c r="B141" s="78"/>
      <c r="C141" s="70"/>
      <c r="D141" s="37"/>
      <c r="E141" s="70"/>
      <c r="F141" s="70"/>
      <c r="G141" s="37"/>
      <c r="H141" s="70"/>
      <c r="I141" s="70"/>
      <c r="J141" s="37"/>
      <c r="K141" s="70"/>
      <c r="L141" s="70"/>
      <c r="M141" s="70"/>
      <c r="N141" s="70"/>
      <c r="O141" s="70"/>
    </row>
    <row r="142" spans="1:15" x14ac:dyDescent="0.25">
      <c r="A142" s="37"/>
      <c r="B142" s="78"/>
      <c r="C142" s="70"/>
      <c r="D142" s="37"/>
      <c r="E142" s="70"/>
      <c r="F142" s="70"/>
      <c r="G142" s="37"/>
      <c r="H142" s="70"/>
      <c r="I142" s="70"/>
      <c r="J142" s="37"/>
      <c r="K142" s="70"/>
      <c r="L142" s="70"/>
      <c r="M142" s="70"/>
      <c r="N142" s="70"/>
      <c r="O142" s="70"/>
    </row>
    <row r="143" spans="1:15" x14ac:dyDescent="0.25">
      <c r="A143" s="37"/>
      <c r="B143" s="78"/>
      <c r="C143" s="70"/>
      <c r="D143" s="37"/>
      <c r="E143" s="70"/>
      <c r="F143" s="70"/>
      <c r="G143" s="37"/>
      <c r="H143" s="70"/>
      <c r="I143" s="70"/>
      <c r="J143" s="37"/>
      <c r="K143" s="70"/>
      <c r="L143" s="70"/>
      <c r="M143" s="70"/>
      <c r="N143" s="70"/>
      <c r="O143" s="70"/>
    </row>
    <row r="144" spans="1:15" x14ac:dyDescent="0.25">
      <c r="A144" s="37"/>
      <c r="B144" s="78"/>
      <c r="C144" s="70"/>
      <c r="D144" s="37"/>
      <c r="E144" s="70"/>
      <c r="F144" s="70"/>
      <c r="G144" s="37"/>
      <c r="H144" s="70"/>
      <c r="I144" s="70"/>
      <c r="J144" s="37"/>
      <c r="K144" s="70"/>
      <c r="L144" s="70"/>
      <c r="M144" s="70"/>
      <c r="N144" s="70"/>
      <c r="O144" s="70"/>
    </row>
    <row r="145" spans="1:15" x14ac:dyDescent="0.25">
      <c r="A145" s="37"/>
      <c r="B145" s="78"/>
      <c r="C145" s="70"/>
      <c r="D145" s="37"/>
      <c r="E145" s="70"/>
      <c r="F145" s="70"/>
      <c r="G145" s="37"/>
      <c r="H145" s="70"/>
      <c r="I145" s="70"/>
      <c r="J145" s="37"/>
      <c r="K145" s="70"/>
      <c r="L145" s="70"/>
      <c r="M145" s="70"/>
      <c r="N145" s="70"/>
      <c r="O145" s="70"/>
    </row>
    <row r="146" spans="1:15" x14ac:dyDescent="0.25">
      <c r="A146" s="37"/>
      <c r="B146" s="78"/>
      <c r="C146" s="70"/>
      <c r="D146" s="37"/>
      <c r="E146" s="70"/>
      <c r="F146" s="70"/>
      <c r="G146" s="37"/>
      <c r="H146" s="70"/>
      <c r="I146" s="70"/>
      <c r="J146" s="37"/>
      <c r="K146" s="70"/>
      <c r="L146" s="70"/>
      <c r="M146" s="70"/>
      <c r="N146" s="70"/>
      <c r="O146" s="70"/>
    </row>
    <row r="147" spans="1:15" x14ac:dyDescent="0.25">
      <c r="A147" s="37"/>
      <c r="B147" s="78"/>
      <c r="C147" s="70"/>
      <c r="D147" s="37"/>
      <c r="E147" s="70"/>
      <c r="F147" s="70"/>
      <c r="G147" s="37"/>
      <c r="H147" s="70"/>
      <c r="I147" s="70"/>
      <c r="J147" s="37"/>
      <c r="K147" s="70"/>
      <c r="L147" s="70"/>
      <c r="M147" s="70"/>
      <c r="N147" s="70"/>
      <c r="O147" s="70"/>
    </row>
    <row r="148" spans="1:15" x14ac:dyDescent="0.25">
      <c r="A148" s="37"/>
      <c r="B148" s="78"/>
      <c r="C148" s="70"/>
      <c r="D148" s="37"/>
      <c r="E148" s="70"/>
      <c r="F148" s="70"/>
      <c r="G148" s="37"/>
      <c r="H148" s="70"/>
      <c r="I148" s="70"/>
      <c r="J148" s="37"/>
      <c r="K148" s="70"/>
      <c r="L148" s="70"/>
      <c r="M148" s="70"/>
      <c r="N148" s="70"/>
      <c r="O148" s="70"/>
    </row>
    <row r="149" spans="1:15" x14ac:dyDescent="0.25">
      <c r="A149" s="37"/>
      <c r="B149" s="78"/>
      <c r="C149" s="70"/>
      <c r="D149" s="37"/>
      <c r="E149" s="70"/>
      <c r="F149" s="70"/>
      <c r="G149" s="37"/>
      <c r="H149" s="70"/>
      <c r="I149" s="70"/>
      <c r="J149" s="37"/>
      <c r="K149" s="70"/>
      <c r="L149" s="70"/>
      <c r="M149" s="70"/>
      <c r="N149" s="70"/>
      <c r="O149" s="70"/>
    </row>
    <row r="150" spans="1:15" x14ac:dyDescent="0.25">
      <c r="A150" s="37"/>
      <c r="B150" s="78"/>
      <c r="C150" s="70"/>
      <c r="D150" s="37"/>
      <c r="E150" s="70"/>
      <c r="F150" s="70"/>
      <c r="G150" s="37"/>
      <c r="H150" s="70"/>
      <c r="I150" s="70"/>
      <c r="J150" s="37"/>
      <c r="K150" s="70"/>
      <c r="L150" s="70"/>
      <c r="M150" s="70"/>
      <c r="N150" s="70"/>
      <c r="O150" s="70"/>
    </row>
    <row r="151" spans="1:15" x14ac:dyDescent="0.25">
      <c r="A151" s="37"/>
      <c r="B151" s="78"/>
      <c r="C151" s="70"/>
      <c r="D151" s="37"/>
      <c r="E151" s="70"/>
      <c r="F151" s="70"/>
      <c r="G151" s="37"/>
      <c r="H151" s="70"/>
      <c r="I151" s="70"/>
      <c r="J151" s="37"/>
      <c r="K151" s="70"/>
      <c r="L151" s="70"/>
      <c r="M151" s="70"/>
      <c r="N151" s="70"/>
      <c r="O151" s="70"/>
    </row>
    <row r="152" spans="1:15" x14ac:dyDescent="0.25">
      <c r="A152" s="37"/>
      <c r="B152" s="78"/>
      <c r="C152" s="70"/>
      <c r="D152" s="37"/>
      <c r="E152" s="70"/>
      <c r="F152" s="70"/>
      <c r="G152" s="37"/>
      <c r="H152" s="70"/>
      <c r="I152" s="70"/>
      <c r="J152" s="37"/>
      <c r="K152" s="70"/>
      <c r="L152" s="70"/>
      <c r="M152" s="70"/>
      <c r="N152" s="70"/>
      <c r="O152" s="70"/>
    </row>
    <row r="153" spans="1:15" x14ac:dyDescent="0.25">
      <c r="A153" s="37"/>
      <c r="B153" s="78"/>
      <c r="C153" s="70"/>
      <c r="D153" s="37"/>
      <c r="E153" s="70"/>
      <c r="F153" s="70"/>
      <c r="G153" s="37"/>
      <c r="H153" s="70"/>
      <c r="I153" s="70"/>
      <c r="J153" s="37"/>
      <c r="K153" s="70"/>
      <c r="L153" s="70"/>
      <c r="M153" s="70"/>
      <c r="N153" s="70"/>
      <c r="O153" s="70"/>
    </row>
    <row r="154" spans="1:15" x14ac:dyDescent="0.25">
      <c r="A154" s="37"/>
      <c r="B154" s="78"/>
      <c r="C154" s="70"/>
      <c r="D154" s="37"/>
      <c r="E154" s="70"/>
      <c r="F154" s="70"/>
      <c r="G154" s="37"/>
      <c r="H154" s="70"/>
      <c r="I154" s="70"/>
      <c r="J154" s="37"/>
      <c r="K154" s="70"/>
      <c r="L154" s="70"/>
      <c r="M154" s="70"/>
      <c r="N154" s="70"/>
      <c r="O154" s="70"/>
    </row>
    <row r="155" spans="1:15" x14ac:dyDescent="0.25">
      <c r="A155" s="37"/>
      <c r="B155" s="78"/>
      <c r="C155" s="70"/>
      <c r="D155" s="37"/>
      <c r="E155" s="70"/>
      <c r="F155" s="70"/>
      <c r="G155" s="37"/>
      <c r="H155" s="70"/>
      <c r="I155" s="70"/>
      <c r="J155" s="37"/>
      <c r="K155" s="70"/>
      <c r="L155" s="70"/>
      <c r="M155" s="70"/>
      <c r="N155" s="70"/>
      <c r="O155" s="70"/>
    </row>
    <row r="156" spans="1:15" x14ac:dyDescent="0.25">
      <c r="A156" s="37"/>
      <c r="B156" s="78"/>
      <c r="C156" s="70"/>
      <c r="D156" s="37"/>
      <c r="E156" s="70"/>
      <c r="F156" s="70"/>
      <c r="G156" s="37"/>
      <c r="H156" s="70"/>
      <c r="I156" s="70"/>
      <c r="J156" s="37"/>
      <c r="K156" s="70"/>
      <c r="L156" s="70"/>
      <c r="M156" s="70"/>
      <c r="N156" s="70"/>
      <c r="O156" s="70"/>
    </row>
    <row r="157" spans="1:15" x14ac:dyDescent="0.25">
      <c r="A157" s="37"/>
      <c r="B157" s="78"/>
      <c r="C157" s="70"/>
      <c r="D157" s="37"/>
      <c r="E157" s="70"/>
      <c r="F157" s="70"/>
      <c r="G157" s="37"/>
      <c r="H157" s="70"/>
      <c r="I157" s="70"/>
      <c r="J157" s="37"/>
      <c r="K157" s="70"/>
      <c r="L157" s="70"/>
      <c r="M157" s="70"/>
      <c r="N157" s="70"/>
      <c r="O157" s="70"/>
    </row>
    <row r="158" spans="1:15" x14ac:dyDescent="0.25">
      <c r="A158" s="37"/>
      <c r="B158" s="78"/>
      <c r="C158" s="70"/>
      <c r="D158" s="37"/>
      <c r="E158" s="70"/>
      <c r="F158" s="70"/>
      <c r="G158" s="37"/>
      <c r="H158" s="70"/>
      <c r="I158" s="70"/>
      <c r="J158" s="37"/>
      <c r="K158" s="70"/>
      <c r="L158" s="70"/>
      <c r="M158" s="70"/>
      <c r="N158" s="70"/>
      <c r="O158" s="70"/>
    </row>
    <row r="159" spans="1:15" x14ac:dyDescent="0.25">
      <c r="A159" s="37"/>
      <c r="B159" s="78"/>
      <c r="C159" s="70"/>
      <c r="D159" s="37"/>
      <c r="E159" s="70"/>
      <c r="F159" s="70"/>
      <c r="G159" s="37"/>
      <c r="H159" s="70"/>
      <c r="I159" s="70"/>
      <c r="J159" s="37"/>
      <c r="K159" s="70"/>
      <c r="L159" s="70"/>
      <c r="M159" s="70"/>
      <c r="N159" s="70"/>
      <c r="O159" s="70"/>
    </row>
    <row r="160" spans="1:15" x14ac:dyDescent="0.25">
      <c r="A160" s="37"/>
      <c r="B160" s="78"/>
      <c r="C160" s="70"/>
      <c r="D160" s="37"/>
      <c r="E160" s="70"/>
      <c r="F160" s="70"/>
      <c r="G160" s="37"/>
      <c r="H160" s="70"/>
      <c r="I160" s="70"/>
      <c r="J160" s="37"/>
      <c r="K160" s="70"/>
      <c r="L160" s="70"/>
      <c r="M160" s="70"/>
      <c r="N160" s="70"/>
      <c r="O160" s="70"/>
    </row>
    <row r="161" spans="1:15" x14ac:dyDescent="0.25">
      <c r="A161" s="37"/>
      <c r="B161" s="78"/>
      <c r="C161" s="70"/>
      <c r="D161" s="37"/>
      <c r="E161" s="70"/>
      <c r="F161" s="70"/>
      <c r="G161" s="37"/>
      <c r="H161" s="70"/>
      <c r="I161" s="70"/>
      <c r="J161" s="37"/>
      <c r="K161" s="70"/>
      <c r="L161" s="70"/>
      <c r="M161" s="70"/>
      <c r="N161" s="70"/>
      <c r="O161" s="70"/>
    </row>
    <row r="162" spans="1:15" x14ac:dyDescent="0.25">
      <c r="A162" s="37"/>
      <c r="B162" s="78"/>
      <c r="C162" s="70"/>
      <c r="D162" s="37"/>
      <c r="E162" s="70"/>
      <c r="F162" s="70"/>
      <c r="G162" s="37"/>
      <c r="H162" s="70"/>
      <c r="I162" s="70"/>
      <c r="J162" s="37"/>
      <c r="K162" s="70"/>
      <c r="L162" s="70"/>
      <c r="M162" s="70"/>
      <c r="N162" s="70"/>
      <c r="O162" s="70"/>
    </row>
    <row r="163" spans="1:15" x14ac:dyDescent="0.25">
      <c r="A163" s="37"/>
      <c r="B163" s="78"/>
      <c r="C163" s="70"/>
      <c r="D163" s="37"/>
      <c r="E163" s="70"/>
      <c r="F163" s="70"/>
      <c r="G163" s="37"/>
      <c r="H163" s="70"/>
      <c r="I163" s="70"/>
      <c r="J163" s="37"/>
      <c r="K163" s="70"/>
      <c r="L163" s="70"/>
      <c r="M163" s="70"/>
      <c r="N163" s="70"/>
      <c r="O163" s="70"/>
    </row>
    <row r="164" spans="1:15" x14ac:dyDescent="0.25">
      <c r="A164" s="37"/>
      <c r="B164" s="78"/>
      <c r="C164" s="70"/>
      <c r="D164" s="37"/>
      <c r="E164" s="70"/>
      <c r="F164" s="70"/>
      <c r="G164" s="37"/>
      <c r="H164" s="70"/>
      <c r="I164" s="70"/>
      <c r="J164" s="37"/>
      <c r="K164" s="70"/>
      <c r="L164" s="70"/>
      <c r="M164" s="70"/>
      <c r="N164" s="70"/>
      <c r="O164" s="70"/>
    </row>
    <row r="165" spans="1:15" x14ac:dyDescent="0.25">
      <c r="A165" s="37"/>
      <c r="B165" s="78"/>
      <c r="C165" s="70"/>
      <c r="D165" s="37"/>
      <c r="E165" s="70"/>
      <c r="F165" s="70"/>
      <c r="G165" s="37"/>
      <c r="H165" s="70"/>
      <c r="I165" s="70"/>
      <c r="J165" s="37"/>
      <c r="K165" s="70"/>
      <c r="L165" s="70"/>
      <c r="M165" s="70"/>
      <c r="N165" s="70"/>
      <c r="O165" s="70"/>
    </row>
    <row r="166" spans="1:15" x14ac:dyDescent="0.25">
      <c r="A166" s="37"/>
      <c r="B166" s="78"/>
      <c r="C166" s="70"/>
      <c r="D166" s="37"/>
      <c r="E166" s="70"/>
      <c r="F166" s="70"/>
      <c r="G166" s="37"/>
      <c r="H166" s="70"/>
      <c r="I166" s="70"/>
      <c r="J166" s="37"/>
      <c r="K166" s="70"/>
      <c r="L166" s="70"/>
      <c r="M166" s="70"/>
      <c r="N166" s="70"/>
      <c r="O166" s="70"/>
    </row>
    <row r="167" spans="1:15" x14ac:dyDescent="0.25">
      <c r="A167" s="37"/>
      <c r="B167" s="78"/>
      <c r="C167" s="70"/>
      <c r="D167" s="37"/>
      <c r="E167" s="70"/>
      <c r="F167" s="70"/>
      <c r="G167" s="37"/>
      <c r="H167" s="70"/>
      <c r="I167" s="70"/>
      <c r="J167" s="37"/>
      <c r="K167" s="70"/>
      <c r="L167" s="70"/>
      <c r="M167" s="70"/>
      <c r="N167" s="70"/>
      <c r="O167" s="70"/>
    </row>
    <row r="168" spans="1:15" x14ac:dyDescent="0.25">
      <c r="A168" s="37"/>
      <c r="B168" s="78"/>
      <c r="C168" s="70"/>
      <c r="D168" s="37"/>
      <c r="E168" s="70"/>
      <c r="F168" s="70"/>
      <c r="G168" s="37"/>
      <c r="H168" s="70"/>
      <c r="I168" s="70"/>
      <c r="J168" s="37"/>
      <c r="K168" s="70"/>
      <c r="L168" s="70"/>
      <c r="M168" s="70"/>
      <c r="N168" s="70"/>
      <c r="O168" s="70"/>
    </row>
    <row r="169" spans="1:15" x14ac:dyDescent="0.25">
      <c r="A169" s="37"/>
      <c r="B169" s="78"/>
      <c r="C169" s="70"/>
      <c r="D169" s="37"/>
      <c r="E169" s="70"/>
      <c r="F169" s="70"/>
      <c r="G169" s="37"/>
      <c r="H169" s="70"/>
      <c r="I169" s="70"/>
      <c r="J169" s="37"/>
      <c r="K169" s="70"/>
      <c r="L169" s="70"/>
      <c r="M169" s="70"/>
      <c r="N169" s="70"/>
      <c r="O169" s="70"/>
    </row>
    <row r="170" spans="1:15" x14ac:dyDescent="0.25">
      <c r="A170" s="37"/>
      <c r="B170" s="78"/>
      <c r="C170" s="70"/>
      <c r="D170" s="37"/>
      <c r="E170" s="70"/>
      <c r="F170" s="70"/>
      <c r="G170" s="37"/>
      <c r="H170" s="70"/>
      <c r="I170" s="70"/>
      <c r="J170" s="37"/>
      <c r="K170" s="70"/>
      <c r="L170" s="70"/>
      <c r="M170" s="70"/>
      <c r="N170" s="70"/>
      <c r="O170" s="70"/>
    </row>
    <row r="171" spans="1:15" x14ac:dyDescent="0.25">
      <c r="A171" s="37"/>
      <c r="B171" s="78"/>
      <c r="C171" s="70"/>
      <c r="D171" s="37"/>
      <c r="E171" s="70"/>
      <c r="F171" s="70"/>
      <c r="G171" s="37"/>
      <c r="H171" s="70"/>
      <c r="I171" s="70"/>
      <c r="J171" s="37"/>
      <c r="K171" s="70"/>
      <c r="L171" s="70"/>
      <c r="M171" s="70"/>
      <c r="N171" s="70"/>
      <c r="O171" s="70"/>
    </row>
    <row r="172" spans="1:15" x14ac:dyDescent="0.25">
      <c r="A172" s="37"/>
      <c r="B172" s="78"/>
      <c r="C172" s="70"/>
      <c r="D172" s="37"/>
      <c r="E172" s="70"/>
      <c r="F172" s="70"/>
      <c r="G172" s="37"/>
      <c r="H172" s="70"/>
      <c r="I172" s="70"/>
      <c r="J172" s="37"/>
      <c r="K172" s="70"/>
      <c r="L172" s="70"/>
      <c r="M172" s="70"/>
      <c r="N172" s="70"/>
      <c r="O172" s="70"/>
    </row>
    <row r="173" spans="1:15" x14ac:dyDescent="0.25">
      <c r="A173" s="37"/>
      <c r="B173" s="78"/>
      <c r="C173" s="70"/>
      <c r="D173" s="37"/>
      <c r="E173" s="70"/>
      <c r="F173" s="70"/>
      <c r="G173" s="37"/>
      <c r="H173" s="70"/>
      <c r="I173" s="70"/>
      <c r="J173" s="37"/>
      <c r="K173" s="70"/>
      <c r="L173" s="70"/>
      <c r="M173" s="70"/>
      <c r="N173" s="70"/>
      <c r="O173" s="70"/>
    </row>
    <row r="174" spans="1:15" x14ac:dyDescent="0.25">
      <c r="A174" s="37"/>
      <c r="B174" s="78"/>
      <c r="C174" s="70"/>
      <c r="D174" s="37"/>
      <c r="E174" s="70"/>
      <c r="F174" s="70"/>
      <c r="G174" s="37"/>
      <c r="H174" s="70"/>
      <c r="I174" s="70"/>
      <c r="J174" s="37"/>
      <c r="K174" s="70"/>
      <c r="L174" s="70"/>
      <c r="M174" s="70"/>
      <c r="N174" s="70"/>
      <c r="O174" s="70"/>
    </row>
    <row r="175" spans="1:15" x14ac:dyDescent="0.25">
      <c r="A175" s="37"/>
      <c r="B175" s="78"/>
      <c r="C175" s="70"/>
      <c r="D175" s="37"/>
      <c r="E175" s="70"/>
      <c r="F175" s="70"/>
      <c r="G175" s="37"/>
      <c r="H175" s="70"/>
      <c r="I175" s="70"/>
      <c r="J175" s="37"/>
      <c r="K175" s="70"/>
      <c r="L175" s="70"/>
      <c r="M175" s="70"/>
      <c r="N175" s="70"/>
      <c r="O175" s="70"/>
    </row>
    <row r="176" spans="1:15" x14ac:dyDescent="0.25">
      <c r="A176" s="37"/>
      <c r="B176" s="78"/>
      <c r="C176" s="70"/>
      <c r="D176" s="37"/>
      <c r="E176" s="70"/>
      <c r="F176" s="70"/>
      <c r="G176" s="37"/>
      <c r="H176" s="70"/>
      <c r="I176" s="70"/>
      <c r="J176" s="37"/>
      <c r="K176" s="70"/>
      <c r="L176" s="70"/>
      <c r="M176" s="70"/>
      <c r="N176" s="70"/>
      <c r="O176" s="70"/>
    </row>
    <row r="177" spans="1:15" x14ac:dyDescent="0.25">
      <c r="A177" s="37"/>
      <c r="B177" s="78"/>
      <c r="C177" s="70"/>
      <c r="D177" s="37"/>
      <c r="E177" s="70"/>
      <c r="F177" s="70"/>
      <c r="G177" s="37"/>
      <c r="H177" s="70"/>
      <c r="I177" s="70"/>
      <c r="J177" s="37"/>
      <c r="K177" s="70"/>
      <c r="L177" s="70"/>
      <c r="M177" s="70"/>
      <c r="N177" s="70"/>
      <c r="O177" s="70"/>
    </row>
    <row r="178" spans="1:15" x14ac:dyDescent="0.25">
      <c r="A178" s="37"/>
      <c r="B178" s="78"/>
      <c r="C178" s="70"/>
      <c r="D178" s="37"/>
      <c r="E178" s="70"/>
      <c r="F178" s="70"/>
      <c r="G178" s="37"/>
      <c r="H178" s="70"/>
      <c r="I178" s="70"/>
      <c r="J178" s="37"/>
      <c r="K178" s="70"/>
      <c r="L178" s="70"/>
      <c r="M178" s="70"/>
      <c r="N178" s="70"/>
      <c r="O178" s="70"/>
    </row>
    <row r="179" spans="1:15" x14ac:dyDescent="0.25">
      <c r="A179" s="37"/>
      <c r="B179" s="78"/>
      <c r="C179" s="70"/>
      <c r="D179" s="37"/>
      <c r="E179" s="70"/>
      <c r="F179" s="70"/>
      <c r="G179" s="37"/>
      <c r="H179" s="70"/>
      <c r="I179" s="70"/>
      <c r="J179" s="37"/>
      <c r="K179" s="70"/>
      <c r="L179" s="70"/>
      <c r="M179" s="70"/>
      <c r="N179" s="70"/>
      <c r="O179" s="70"/>
    </row>
    <row r="180" spans="1:15" x14ac:dyDescent="0.25">
      <c r="A180" s="37"/>
      <c r="B180" s="78"/>
      <c r="C180" s="70"/>
      <c r="D180" s="37"/>
      <c r="E180" s="70"/>
      <c r="F180" s="70"/>
      <c r="G180" s="37"/>
      <c r="H180" s="70"/>
      <c r="I180" s="70"/>
      <c r="J180" s="37"/>
      <c r="K180" s="70"/>
      <c r="L180" s="70"/>
      <c r="M180" s="70"/>
      <c r="N180" s="70"/>
      <c r="O180" s="70"/>
    </row>
    <row r="181" spans="1:15" x14ac:dyDescent="0.25">
      <c r="A181" s="37"/>
      <c r="B181" s="78"/>
      <c r="C181" s="70"/>
      <c r="D181" s="37"/>
      <c r="E181" s="70"/>
      <c r="F181" s="70"/>
      <c r="G181" s="37"/>
      <c r="H181" s="70"/>
      <c r="I181" s="70"/>
      <c r="J181" s="37"/>
      <c r="K181" s="70"/>
      <c r="L181" s="70"/>
      <c r="M181" s="70"/>
      <c r="N181" s="70"/>
      <c r="O181" s="70"/>
    </row>
    <row r="182" spans="1:15" x14ac:dyDescent="0.25">
      <c r="A182" s="37"/>
      <c r="B182" s="78"/>
      <c r="C182" s="70"/>
      <c r="D182" s="37"/>
      <c r="E182" s="70"/>
      <c r="F182" s="70"/>
      <c r="G182" s="37"/>
      <c r="H182" s="70"/>
      <c r="I182" s="70"/>
      <c r="J182" s="37"/>
      <c r="K182" s="70"/>
      <c r="L182" s="70"/>
      <c r="M182" s="70"/>
      <c r="N182" s="70"/>
      <c r="O182" s="70"/>
    </row>
    <row r="183" spans="1:15" x14ac:dyDescent="0.25">
      <c r="A183" s="37"/>
      <c r="B183" s="78"/>
      <c r="C183" s="70"/>
      <c r="D183" s="37"/>
      <c r="E183" s="70"/>
      <c r="F183" s="70"/>
      <c r="G183" s="37"/>
      <c r="H183" s="70"/>
      <c r="I183" s="70"/>
      <c r="J183" s="37"/>
      <c r="K183" s="70"/>
      <c r="L183" s="70"/>
      <c r="M183" s="70"/>
      <c r="N183" s="70"/>
      <c r="O183" s="70"/>
    </row>
    <row r="184" spans="1:15" x14ac:dyDescent="0.25">
      <c r="A184" s="37"/>
      <c r="B184" s="78"/>
      <c r="C184" s="70"/>
      <c r="D184" s="37"/>
      <c r="E184" s="70"/>
      <c r="F184" s="70"/>
      <c r="G184" s="37"/>
      <c r="H184" s="70"/>
      <c r="I184" s="70"/>
      <c r="J184" s="37"/>
      <c r="K184" s="70"/>
      <c r="L184" s="70"/>
      <c r="M184" s="70"/>
      <c r="N184" s="70"/>
      <c r="O184" s="70"/>
    </row>
    <row r="185" spans="1:15" x14ac:dyDescent="0.25">
      <c r="A185" s="37"/>
      <c r="B185" s="78"/>
      <c r="C185" s="70"/>
      <c r="D185" s="37"/>
      <c r="E185" s="70"/>
      <c r="F185" s="70"/>
      <c r="G185" s="37"/>
      <c r="H185" s="70"/>
      <c r="I185" s="70"/>
      <c r="J185" s="37"/>
      <c r="K185" s="70"/>
      <c r="L185" s="70"/>
      <c r="M185" s="70"/>
      <c r="N185" s="70"/>
      <c r="O185" s="70"/>
    </row>
    <row r="186" spans="1:15" x14ac:dyDescent="0.25">
      <c r="A186" s="37"/>
      <c r="B186" s="78"/>
      <c r="C186" s="70"/>
      <c r="D186" s="37"/>
      <c r="E186" s="70"/>
      <c r="F186" s="70"/>
      <c r="G186" s="37"/>
      <c r="H186" s="70"/>
      <c r="I186" s="70"/>
      <c r="J186" s="37"/>
      <c r="K186" s="70"/>
      <c r="L186" s="70"/>
      <c r="M186" s="70"/>
      <c r="N186" s="70"/>
      <c r="O186" s="70"/>
    </row>
    <row r="187" spans="1:15" x14ac:dyDescent="0.25">
      <c r="A187" s="37"/>
      <c r="B187" s="78"/>
      <c r="C187" s="70"/>
      <c r="D187" s="37"/>
      <c r="E187" s="70"/>
      <c r="F187" s="70"/>
      <c r="G187" s="37"/>
      <c r="H187" s="70"/>
      <c r="I187" s="70"/>
      <c r="J187" s="37"/>
      <c r="K187" s="70"/>
      <c r="L187" s="70"/>
      <c r="M187" s="70"/>
      <c r="N187" s="70"/>
      <c r="O187" s="70"/>
    </row>
    <row r="188" spans="1:15" x14ac:dyDescent="0.25">
      <c r="A188" s="37"/>
      <c r="B188" s="78"/>
      <c r="C188" s="70"/>
      <c r="D188" s="37"/>
      <c r="E188" s="70"/>
      <c r="F188" s="70"/>
      <c r="G188" s="37"/>
      <c r="H188" s="70"/>
      <c r="I188" s="70"/>
      <c r="J188" s="37"/>
      <c r="K188" s="70"/>
      <c r="L188" s="70"/>
      <c r="M188" s="70"/>
      <c r="N188" s="70"/>
      <c r="O188" s="70"/>
    </row>
    <row r="189" spans="1:15" x14ac:dyDescent="0.25">
      <c r="A189" s="37"/>
      <c r="B189" s="78"/>
      <c r="C189" s="70"/>
      <c r="D189" s="37"/>
      <c r="E189" s="70"/>
      <c r="F189" s="70"/>
      <c r="G189" s="37"/>
      <c r="H189" s="70"/>
      <c r="I189" s="70"/>
      <c r="J189" s="37"/>
      <c r="K189" s="70"/>
      <c r="L189" s="70"/>
      <c r="M189" s="70"/>
      <c r="N189" s="70"/>
      <c r="O189" s="70"/>
    </row>
    <row r="190" spans="1:15" x14ac:dyDescent="0.25">
      <c r="A190" s="37"/>
      <c r="B190" s="78"/>
      <c r="C190" s="70"/>
      <c r="D190" s="37"/>
      <c r="E190" s="70"/>
      <c r="F190" s="70"/>
      <c r="G190" s="37"/>
      <c r="H190" s="70"/>
      <c r="I190" s="70"/>
      <c r="J190" s="37"/>
      <c r="K190" s="70"/>
      <c r="L190" s="70"/>
      <c r="M190" s="70"/>
      <c r="N190" s="70"/>
      <c r="O190" s="70"/>
    </row>
    <row r="191" spans="1:15" x14ac:dyDescent="0.25">
      <c r="A191" s="37"/>
      <c r="B191" s="78"/>
      <c r="C191" s="70"/>
      <c r="D191" s="37"/>
      <c r="E191" s="70"/>
      <c r="F191" s="70"/>
      <c r="G191" s="37"/>
      <c r="H191" s="70"/>
      <c r="I191" s="70"/>
      <c r="J191" s="37"/>
      <c r="K191" s="70"/>
      <c r="L191" s="70"/>
      <c r="M191" s="70"/>
      <c r="N191" s="70"/>
      <c r="O191" s="70"/>
    </row>
    <row r="192" spans="1:15" x14ac:dyDescent="0.25">
      <c r="A192" s="37"/>
      <c r="B192" s="78"/>
      <c r="C192" s="70"/>
      <c r="D192" s="37"/>
      <c r="E192" s="70"/>
      <c r="F192" s="70"/>
      <c r="G192" s="37"/>
      <c r="H192" s="70"/>
      <c r="I192" s="70"/>
      <c r="J192" s="37"/>
      <c r="K192" s="70"/>
      <c r="L192" s="70"/>
      <c r="M192" s="70"/>
      <c r="N192" s="70"/>
      <c r="O192" s="70"/>
    </row>
    <row r="193" spans="1:15" x14ac:dyDescent="0.25">
      <c r="A193" s="37"/>
      <c r="B193" s="78"/>
      <c r="C193" s="70"/>
      <c r="D193" s="37"/>
      <c r="E193" s="70"/>
      <c r="F193" s="70"/>
      <c r="G193" s="37"/>
      <c r="H193" s="70"/>
      <c r="I193" s="70"/>
      <c r="J193" s="37"/>
      <c r="K193" s="70"/>
      <c r="L193" s="70"/>
      <c r="M193" s="70"/>
      <c r="N193" s="70"/>
      <c r="O193" s="70"/>
    </row>
    <row r="194" spans="1:15" x14ac:dyDescent="0.25">
      <c r="A194" s="37"/>
      <c r="B194" s="78"/>
      <c r="C194" s="70"/>
      <c r="D194" s="37"/>
      <c r="E194" s="70"/>
      <c r="F194" s="70"/>
      <c r="G194" s="37"/>
      <c r="H194" s="70"/>
      <c r="I194" s="70"/>
      <c r="J194" s="37"/>
      <c r="K194" s="70"/>
      <c r="L194" s="70"/>
      <c r="M194" s="70"/>
      <c r="N194" s="70"/>
      <c r="O194" s="70"/>
    </row>
    <row r="195" spans="1:15" x14ac:dyDescent="0.25">
      <c r="A195" s="37"/>
      <c r="B195" s="78"/>
      <c r="C195" s="70"/>
      <c r="D195" s="37"/>
      <c r="E195" s="70"/>
      <c r="F195" s="70"/>
      <c r="G195" s="37"/>
      <c r="H195" s="70"/>
      <c r="I195" s="70"/>
      <c r="J195" s="37"/>
      <c r="K195" s="70"/>
      <c r="L195" s="70"/>
      <c r="M195" s="70"/>
      <c r="N195" s="70"/>
      <c r="O195" s="70"/>
    </row>
    <row r="196" spans="1:15" x14ac:dyDescent="0.25">
      <c r="A196" s="37"/>
      <c r="B196" s="78"/>
      <c r="C196" s="70"/>
      <c r="D196" s="37"/>
      <c r="E196" s="70"/>
      <c r="F196" s="70"/>
      <c r="G196" s="37"/>
      <c r="H196" s="70"/>
      <c r="I196" s="70"/>
      <c r="J196" s="37"/>
      <c r="K196" s="70"/>
      <c r="L196" s="70"/>
      <c r="M196" s="70"/>
      <c r="N196" s="70"/>
      <c r="O196" s="70"/>
    </row>
    <row r="197" spans="1:15" x14ac:dyDescent="0.25">
      <c r="A197" s="37"/>
      <c r="B197" s="78"/>
      <c r="C197" s="70"/>
      <c r="D197" s="37"/>
      <c r="E197" s="70"/>
      <c r="F197" s="70"/>
      <c r="G197" s="37"/>
      <c r="H197" s="70"/>
      <c r="I197" s="70"/>
      <c r="J197" s="37"/>
      <c r="K197" s="70"/>
      <c r="L197" s="70"/>
      <c r="M197" s="70"/>
      <c r="N197" s="70"/>
      <c r="O197" s="70"/>
    </row>
    <row r="198" spans="1:15" x14ac:dyDescent="0.25">
      <c r="A198" s="37"/>
      <c r="B198" s="78"/>
      <c r="C198" s="70"/>
      <c r="D198" s="37"/>
      <c r="E198" s="70"/>
      <c r="F198" s="70"/>
      <c r="G198" s="37"/>
      <c r="H198" s="70"/>
      <c r="I198" s="70"/>
      <c r="J198" s="37"/>
      <c r="K198" s="70"/>
      <c r="L198" s="70"/>
      <c r="M198" s="70"/>
      <c r="N198" s="70"/>
      <c r="O198" s="70"/>
    </row>
    <row r="199" spans="1:15" x14ac:dyDescent="0.25">
      <c r="A199" s="37"/>
      <c r="B199" s="78"/>
      <c r="C199" s="70"/>
      <c r="D199" s="37"/>
      <c r="E199" s="70"/>
      <c r="F199" s="70"/>
      <c r="G199" s="37"/>
      <c r="H199" s="70"/>
      <c r="I199" s="70"/>
      <c r="J199" s="37"/>
      <c r="K199" s="70"/>
      <c r="L199" s="70"/>
      <c r="M199" s="70"/>
      <c r="N199" s="70"/>
      <c r="O199" s="70"/>
    </row>
    <row r="200" spans="1:15" x14ac:dyDescent="0.25">
      <c r="A200" s="37"/>
      <c r="B200" s="78"/>
      <c r="C200" s="70"/>
      <c r="D200" s="37"/>
      <c r="E200" s="70"/>
      <c r="F200" s="70"/>
      <c r="G200" s="37"/>
      <c r="H200" s="70"/>
      <c r="I200" s="70"/>
      <c r="J200" s="37"/>
      <c r="K200" s="70"/>
      <c r="L200" s="70"/>
      <c r="M200" s="70"/>
      <c r="N200" s="70"/>
      <c r="O200" s="70"/>
    </row>
    <row r="201" spans="1:15" x14ac:dyDescent="0.25">
      <c r="A201" s="37"/>
      <c r="B201" s="78"/>
      <c r="C201" s="70"/>
      <c r="D201" s="37"/>
      <c r="E201" s="70"/>
      <c r="F201" s="70"/>
      <c r="G201" s="37"/>
      <c r="H201" s="70"/>
      <c r="I201" s="70"/>
      <c r="J201" s="37"/>
      <c r="K201" s="70"/>
      <c r="L201" s="70"/>
      <c r="M201" s="70"/>
      <c r="N201" s="70"/>
      <c r="O201" s="70"/>
    </row>
    <row r="202" spans="1:15" x14ac:dyDescent="0.25">
      <c r="A202" s="37"/>
      <c r="B202" s="78"/>
      <c r="C202" s="70"/>
      <c r="D202" s="37"/>
      <c r="E202" s="70"/>
      <c r="F202" s="70"/>
      <c r="G202" s="37"/>
      <c r="H202" s="70"/>
      <c r="I202" s="70"/>
      <c r="J202" s="37"/>
      <c r="K202" s="70"/>
      <c r="L202" s="70"/>
      <c r="M202" s="70"/>
      <c r="N202" s="70"/>
      <c r="O202" s="70"/>
    </row>
    <row r="203" spans="1:15" x14ac:dyDescent="0.25">
      <c r="A203" s="37"/>
      <c r="B203" s="78"/>
      <c r="C203" s="70"/>
      <c r="D203" s="37"/>
      <c r="E203" s="70"/>
      <c r="F203" s="70"/>
      <c r="G203" s="37"/>
      <c r="H203" s="70"/>
      <c r="I203" s="70"/>
      <c r="J203" s="37"/>
      <c r="K203" s="70"/>
      <c r="L203" s="70"/>
      <c r="M203" s="70"/>
      <c r="N203" s="70"/>
      <c r="O203" s="70"/>
    </row>
    <row r="204" spans="1:15" x14ac:dyDescent="0.25">
      <c r="A204" s="37"/>
      <c r="B204" s="78"/>
      <c r="C204" s="70"/>
      <c r="D204" s="37"/>
      <c r="E204" s="70"/>
      <c r="F204" s="70"/>
      <c r="G204" s="37"/>
      <c r="H204" s="70"/>
      <c r="I204" s="70"/>
      <c r="J204" s="37"/>
      <c r="K204" s="70"/>
      <c r="L204" s="70"/>
      <c r="M204" s="70"/>
      <c r="N204" s="70"/>
      <c r="O204" s="70"/>
    </row>
    <row r="205" spans="1:15" x14ac:dyDescent="0.25">
      <c r="A205" s="37"/>
      <c r="B205" s="78"/>
      <c r="C205" s="70"/>
      <c r="D205" s="37"/>
      <c r="E205" s="70"/>
      <c r="F205" s="70"/>
      <c r="G205" s="37"/>
      <c r="H205" s="70"/>
      <c r="I205" s="70"/>
      <c r="J205" s="37"/>
      <c r="K205" s="70"/>
      <c r="L205" s="70"/>
      <c r="M205" s="70"/>
      <c r="N205" s="70"/>
      <c r="O205" s="70"/>
    </row>
    <row r="206" spans="1:15" x14ac:dyDescent="0.25">
      <c r="A206" s="37"/>
      <c r="B206" s="78"/>
      <c r="C206" s="70"/>
      <c r="D206" s="37"/>
      <c r="E206" s="70"/>
      <c r="F206" s="70"/>
      <c r="G206" s="37"/>
      <c r="H206" s="70"/>
      <c r="I206" s="70"/>
      <c r="J206" s="37"/>
      <c r="K206" s="70"/>
      <c r="L206" s="70"/>
      <c r="M206" s="70"/>
      <c r="N206" s="70"/>
      <c r="O206" s="70"/>
    </row>
    <row r="207" spans="1:15" x14ac:dyDescent="0.25">
      <c r="A207" s="37"/>
      <c r="B207" s="78"/>
      <c r="C207" s="70"/>
      <c r="D207" s="37"/>
      <c r="E207" s="70"/>
      <c r="F207" s="70"/>
      <c r="G207" s="37"/>
      <c r="H207" s="70"/>
      <c r="I207" s="70"/>
      <c r="J207" s="37"/>
      <c r="K207" s="70"/>
      <c r="L207" s="70"/>
      <c r="M207" s="70"/>
      <c r="N207" s="70"/>
      <c r="O207" s="70"/>
    </row>
    <row r="208" spans="1:15" x14ac:dyDescent="0.25">
      <c r="A208" s="37"/>
      <c r="B208" s="78"/>
      <c r="C208" s="70"/>
      <c r="D208" s="37"/>
      <c r="E208" s="70"/>
      <c r="F208" s="70"/>
      <c r="G208" s="37"/>
      <c r="H208" s="70"/>
      <c r="I208" s="70"/>
      <c r="J208" s="37"/>
      <c r="K208" s="70"/>
      <c r="L208" s="70"/>
      <c r="M208" s="70"/>
      <c r="N208" s="70"/>
      <c r="O208" s="70"/>
    </row>
    <row r="209" spans="1:15" x14ac:dyDescent="0.25">
      <c r="A209" s="37"/>
      <c r="B209" s="78"/>
      <c r="C209" s="70"/>
      <c r="D209" s="37"/>
      <c r="E209" s="70"/>
      <c r="F209" s="70"/>
      <c r="G209" s="37"/>
      <c r="H209" s="70"/>
      <c r="I209" s="70"/>
      <c r="J209" s="37"/>
      <c r="K209" s="70"/>
      <c r="L209" s="70"/>
      <c r="M209" s="70"/>
      <c r="N209" s="70"/>
      <c r="O209" s="70"/>
    </row>
    <row r="210" spans="1:15" x14ac:dyDescent="0.25">
      <c r="A210" s="37"/>
      <c r="B210" s="78"/>
      <c r="C210" s="70"/>
      <c r="D210" s="37"/>
      <c r="E210" s="70"/>
      <c r="F210" s="70"/>
      <c r="G210" s="37"/>
      <c r="H210" s="70"/>
      <c r="I210" s="70"/>
      <c r="J210" s="37"/>
      <c r="K210" s="70"/>
      <c r="L210" s="70"/>
      <c r="M210" s="70"/>
      <c r="N210" s="70"/>
      <c r="O210" s="70"/>
    </row>
    <row r="211" spans="1:15" x14ac:dyDescent="0.25">
      <c r="A211" s="37"/>
      <c r="B211" s="78"/>
      <c r="C211" s="70"/>
      <c r="D211" s="37"/>
      <c r="E211" s="70"/>
      <c r="F211" s="70"/>
      <c r="G211" s="37"/>
      <c r="H211" s="70"/>
      <c r="I211" s="70"/>
      <c r="J211" s="37"/>
      <c r="K211" s="70"/>
      <c r="L211" s="70"/>
      <c r="M211" s="70"/>
      <c r="N211" s="70"/>
      <c r="O211" s="70"/>
    </row>
    <row r="212" spans="1:15" x14ac:dyDescent="0.25">
      <c r="A212" s="37"/>
      <c r="B212" s="78"/>
      <c r="C212" s="70"/>
      <c r="D212" s="37"/>
      <c r="E212" s="70"/>
      <c r="F212" s="70"/>
      <c r="G212" s="37"/>
      <c r="H212" s="70"/>
      <c r="I212" s="70"/>
      <c r="J212" s="37"/>
      <c r="K212" s="70"/>
      <c r="L212" s="70"/>
      <c r="M212" s="70"/>
      <c r="N212" s="70"/>
      <c r="O212" s="70"/>
    </row>
    <row r="213" spans="1:15" x14ac:dyDescent="0.25">
      <c r="A213" s="37"/>
      <c r="B213" s="78"/>
      <c r="C213" s="70"/>
      <c r="D213" s="37"/>
      <c r="E213" s="70"/>
      <c r="F213" s="70"/>
      <c r="G213" s="37"/>
      <c r="H213" s="70"/>
      <c r="I213" s="70"/>
      <c r="J213" s="37"/>
      <c r="K213" s="70"/>
      <c r="L213" s="70"/>
      <c r="M213" s="70"/>
      <c r="N213" s="70"/>
      <c r="O213" s="70"/>
    </row>
    <row r="214" spans="1:15" x14ac:dyDescent="0.25">
      <c r="A214" s="37"/>
      <c r="B214" s="78"/>
      <c r="C214" s="70"/>
      <c r="D214" s="37"/>
      <c r="E214" s="70"/>
      <c r="F214" s="70"/>
      <c r="G214" s="37"/>
      <c r="H214" s="70"/>
      <c r="I214" s="70"/>
      <c r="J214" s="37"/>
      <c r="K214" s="70"/>
      <c r="L214" s="70"/>
      <c r="M214" s="70"/>
      <c r="N214" s="70"/>
      <c r="O214" s="70"/>
    </row>
    <row r="215" spans="1:15" x14ac:dyDescent="0.25">
      <c r="A215" s="37"/>
      <c r="B215" s="78"/>
      <c r="C215" s="70"/>
      <c r="D215" s="37"/>
      <c r="E215" s="70"/>
      <c r="F215" s="70"/>
      <c r="G215" s="37"/>
      <c r="H215" s="70"/>
      <c r="I215" s="70"/>
      <c r="J215" s="37"/>
      <c r="K215" s="70"/>
      <c r="L215" s="70"/>
      <c r="M215" s="70"/>
      <c r="N215" s="70"/>
      <c r="O215" s="70"/>
    </row>
    <row r="216" spans="1:15" x14ac:dyDescent="0.25">
      <c r="A216" s="37"/>
      <c r="B216" s="78"/>
      <c r="C216" s="70"/>
      <c r="D216" s="37"/>
      <c r="E216" s="70"/>
      <c r="F216" s="70"/>
      <c r="G216" s="37"/>
      <c r="H216" s="70"/>
      <c r="I216" s="70"/>
      <c r="J216" s="37"/>
      <c r="K216" s="70"/>
      <c r="L216" s="70"/>
      <c r="M216" s="70"/>
      <c r="N216" s="70"/>
      <c r="O216" s="70"/>
    </row>
    <row r="217" spans="1:15" x14ac:dyDescent="0.25">
      <c r="A217" s="37"/>
      <c r="B217" s="78"/>
      <c r="C217" s="70"/>
      <c r="D217" s="37"/>
      <c r="E217" s="70"/>
      <c r="F217" s="70"/>
      <c r="G217" s="37"/>
      <c r="H217" s="70"/>
      <c r="I217" s="70"/>
      <c r="J217" s="37"/>
      <c r="K217" s="70"/>
      <c r="L217" s="70"/>
      <c r="M217" s="70"/>
      <c r="N217" s="70"/>
      <c r="O217" s="70"/>
    </row>
    <row r="218" spans="1:15" x14ac:dyDescent="0.25">
      <c r="A218" s="37"/>
      <c r="B218" s="78"/>
      <c r="C218" s="70"/>
      <c r="D218" s="37"/>
      <c r="E218" s="70"/>
      <c r="F218" s="70"/>
      <c r="G218" s="37"/>
      <c r="H218" s="70"/>
      <c r="I218" s="70"/>
      <c r="J218" s="37"/>
      <c r="K218" s="70"/>
      <c r="L218" s="70"/>
      <c r="M218" s="70"/>
      <c r="N218" s="70"/>
      <c r="O218" s="70"/>
    </row>
    <row r="219" spans="1:15" x14ac:dyDescent="0.25">
      <c r="A219" s="37"/>
      <c r="B219" s="78"/>
      <c r="C219" s="70"/>
      <c r="D219" s="37"/>
      <c r="E219" s="70"/>
      <c r="F219" s="70"/>
      <c r="G219" s="37"/>
      <c r="H219" s="70"/>
      <c r="I219" s="70"/>
      <c r="J219" s="37"/>
      <c r="K219" s="70"/>
      <c r="L219" s="70"/>
      <c r="M219" s="70"/>
      <c r="N219" s="70"/>
      <c r="O219" s="70"/>
    </row>
    <row r="220" spans="1:15" x14ac:dyDescent="0.25">
      <c r="A220" s="37"/>
      <c r="B220" s="78"/>
      <c r="C220" s="70"/>
      <c r="D220" s="37"/>
      <c r="E220" s="70"/>
      <c r="F220" s="70"/>
      <c r="G220" s="37"/>
      <c r="H220" s="70"/>
      <c r="I220" s="70"/>
      <c r="J220" s="37"/>
      <c r="K220" s="70"/>
      <c r="L220" s="70"/>
      <c r="M220" s="70"/>
      <c r="N220" s="70"/>
      <c r="O220" s="70"/>
    </row>
    <row r="221" spans="1:15" x14ac:dyDescent="0.25">
      <c r="A221" s="37"/>
      <c r="B221" s="78"/>
      <c r="C221" s="70"/>
      <c r="D221" s="37"/>
      <c r="E221" s="70"/>
      <c r="F221" s="70"/>
      <c r="G221" s="37"/>
      <c r="H221" s="70"/>
      <c r="I221" s="70"/>
      <c r="J221" s="37"/>
      <c r="K221" s="70"/>
      <c r="L221" s="70"/>
      <c r="M221" s="70"/>
      <c r="N221" s="70"/>
      <c r="O221" s="70"/>
    </row>
    <row r="222" spans="1:15" x14ac:dyDescent="0.25">
      <c r="A222" s="37"/>
      <c r="B222" s="78"/>
      <c r="C222" s="70"/>
      <c r="D222" s="37"/>
      <c r="E222" s="70"/>
      <c r="F222" s="70"/>
      <c r="G222" s="37"/>
      <c r="H222" s="70"/>
      <c r="I222" s="70"/>
      <c r="J222" s="37"/>
      <c r="K222" s="70"/>
      <c r="L222" s="70"/>
      <c r="M222" s="70"/>
      <c r="N222" s="70"/>
      <c r="O222" s="70"/>
    </row>
    <row r="223" spans="1:15" x14ac:dyDescent="0.25">
      <c r="A223" s="37"/>
      <c r="B223" s="78"/>
      <c r="C223" s="70"/>
      <c r="D223" s="37"/>
      <c r="E223" s="70"/>
      <c r="F223" s="70"/>
      <c r="G223" s="37"/>
      <c r="H223" s="70"/>
      <c r="I223" s="70"/>
      <c r="J223" s="37"/>
      <c r="K223" s="70"/>
      <c r="L223" s="70"/>
      <c r="M223" s="70"/>
      <c r="N223" s="70"/>
      <c r="O223" s="70"/>
    </row>
    <row r="224" spans="1:15" x14ac:dyDescent="0.25">
      <c r="A224" s="37"/>
      <c r="B224" s="78"/>
      <c r="C224" s="70"/>
      <c r="D224" s="37"/>
      <c r="E224" s="70"/>
      <c r="F224" s="70"/>
      <c r="G224" s="37"/>
      <c r="H224" s="70"/>
      <c r="I224" s="70"/>
      <c r="J224" s="37"/>
      <c r="K224" s="70"/>
      <c r="L224" s="70"/>
      <c r="M224" s="70"/>
      <c r="N224" s="70"/>
      <c r="O224" s="70"/>
    </row>
    <row r="225" spans="1:15" x14ac:dyDescent="0.25">
      <c r="A225" s="37"/>
      <c r="B225" s="78"/>
      <c r="C225" s="70"/>
      <c r="D225" s="37"/>
      <c r="E225" s="70"/>
      <c r="F225" s="70"/>
      <c r="G225" s="37"/>
      <c r="H225" s="70"/>
      <c r="I225" s="70"/>
      <c r="J225" s="37"/>
      <c r="K225" s="70"/>
      <c r="L225" s="70"/>
      <c r="M225" s="70"/>
      <c r="N225" s="70"/>
      <c r="O225" s="70"/>
    </row>
    <row r="226" spans="1:15" x14ac:dyDescent="0.25">
      <c r="A226" s="37"/>
      <c r="B226" s="78"/>
      <c r="C226" s="70"/>
      <c r="D226" s="37"/>
      <c r="E226" s="70"/>
      <c r="F226" s="70"/>
      <c r="G226" s="37"/>
      <c r="H226" s="70"/>
      <c r="I226" s="70"/>
      <c r="J226" s="37"/>
      <c r="K226" s="70"/>
      <c r="L226" s="70"/>
      <c r="M226" s="70"/>
      <c r="N226" s="70"/>
      <c r="O226" s="70"/>
    </row>
    <row r="227" spans="1:15" x14ac:dyDescent="0.25">
      <c r="A227" s="37"/>
      <c r="B227" s="78"/>
      <c r="C227" s="70"/>
      <c r="D227" s="37"/>
      <c r="E227" s="70"/>
      <c r="F227" s="70"/>
      <c r="G227" s="37"/>
      <c r="H227" s="70"/>
      <c r="I227" s="70"/>
      <c r="J227" s="37"/>
      <c r="K227" s="70"/>
      <c r="L227" s="70"/>
      <c r="M227" s="70"/>
      <c r="N227" s="70"/>
      <c r="O227" s="70"/>
    </row>
    <row r="228" spans="1:15" x14ac:dyDescent="0.25">
      <c r="A228" s="37"/>
      <c r="B228" s="78"/>
      <c r="C228" s="70"/>
      <c r="D228" s="37"/>
      <c r="E228" s="70"/>
      <c r="F228" s="70"/>
      <c r="G228" s="37"/>
      <c r="H228" s="70"/>
      <c r="I228" s="70"/>
      <c r="J228" s="37"/>
      <c r="K228" s="70"/>
      <c r="L228" s="70"/>
      <c r="M228" s="70"/>
      <c r="N228" s="70"/>
      <c r="O228" s="70"/>
    </row>
    <row r="229" spans="1:15" x14ac:dyDescent="0.25">
      <c r="A229" s="37"/>
      <c r="B229" s="78"/>
      <c r="C229" s="70"/>
      <c r="D229" s="37"/>
      <c r="E229" s="70"/>
      <c r="F229" s="70"/>
      <c r="G229" s="37"/>
      <c r="H229" s="70"/>
      <c r="I229" s="70"/>
      <c r="J229" s="37"/>
      <c r="K229" s="70"/>
      <c r="L229" s="70"/>
      <c r="M229" s="70"/>
      <c r="N229" s="70"/>
      <c r="O229" s="70"/>
    </row>
    <row r="230" spans="1:15" x14ac:dyDescent="0.25">
      <c r="A230" s="37"/>
      <c r="B230" s="78"/>
      <c r="C230" s="70"/>
      <c r="D230" s="37"/>
      <c r="E230" s="70"/>
      <c r="F230" s="70"/>
      <c r="G230" s="37"/>
      <c r="H230" s="70"/>
      <c r="I230" s="70"/>
      <c r="J230" s="37"/>
      <c r="K230" s="70"/>
      <c r="L230" s="70"/>
      <c r="M230" s="70"/>
      <c r="N230" s="70"/>
      <c r="O230" s="70"/>
    </row>
    <row r="231" spans="1:15" x14ac:dyDescent="0.25">
      <c r="A231" s="37"/>
      <c r="B231" s="78"/>
      <c r="C231" s="70"/>
      <c r="D231" s="37"/>
      <c r="E231" s="70"/>
      <c r="F231" s="70"/>
      <c r="G231" s="37"/>
      <c r="H231" s="70"/>
      <c r="I231" s="70"/>
      <c r="J231" s="37"/>
      <c r="K231" s="70"/>
      <c r="L231" s="70"/>
      <c r="M231" s="70"/>
      <c r="N231" s="70"/>
      <c r="O231" s="70"/>
    </row>
    <row r="232" spans="1:15" x14ac:dyDescent="0.25">
      <c r="A232" s="37"/>
      <c r="B232" s="78"/>
      <c r="C232" s="70"/>
      <c r="D232" s="37"/>
      <c r="E232" s="70"/>
      <c r="F232" s="70"/>
      <c r="G232" s="37"/>
      <c r="H232" s="70"/>
      <c r="I232" s="70"/>
      <c r="J232" s="37"/>
      <c r="K232" s="70"/>
      <c r="L232" s="70"/>
      <c r="M232" s="70"/>
      <c r="N232" s="70"/>
      <c r="O232" s="70"/>
    </row>
    <row r="233" spans="1:15" x14ac:dyDescent="0.25">
      <c r="A233" s="37"/>
      <c r="B233" s="78"/>
      <c r="C233" s="70"/>
      <c r="D233" s="37"/>
      <c r="E233" s="70"/>
      <c r="F233" s="70"/>
      <c r="G233" s="37"/>
      <c r="H233" s="70"/>
      <c r="I233" s="70"/>
      <c r="J233" s="37"/>
      <c r="K233" s="70"/>
      <c r="L233" s="70"/>
      <c r="M233" s="70"/>
      <c r="N233" s="70"/>
      <c r="O233" s="70"/>
    </row>
    <row r="234" spans="1:15" x14ac:dyDescent="0.25">
      <c r="A234" s="37"/>
      <c r="B234" s="78"/>
      <c r="C234" s="70"/>
      <c r="D234" s="37"/>
      <c r="E234" s="70"/>
      <c r="F234" s="70"/>
      <c r="G234" s="37"/>
      <c r="H234" s="70"/>
      <c r="I234" s="70"/>
      <c r="J234" s="37"/>
      <c r="K234" s="70"/>
      <c r="L234" s="70"/>
      <c r="M234" s="70"/>
      <c r="N234" s="70"/>
      <c r="O234" s="70"/>
    </row>
    <row r="235" spans="1:15" x14ac:dyDescent="0.25">
      <c r="A235" s="37"/>
      <c r="B235" s="78"/>
      <c r="C235" s="70"/>
      <c r="D235" s="37"/>
      <c r="E235" s="70"/>
      <c r="F235" s="70"/>
      <c r="G235" s="37"/>
      <c r="H235" s="70"/>
      <c r="I235" s="70"/>
      <c r="J235" s="37"/>
      <c r="K235" s="70"/>
      <c r="L235" s="70"/>
      <c r="M235" s="70"/>
      <c r="N235" s="70"/>
      <c r="O235" s="70"/>
    </row>
    <row r="236" spans="1:15" x14ac:dyDescent="0.25">
      <c r="A236" s="37"/>
      <c r="B236" s="78"/>
      <c r="C236" s="70"/>
      <c r="D236" s="37"/>
      <c r="E236" s="70"/>
      <c r="F236" s="70"/>
      <c r="G236" s="37"/>
      <c r="H236" s="70"/>
      <c r="I236" s="70"/>
      <c r="J236" s="37"/>
      <c r="K236" s="70"/>
      <c r="L236" s="70"/>
      <c r="M236" s="70"/>
      <c r="N236" s="70"/>
      <c r="O236" s="70"/>
    </row>
    <row r="237" spans="1:15" x14ac:dyDescent="0.25">
      <c r="A237" s="37"/>
      <c r="B237" s="78"/>
      <c r="C237" s="70"/>
      <c r="D237" s="37"/>
      <c r="E237" s="70"/>
      <c r="F237" s="70"/>
      <c r="G237" s="37"/>
      <c r="H237" s="70"/>
      <c r="I237" s="70"/>
      <c r="J237" s="37"/>
      <c r="K237" s="70"/>
      <c r="L237" s="70"/>
      <c r="M237" s="70"/>
      <c r="N237" s="70"/>
      <c r="O237" s="70"/>
    </row>
    <row r="238" spans="1:15" x14ac:dyDescent="0.25">
      <c r="A238" s="37"/>
      <c r="B238" s="78"/>
      <c r="C238" s="70"/>
      <c r="D238" s="37"/>
      <c r="E238" s="70"/>
      <c r="F238" s="70"/>
      <c r="G238" s="37"/>
      <c r="H238" s="70"/>
      <c r="I238" s="70"/>
      <c r="J238" s="37"/>
      <c r="K238" s="70"/>
      <c r="L238" s="70"/>
      <c r="M238" s="70"/>
      <c r="N238" s="70"/>
      <c r="O238" s="70"/>
    </row>
    <row r="239" spans="1:15" x14ac:dyDescent="0.25">
      <c r="A239" s="37"/>
      <c r="B239" s="78"/>
      <c r="C239" s="70"/>
      <c r="D239" s="37"/>
      <c r="E239" s="70"/>
      <c r="F239" s="70"/>
      <c r="G239" s="37"/>
      <c r="H239" s="70"/>
      <c r="I239" s="70"/>
      <c r="J239" s="37"/>
      <c r="K239" s="70"/>
      <c r="L239" s="70"/>
      <c r="M239" s="70"/>
      <c r="N239" s="70"/>
      <c r="O239" s="70"/>
    </row>
    <row r="240" spans="1:15" x14ac:dyDescent="0.25">
      <c r="A240" s="37"/>
      <c r="B240" s="78"/>
      <c r="C240" s="70"/>
      <c r="D240" s="37"/>
      <c r="E240" s="70"/>
      <c r="F240" s="70"/>
      <c r="G240" s="37"/>
      <c r="H240" s="70"/>
      <c r="I240" s="70"/>
      <c r="J240" s="37"/>
      <c r="K240" s="70"/>
      <c r="L240" s="70"/>
      <c r="M240" s="70"/>
      <c r="N240" s="70"/>
      <c r="O240" s="70"/>
    </row>
    <row r="241" spans="1:15" x14ac:dyDescent="0.25">
      <c r="A241" s="37"/>
      <c r="B241" s="78"/>
      <c r="C241" s="70"/>
      <c r="D241" s="37"/>
      <c r="E241" s="70"/>
      <c r="F241" s="70"/>
      <c r="G241" s="37"/>
      <c r="H241" s="70"/>
      <c r="I241" s="70"/>
      <c r="J241" s="37"/>
      <c r="K241" s="70"/>
      <c r="L241" s="70"/>
      <c r="M241" s="70"/>
      <c r="N241" s="70"/>
      <c r="O241" s="70"/>
    </row>
    <row r="242" spans="1:15" x14ac:dyDescent="0.25">
      <c r="A242" s="37"/>
      <c r="B242" s="78"/>
      <c r="C242" s="70"/>
      <c r="D242" s="37"/>
      <c r="E242" s="70"/>
      <c r="F242" s="70"/>
      <c r="G242" s="37"/>
      <c r="H242" s="70"/>
      <c r="I242" s="70"/>
      <c r="J242" s="37"/>
      <c r="K242" s="70"/>
      <c r="L242" s="70"/>
      <c r="M242" s="70"/>
      <c r="N242" s="70"/>
      <c r="O242" s="70"/>
    </row>
    <row r="243" spans="1:15" x14ac:dyDescent="0.25">
      <c r="A243" s="37"/>
      <c r="B243" s="78"/>
      <c r="C243" s="70"/>
      <c r="D243" s="37"/>
      <c r="E243" s="70"/>
      <c r="F243" s="70"/>
      <c r="G243" s="37"/>
      <c r="H243" s="70"/>
      <c r="I243" s="70"/>
      <c r="J243" s="37"/>
      <c r="K243" s="70"/>
      <c r="L243" s="70"/>
      <c r="M243" s="70"/>
      <c r="N243" s="70"/>
      <c r="O243" s="70"/>
    </row>
    <row r="244" spans="1:15" x14ac:dyDescent="0.25">
      <c r="A244" s="37"/>
      <c r="B244" s="78"/>
      <c r="C244" s="70"/>
      <c r="D244" s="37"/>
      <c r="E244" s="70"/>
      <c r="F244" s="70"/>
      <c r="G244" s="37"/>
      <c r="H244" s="70"/>
      <c r="I244" s="70"/>
      <c r="J244" s="37"/>
      <c r="K244" s="70"/>
      <c r="L244" s="70"/>
      <c r="M244" s="70"/>
      <c r="N244" s="70"/>
      <c r="O244" s="70"/>
    </row>
    <row r="245" spans="1:15" x14ac:dyDescent="0.25">
      <c r="A245" s="37"/>
      <c r="B245" s="78"/>
      <c r="C245" s="70"/>
      <c r="D245" s="37"/>
      <c r="E245" s="70"/>
      <c r="F245" s="70"/>
      <c r="G245" s="37"/>
      <c r="H245" s="70"/>
      <c r="I245" s="70"/>
      <c r="J245" s="37"/>
      <c r="K245" s="70"/>
      <c r="L245" s="70"/>
      <c r="M245" s="70"/>
      <c r="N245" s="70"/>
      <c r="O245" s="70"/>
    </row>
    <row r="246" spans="1:15" x14ac:dyDescent="0.25">
      <c r="A246" s="37"/>
      <c r="B246" s="78"/>
      <c r="C246" s="70"/>
      <c r="D246" s="37"/>
      <c r="E246" s="70"/>
      <c r="F246" s="70"/>
      <c r="G246" s="37"/>
      <c r="H246" s="70"/>
      <c r="I246" s="70"/>
      <c r="J246" s="37"/>
      <c r="K246" s="70"/>
      <c r="L246" s="70"/>
      <c r="M246" s="70"/>
      <c r="N246" s="70"/>
      <c r="O246" s="70"/>
    </row>
    <row r="247" spans="1:15" x14ac:dyDescent="0.25">
      <c r="A247" s="37"/>
      <c r="B247" s="78"/>
      <c r="C247" s="70"/>
      <c r="D247" s="37"/>
      <c r="E247" s="70"/>
      <c r="F247" s="70"/>
      <c r="G247" s="37"/>
      <c r="H247" s="70"/>
      <c r="I247" s="70"/>
      <c r="J247" s="37"/>
      <c r="K247" s="70"/>
      <c r="L247" s="70"/>
      <c r="M247" s="70"/>
      <c r="N247" s="70"/>
      <c r="O247" s="70"/>
    </row>
    <row r="248" spans="1:15" x14ac:dyDescent="0.25">
      <c r="A248" s="37"/>
      <c r="B248" s="78"/>
      <c r="C248" s="70"/>
      <c r="D248" s="37"/>
      <c r="E248" s="70"/>
      <c r="F248" s="70"/>
      <c r="G248" s="37"/>
      <c r="H248" s="70"/>
      <c r="I248" s="70"/>
      <c r="J248" s="37"/>
      <c r="K248" s="70"/>
      <c r="L248" s="70"/>
      <c r="M248" s="70"/>
      <c r="N248" s="70"/>
      <c r="O248" s="70"/>
    </row>
    <row r="249" spans="1:15" x14ac:dyDescent="0.25">
      <c r="A249" s="37"/>
      <c r="B249" s="78"/>
      <c r="C249" s="70"/>
      <c r="D249" s="37"/>
      <c r="E249" s="70"/>
      <c r="F249" s="70"/>
      <c r="G249" s="37"/>
      <c r="H249" s="70"/>
      <c r="I249" s="70"/>
      <c r="J249" s="37"/>
      <c r="K249" s="70"/>
      <c r="L249" s="70"/>
      <c r="M249" s="70"/>
      <c r="N249" s="70"/>
      <c r="O249" s="70"/>
    </row>
    <row r="250" spans="1:15" x14ac:dyDescent="0.25">
      <c r="A250" s="37"/>
      <c r="B250" s="78"/>
      <c r="C250" s="70"/>
      <c r="D250" s="37"/>
      <c r="E250" s="70"/>
      <c r="F250" s="70"/>
      <c r="G250" s="37"/>
      <c r="H250" s="70"/>
      <c r="I250" s="70"/>
      <c r="J250" s="37"/>
      <c r="K250" s="70"/>
      <c r="L250" s="70"/>
      <c r="M250" s="70"/>
      <c r="N250" s="70"/>
      <c r="O250" s="70"/>
    </row>
    <row r="251" spans="1:15" x14ac:dyDescent="0.25">
      <c r="A251" s="37"/>
      <c r="B251" s="78"/>
      <c r="C251" s="70"/>
      <c r="D251" s="37"/>
      <c r="E251" s="70"/>
      <c r="F251" s="70"/>
      <c r="G251" s="37"/>
      <c r="H251" s="70"/>
      <c r="I251" s="70"/>
      <c r="J251" s="37"/>
      <c r="K251" s="70"/>
      <c r="L251" s="70"/>
      <c r="M251" s="70"/>
      <c r="N251" s="70"/>
      <c r="O251" s="70"/>
    </row>
    <row r="252" spans="1:15" x14ac:dyDescent="0.25">
      <c r="A252" s="37"/>
      <c r="B252" s="78"/>
      <c r="C252" s="70"/>
      <c r="D252" s="37"/>
      <c r="E252" s="70"/>
      <c r="F252" s="70"/>
      <c r="G252" s="37"/>
      <c r="H252" s="70"/>
      <c r="I252" s="70"/>
      <c r="J252" s="37"/>
      <c r="K252" s="70"/>
      <c r="L252" s="70"/>
      <c r="M252" s="70"/>
      <c r="N252" s="70"/>
      <c r="O252" s="70"/>
    </row>
    <row r="253" spans="1:15" x14ac:dyDescent="0.25">
      <c r="A253" s="37"/>
      <c r="B253" s="78"/>
      <c r="C253" s="70"/>
      <c r="D253" s="37"/>
      <c r="E253" s="70"/>
      <c r="F253" s="70"/>
      <c r="G253" s="37"/>
      <c r="H253" s="70"/>
      <c r="I253" s="70"/>
      <c r="J253" s="37"/>
      <c r="K253" s="70"/>
      <c r="L253" s="70"/>
      <c r="M253" s="70"/>
      <c r="N253" s="70"/>
      <c r="O253" s="70"/>
    </row>
    <row r="254" spans="1:15" x14ac:dyDescent="0.25">
      <c r="A254" s="37"/>
      <c r="B254" s="78"/>
      <c r="C254" s="70"/>
      <c r="D254" s="37"/>
      <c r="E254" s="70"/>
      <c r="F254" s="70"/>
      <c r="G254" s="37"/>
      <c r="H254" s="70"/>
      <c r="I254" s="70"/>
      <c r="J254" s="37"/>
      <c r="K254" s="70"/>
      <c r="L254" s="70"/>
      <c r="M254" s="70"/>
      <c r="N254" s="70"/>
      <c r="O254" s="70"/>
    </row>
    <row r="255" spans="1:15" x14ac:dyDescent="0.25">
      <c r="A255" s="37"/>
      <c r="B255" s="78"/>
      <c r="C255" s="70"/>
      <c r="D255" s="37"/>
      <c r="E255" s="70"/>
      <c r="F255" s="70"/>
      <c r="G255" s="37"/>
      <c r="H255" s="70"/>
      <c r="I255" s="70"/>
      <c r="J255" s="37"/>
      <c r="K255" s="70"/>
      <c r="L255" s="70"/>
      <c r="M255" s="70"/>
      <c r="N255" s="70"/>
      <c r="O255" s="70"/>
    </row>
    <row r="256" spans="1:15" x14ac:dyDescent="0.25">
      <c r="A256" s="37"/>
      <c r="B256" s="78"/>
      <c r="C256" s="70"/>
      <c r="D256" s="37"/>
      <c r="E256" s="70"/>
      <c r="F256" s="70"/>
      <c r="G256" s="37"/>
      <c r="H256" s="70"/>
      <c r="I256" s="70"/>
      <c r="J256" s="37"/>
      <c r="K256" s="70"/>
      <c r="L256" s="70"/>
      <c r="M256" s="70"/>
      <c r="N256" s="70"/>
      <c r="O256" s="70"/>
    </row>
    <row r="257" spans="1:15" x14ac:dyDescent="0.25">
      <c r="A257" s="37"/>
      <c r="B257" s="78"/>
      <c r="C257" s="70"/>
      <c r="D257" s="37"/>
      <c r="E257" s="70"/>
      <c r="F257" s="70"/>
      <c r="G257" s="37"/>
      <c r="H257" s="70"/>
      <c r="I257" s="70"/>
      <c r="J257" s="37"/>
      <c r="K257" s="70"/>
      <c r="L257" s="70"/>
      <c r="M257" s="70"/>
      <c r="N257" s="70"/>
      <c r="O257" s="70"/>
    </row>
    <row r="258" spans="1:15" x14ac:dyDescent="0.25">
      <c r="A258" s="37"/>
      <c r="B258" s="78"/>
      <c r="C258" s="70"/>
      <c r="D258" s="37"/>
      <c r="E258" s="70"/>
      <c r="F258" s="70"/>
      <c r="G258" s="37"/>
      <c r="H258" s="70"/>
      <c r="I258" s="70"/>
      <c r="J258" s="37"/>
      <c r="K258" s="70"/>
      <c r="L258" s="70"/>
      <c r="M258" s="70"/>
      <c r="N258" s="70"/>
      <c r="O258" s="70"/>
    </row>
    <row r="259" spans="1:15" x14ac:dyDescent="0.25">
      <c r="A259" s="37"/>
      <c r="B259" s="78"/>
      <c r="C259" s="70"/>
      <c r="D259" s="37"/>
      <c r="E259" s="70"/>
      <c r="F259" s="70"/>
      <c r="G259" s="37"/>
      <c r="H259" s="70"/>
      <c r="I259" s="70"/>
      <c r="J259" s="37"/>
      <c r="K259" s="70"/>
      <c r="L259" s="70"/>
      <c r="M259" s="70"/>
      <c r="N259" s="70"/>
      <c r="O259" s="70"/>
    </row>
    <row r="260" spans="1:15" x14ac:dyDescent="0.25">
      <c r="A260" s="37"/>
      <c r="B260" s="78"/>
      <c r="C260" s="70"/>
      <c r="D260" s="37"/>
      <c r="E260" s="70"/>
      <c r="F260" s="70"/>
      <c r="G260" s="37"/>
      <c r="H260" s="70"/>
      <c r="I260" s="70"/>
      <c r="J260" s="37"/>
      <c r="K260" s="70"/>
      <c r="L260" s="70"/>
      <c r="M260" s="70"/>
      <c r="N260" s="70"/>
      <c r="O260" s="70"/>
    </row>
    <row r="261" spans="1:15" x14ac:dyDescent="0.25">
      <c r="A261" s="37"/>
      <c r="B261" s="78"/>
      <c r="C261" s="70"/>
      <c r="D261" s="37"/>
      <c r="E261" s="70"/>
      <c r="F261" s="70"/>
      <c r="G261" s="37"/>
      <c r="H261" s="70"/>
      <c r="I261" s="70"/>
      <c r="J261" s="37"/>
      <c r="K261" s="70"/>
      <c r="L261" s="70"/>
      <c r="M261" s="70"/>
      <c r="N261" s="70"/>
      <c r="O261" s="70"/>
    </row>
    <row r="262" spans="1:15" x14ac:dyDescent="0.25">
      <c r="A262" s="37"/>
      <c r="B262" s="78"/>
      <c r="C262" s="70"/>
      <c r="D262" s="37"/>
      <c r="E262" s="70"/>
      <c r="F262" s="70"/>
      <c r="G262" s="37"/>
      <c r="H262" s="70"/>
      <c r="I262" s="70"/>
      <c r="J262" s="37"/>
      <c r="K262" s="70"/>
      <c r="L262" s="70"/>
      <c r="M262" s="70"/>
      <c r="N262" s="70"/>
      <c r="O262" s="70"/>
    </row>
    <row r="263" spans="1:15" x14ac:dyDescent="0.25">
      <c r="A263" s="37"/>
      <c r="B263" s="78"/>
      <c r="C263" s="70"/>
      <c r="D263" s="37"/>
      <c r="E263" s="70"/>
      <c r="F263" s="70"/>
      <c r="G263" s="37"/>
      <c r="H263" s="70"/>
      <c r="I263" s="70"/>
      <c r="J263" s="37"/>
      <c r="K263" s="70"/>
      <c r="L263" s="70"/>
      <c r="M263" s="70"/>
      <c r="N263" s="70"/>
      <c r="O263" s="70"/>
    </row>
    <row r="264" spans="1:15" x14ac:dyDescent="0.25">
      <c r="A264" s="37"/>
      <c r="B264" s="78"/>
      <c r="C264" s="70"/>
      <c r="D264" s="37"/>
      <c r="E264" s="70"/>
      <c r="F264" s="70"/>
      <c r="G264" s="37"/>
      <c r="H264" s="70"/>
      <c r="I264" s="70"/>
      <c r="J264" s="37"/>
      <c r="K264" s="70"/>
      <c r="L264" s="70"/>
      <c r="M264" s="70"/>
      <c r="N264" s="70"/>
      <c r="O264" s="70"/>
    </row>
    <row r="265" spans="1:15" x14ac:dyDescent="0.25">
      <c r="A265" s="37"/>
      <c r="B265" s="78"/>
      <c r="C265" s="70"/>
      <c r="D265" s="37"/>
      <c r="E265" s="70"/>
      <c r="F265" s="70"/>
      <c r="G265" s="37"/>
      <c r="H265" s="70"/>
      <c r="I265" s="70"/>
      <c r="J265" s="37"/>
      <c r="K265" s="70"/>
      <c r="L265" s="70"/>
      <c r="M265" s="70"/>
      <c r="N265" s="70"/>
      <c r="O265" s="70"/>
    </row>
    <row r="266" spans="1:15" x14ac:dyDescent="0.25">
      <c r="A266" s="37"/>
      <c r="B266" s="78"/>
      <c r="C266" s="70"/>
      <c r="D266" s="37"/>
      <c r="E266" s="70"/>
      <c r="F266" s="70"/>
      <c r="G266" s="37"/>
      <c r="H266" s="70"/>
      <c r="I266" s="70"/>
      <c r="J266" s="37"/>
      <c r="K266" s="70"/>
      <c r="L266" s="70"/>
      <c r="M266" s="70"/>
      <c r="N266" s="70"/>
      <c r="O266" s="70"/>
    </row>
    <row r="267" spans="1:15" x14ac:dyDescent="0.25">
      <c r="A267" s="37"/>
      <c r="B267" s="78"/>
      <c r="C267" s="70"/>
      <c r="D267" s="37"/>
      <c r="E267" s="70"/>
      <c r="F267" s="70"/>
      <c r="G267" s="37"/>
      <c r="H267" s="70"/>
      <c r="I267" s="70"/>
      <c r="J267" s="37"/>
      <c r="K267" s="70"/>
      <c r="L267" s="70"/>
      <c r="M267" s="70"/>
      <c r="N267" s="70"/>
      <c r="O267" s="70"/>
    </row>
    <row r="268" spans="1:15" x14ac:dyDescent="0.25">
      <c r="A268" s="37"/>
      <c r="B268" s="78"/>
      <c r="C268" s="70"/>
      <c r="D268" s="37"/>
      <c r="E268" s="70"/>
      <c r="F268" s="70"/>
      <c r="G268" s="37"/>
      <c r="H268" s="70"/>
      <c r="I268" s="70"/>
      <c r="J268" s="37"/>
      <c r="K268" s="70"/>
      <c r="L268" s="70"/>
      <c r="M268" s="70"/>
      <c r="N268" s="70"/>
      <c r="O268" s="70"/>
    </row>
    <row r="269" spans="1:15" x14ac:dyDescent="0.25">
      <c r="A269" s="37"/>
      <c r="B269" s="78"/>
      <c r="C269" s="70"/>
      <c r="D269" s="37"/>
      <c r="E269" s="70"/>
      <c r="F269" s="70"/>
      <c r="G269" s="37"/>
      <c r="H269" s="70"/>
      <c r="I269" s="70"/>
      <c r="J269" s="37"/>
      <c r="K269" s="70"/>
      <c r="L269" s="70"/>
      <c r="M269" s="70"/>
      <c r="N269" s="70"/>
      <c r="O269" s="70"/>
    </row>
    <row r="270" spans="1:15" x14ac:dyDescent="0.25">
      <c r="A270" s="37"/>
      <c r="B270" s="78"/>
      <c r="C270" s="70"/>
      <c r="D270" s="37"/>
      <c r="E270" s="70"/>
      <c r="F270" s="70"/>
      <c r="G270" s="37"/>
      <c r="H270" s="70"/>
      <c r="I270" s="70"/>
      <c r="J270" s="37"/>
      <c r="K270" s="70"/>
      <c r="L270" s="70"/>
      <c r="M270" s="70"/>
      <c r="N270" s="70"/>
      <c r="O270" s="70"/>
    </row>
    <row r="271" spans="1:15" x14ac:dyDescent="0.25">
      <c r="A271" s="37"/>
      <c r="B271" s="78"/>
      <c r="C271" s="70"/>
      <c r="D271" s="37"/>
      <c r="E271" s="70"/>
      <c r="F271" s="70"/>
      <c r="G271" s="37"/>
      <c r="H271" s="70"/>
      <c r="I271" s="70"/>
      <c r="J271" s="37"/>
      <c r="K271" s="70"/>
      <c r="L271" s="70"/>
      <c r="M271" s="70"/>
      <c r="N271" s="70"/>
      <c r="O271" s="70"/>
    </row>
    <row r="272" spans="1:15" x14ac:dyDescent="0.25">
      <c r="A272" s="37"/>
      <c r="B272" s="78"/>
      <c r="C272" s="70"/>
      <c r="D272" s="37"/>
      <c r="E272" s="70"/>
      <c r="F272" s="70"/>
      <c r="G272" s="37"/>
      <c r="H272" s="70"/>
      <c r="I272" s="70"/>
      <c r="J272" s="37"/>
      <c r="K272" s="70"/>
      <c r="L272" s="70"/>
      <c r="M272" s="70"/>
      <c r="N272" s="70"/>
      <c r="O272" s="70"/>
    </row>
    <row r="273" spans="1:15" x14ac:dyDescent="0.25">
      <c r="A273" s="37"/>
      <c r="B273" s="78"/>
      <c r="C273" s="70"/>
      <c r="D273" s="37"/>
      <c r="E273" s="70"/>
      <c r="F273" s="70"/>
      <c r="G273" s="37"/>
      <c r="H273" s="70"/>
      <c r="I273" s="70"/>
      <c r="J273" s="37"/>
      <c r="K273" s="70"/>
      <c r="L273" s="70"/>
      <c r="M273" s="70"/>
      <c r="N273" s="70"/>
      <c r="O273" s="70"/>
    </row>
    <row r="274" spans="1:15" x14ac:dyDescent="0.25">
      <c r="A274" s="37"/>
      <c r="B274" s="78"/>
      <c r="C274" s="70"/>
      <c r="D274" s="37"/>
      <c r="E274" s="70"/>
      <c r="F274" s="70"/>
      <c r="G274" s="37"/>
      <c r="H274" s="70"/>
      <c r="I274" s="70"/>
      <c r="J274" s="37"/>
      <c r="K274" s="70"/>
      <c r="L274" s="70"/>
      <c r="M274" s="70"/>
      <c r="N274" s="70"/>
      <c r="O274" s="70"/>
    </row>
    <row r="275" spans="1:15" x14ac:dyDescent="0.25">
      <c r="A275" s="37"/>
      <c r="B275" s="78"/>
      <c r="C275" s="70"/>
      <c r="D275" s="37"/>
      <c r="E275" s="70"/>
      <c r="F275" s="70"/>
      <c r="G275" s="37"/>
      <c r="H275" s="70"/>
      <c r="I275" s="70"/>
      <c r="J275" s="37"/>
      <c r="K275" s="70"/>
      <c r="L275" s="70"/>
      <c r="M275" s="70"/>
      <c r="N275" s="70"/>
      <c r="O275" s="70"/>
    </row>
    <row r="276" spans="1:15" x14ac:dyDescent="0.25">
      <c r="A276" s="37"/>
      <c r="B276" s="78"/>
      <c r="C276" s="70"/>
      <c r="D276" s="37"/>
      <c r="E276" s="70"/>
      <c r="F276" s="70"/>
      <c r="G276" s="37"/>
      <c r="H276" s="70"/>
      <c r="I276" s="70"/>
      <c r="J276" s="37"/>
      <c r="K276" s="70"/>
      <c r="L276" s="70"/>
      <c r="M276" s="70"/>
      <c r="N276" s="70"/>
      <c r="O276" s="70"/>
    </row>
    <row r="277" spans="1:15" x14ac:dyDescent="0.25">
      <c r="A277" s="37"/>
      <c r="B277" s="78"/>
      <c r="C277" s="70"/>
      <c r="D277" s="37"/>
      <c r="E277" s="70"/>
      <c r="F277" s="70"/>
      <c r="G277" s="37"/>
      <c r="H277" s="70"/>
      <c r="I277" s="70"/>
      <c r="J277" s="37"/>
      <c r="K277" s="70"/>
      <c r="L277" s="70"/>
      <c r="M277" s="70"/>
      <c r="N277" s="70"/>
      <c r="O277" s="70"/>
    </row>
    <row r="278" spans="1:15" x14ac:dyDescent="0.25">
      <c r="A278" s="37"/>
      <c r="B278" s="78"/>
      <c r="C278" s="70"/>
      <c r="D278" s="37"/>
      <c r="E278" s="70"/>
      <c r="F278" s="70"/>
      <c r="G278" s="37"/>
      <c r="H278" s="70"/>
      <c r="I278" s="70"/>
      <c r="J278" s="37"/>
      <c r="K278" s="70"/>
      <c r="L278" s="70"/>
      <c r="M278" s="70"/>
      <c r="N278" s="70"/>
      <c r="O278" s="70"/>
    </row>
    <row r="279" spans="1:15" x14ac:dyDescent="0.25">
      <c r="A279" s="37"/>
      <c r="B279" s="78"/>
      <c r="C279" s="70"/>
      <c r="D279" s="37"/>
      <c r="E279" s="70"/>
      <c r="F279" s="70"/>
      <c r="G279" s="37"/>
      <c r="H279" s="70"/>
      <c r="I279" s="70"/>
      <c r="J279" s="37"/>
      <c r="K279" s="70"/>
      <c r="L279" s="70"/>
      <c r="M279" s="70"/>
      <c r="N279" s="70"/>
      <c r="O279" s="70"/>
    </row>
    <row r="280" spans="1:15" x14ac:dyDescent="0.25">
      <c r="A280" s="37"/>
      <c r="B280" s="78"/>
      <c r="C280" s="70"/>
      <c r="D280" s="37"/>
      <c r="E280" s="70"/>
      <c r="F280" s="70"/>
      <c r="G280" s="37"/>
      <c r="H280" s="70"/>
      <c r="I280" s="70"/>
      <c r="J280" s="37"/>
      <c r="K280" s="70"/>
      <c r="L280" s="70"/>
      <c r="M280" s="70"/>
      <c r="N280" s="70"/>
      <c r="O280" s="70"/>
    </row>
    <row r="281" spans="1:15" x14ac:dyDescent="0.25">
      <c r="A281" s="37"/>
      <c r="B281" s="78"/>
      <c r="C281" s="70"/>
      <c r="D281" s="37"/>
      <c r="E281" s="70"/>
      <c r="F281" s="70"/>
      <c r="G281" s="37"/>
      <c r="H281" s="70"/>
      <c r="I281" s="70"/>
      <c r="J281" s="37"/>
      <c r="K281" s="70"/>
      <c r="L281" s="70"/>
      <c r="M281" s="70"/>
      <c r="N281" s="70"/>
      <c r="O281" s="70"/>
    </row>
    <row r="282" spans="1:15" x14ac:dyDescent="0.25">
      <c r="A282" s="37"/>
      <c r="B282" s="78"/>
      <c r="C282" s="70"/>
      <c r="D282" s="37"/>
      <c r="E282" s="70"/>
      <c r="F282" s="70"/>
      <c r="G282" s="37"/>
      <c r="H282" s="70"/>
      <c r="I282" s="70"/>
      <c r="J282" s="37"/>
      <c r="K282" s="70"/>
      <c r="L282" s="70"/>
      <c r="M282" s="70"/>
      <c r="N282" s="70"/>
      <c r="O282" s="70"/>
    </row>
    <row r="283" spans="1:15" x14ac:dyDescent="0.25">
      <c r="A283" s="37"/>
      <c r="B283" s="78"/>
      <c r="C283" s="70"/>
      <c r="D283" s="37"/>
      <c r="E283" s="70"/>
      <c r="F283" s="70"/>
      <c r="G283" s="37"/>
      <c r="H283" s="70"/>
      <c r="I283" s="70"/>
      <c r="J283" s="37"/>
      <c r="K283" s="70"/>
      <c r="L283" s="70"/>
      <c r="M283" s="70"/>
      <c r="N283" s="70"/>
      <c r="O283" s="70"/>
    </row>
    <row r="284" spans="1:15" x14ac:dyDescent="0.25">
      <c r="A284" s="37"/>
      <c r="B284" s="78"/>
      <c r="C284" s="70"/>
      <c r="D284" s="37"/>
      <c r="E284" s="70"/>
      <c r="F284" s="70"/>
      <c r="G284" s="37"/>
      <c r="H284" s="70"/>
      <c r="I284" s="70"/>
      <c r="J284" s="37"/>
      <c r="K284" s="70"/>
      <c r="L284" s="70"/>
      <c r="M284" s="70"/>
      <c r="N284" s="70"/>
      <c r="O284" s="70"/>
    </row>
    <row r="285" spans="1:15" x14ac:dyDescent="0.25">
      <c r="A285" s="37"/>
      <c r="B285" s="78"/>
      <c r="C285" s="70"/>
      <c r="D285" s="37"/>
      <c r="E285" s="70"/>
      <c r="F285" s="70"/>
      <c r="G285" s="37"/>
      <c r="H285" s="70"/>
      <c r="I285" s="70"/>
      <c r="J285" s="37"/>
      <c r="K285" s="70"/>
      <c r="L285" s="70"/>
      <c r="M285" s="70"/>
      <c r="N285" s="70"/>
      <c r="O285" s="70"/>
    </row>
    <row r="286" spans="1:15" x14ac:dyDescent="0.25">
      <c r="A286" s="37"/>
      <c r="B286" s="78"/>
      <c r="C286" s="70"/>
      <c r="D286" s="37"/>
      <c r="E286" s="70"/>
      <c r="F286" s="70"/>
      <c r="G286" s="37"/>
      <c r="H286" s="70"/>
      <c r="I286" s="70"/>
      <c r="J286" s="37"/>
      <c r="K286" s="70"/>
      <c r="L286" s="70"/>
      <c r="M286" s="70"/>
      <c r="N286" s="70"/>
      <c r="O286" s="70"/>
    </row>
    <row r="287" spans="1:15" x14ac:dyDescent="0.25">
      <c r="A287" s="37"/>
      <c r="B287" s="78"/>
      <c r="C287" s="70"/>
      <c r="D287" s="37"/>
      <c r="E287" s="70"/>
      <c r="F287" s="70"/>
      <c r="G287" s="37"/>
      <c r="H287" s="70"/>
      <c r="I287" s="70"/>
      <c r="J287" s="37"/>
      <c r="K287" s="70"/>
      <c r="L287" s="70"/>
      <c r="M287" s="70"/>
      <c r="N287" s="70"/>
      <c r="O287" s="70"/>
    </row>
    <row r="288" spans="1:15" x14ac:dyDescent="0.25">
      <c r="A288" s="37"/>
      <c r="B288" s="78"/>
      <c r="C288" s="70"/>
      <c r="D288" s="37"/>
      <c r="E288" s="70"/>
      <c r="F288" s="70"/>
      <c r="G288" s="37"/>
      <c r="H288" s="70"/>
      <c r="I288" s="70"/>
      <c r="J288" s="37"/>
      <c r="K288" s="70"/>
      <c r="L288" s="70"/>
      <c r="M288" s="70"/>
      <c r="N288" s="70"/>
      <c r="O288" s="70"/>
    </row>
    <row r="289" spans="1:15" x14ac:dyDescent="0.25">
      <c r="A289" s="37"/>
      <c r="B289" s="78"/>
      <c r="C289" s="70"/>
      <c r="D289" s="37"/>
      <c r="E289" s="70"/>
      <c r="F289" s="70"/>
      <c r="G289" s="37"/>
      <c r="H289" s="70"/>
      <c r="I289" s="70"/>
      <c r="J289" s="37"/>
      <c r="K289" s="70"/>
      <c r="L289" s="70"/>
      <c r="M289" s="70"/>
      <c r="N289" s="70"/>
      <c r="O289" s="70"/>
    </row>
    <row r="290" spans="1:15" x14ac:dyDescent="0.25">
      <c r="A290" s="37"/>
      <c r="B290" s="78"/>
      <c r="C290" s="70"/>
      <c r="D290" s="37"/>
      <c r="E290" s="70"/>
      <c r="F290" s="70"/>
      <c r="G290" s="37"/>
      <c r="H290" s="70"/>
      <c r="I290" s="70"/>
      <c r="J290" s="37"/>
      <c r="K290" s="70"/>
      <c r="L290" s="70"/>
      <c r="M290" s="70"/>
      <c r="N290" s="70"/>
      <c r="O290" s="70"/>
    </row>
    <row r="291" spans="1:15" x14ac:dyDescent="0.25">
      <c r="A291" s="37"/>
      <c r="B291" s="78"/>
      <c r="C291" s="70"/>
      <c r="D291" s="37"/>
      <c r="E291" s="70"/>
      <c r="F291" s="70"/>
      <c r="G291" s="37"/>
      <c r="H291" s="70"/>
      <c r="I291" s="70"/>
      <c r="J291" s="37"/>
      <c r="K291" s="70"/>
      <c r="L291" s="70"/>
      <c r="M291" s="70"/>
      <c r="N291" s="70"/>
      <c r="O291" s="70"/>
    </row>
    <row r="292" spans="1:15" x14ac:dyDescent="0.25">
      <c r="A292" s="37"/>
      <c r="B292" s="78"/>
      <c r="C292" s="70"/>
      <c r="D292" s="37"/>
      <c r="E292" s="70"/>
      <c r="F292" s="70"/>
      <c r="G292" s="37"/>
      <c r="H292" s="70"/>
      <c r="I292" s="70"/>
      <c r="J292" s="37"/>
      <c r="K292" s="70"/>
      <c r="L292" s="70"/>
      <c r="M292" s="70"/>
      <c r="N292" s="70"/>
      <c r="O292" s="70"/>
    </row>
    <row r="293" spans="1:15" x14ac:dyDescent="0.25">
      <c r="A293" s="37"/>
      <c r="B293" s="78"/>
      <c r="C293" s="70"/>
      <c r="D293" s="37"/>
      <c r="E293" s="70"/>
      <c r="F293" s="70"/>
      <c r="G293" s="37"/>
      <c r="H293" s="70"/>
      <c r="I293" s="70"/>
      <c r="J293" s="37"/>
      <c r="K293" s="70"/>
      <c r="L293" s="70"/>
      <c r="M293" s="70"/>
      <c r="N293" s="70"/>
      <c r="O293" s="70"/>
    </row>
    <row r="294" spans="1:15" x14ac:dyDescent="0.25">
      <c r="A294" s="37"/>
      <c r="B294" s="78"/>
      <c r="C294" s="70"/>
      <c r="D294" s="37"/>
      <c r="E294" s="70"/>
      <c r="F294" s="70"/>
      <c r="G294" s="37"/>
      <c r="H294" s="70"/>
      <c r="I294" s="70"/>
      <c r="J294" s="37"/>
      <c r="K294" s="70"/>
      <c r="L294" s="70"/>
      <c r="M294" s="70"/>
      <c r="N294" s="70"/>
      <c r="O294" s="70"/>
    </row>
    <row r="295" spans="1:15" x14ac:dyDescent="0.25">
      <c r="A295" s="37"/>
      <c r="B295" s="78"/>
      <c r="C295" s="70"/>
      <c r="D295" s="37"/>
      <c r="E295" s="70"/>
      <c r="F295" s="70"/>
      <c r="G295" s="37"/>
      <c r="H295" s="70"/>
      <c r="I295" s="70"/>
      <c r="J295" s="37"/>
      <c r="K295" s="70"/>
      <c r="L295" s="70"/>
      <c r="M295" s="70"/>
      <c r="N295" s="70"/>
      <c r="O295" s="70"/>
    </row>
    <row r="296" spans="1:15" x14ac:dyDescent="0.25">
      <c r="A296" s="37"/>
      <c r="B296" s="78"/>
      <c r="C296" s="70"/>
      <c r="D296" s="37"/>
      <c r="E296" s="70"/>
      <c r="F296" s="70"/>
      <c r="G296" s="37"/>
      <c r="H296" s="70"/>
      <c r="I296" s="70"/>
      <c r="J296" s="37"/>
      <c r="K296" s="70"/>
      <c r="L296" s="70"/>
      <c r="M296" s="70"/>
      <c r="N296" s="70"/>
      <c r="O296" s="70"/>
    </row>
    <row r="297" spans="1:15" x14ac:dyDescent="0.25">
      <c r="A297" s="37"/>
      <c r="B297" s="78"/>
      <c r="C297" s="70"/>
      <c r="D297" s="37"/>
      <c r="E297" s="70"/>
      <c r="F297" s="70"/>
      <c r="G297" s="37"/>
      <c r="H297" s="70"/>
      <c r="I297" s="70"/>
      <c r="J297" s="37"/>
      <c r="K297" s="70"/>
      <c r="L297" s="70"/>
      <c r="M297" s="70"/>
      <c r="N297" s="70"/>
      <c r="O297" s="70"/>
    </row>
    <row r="298" spans="1:15" x14ac:dyDescent="0.25">
      <c r="A298" s="37"/>
      <c r="B298" s="78"/>
      <c r="C298" s="70"/>
      <c r="D298" s="37"/>
      <c r="E298" s="70"/>
      <c r="F298" s="70"/>
      <c r="G298" s="37"/>
      <c r="H298" s="70"/>
      <c r="I298" s="70"/>
      <c r="J298" s="37"/>
      <c r="K298" s="70"/>
      <c r="L298" s="70"/>
      <c r="M298" s="70"/>
      <c r="N298" s="70"/>
      <c r="O298" s="70"/>
    </row>
    <row r="299" spans="1:15" x14ac:dyDescent="0.25">
      <c r="A299" s="37"/>
      <c r="B299" s="78"/>
      <c r="C299" s="70"/>
      <c r="D299" s="37"/>
      <c r="E299" s="70"/>
      <c r="F299" s="70"/>
      <c r="G299" s="37"/>
      <c r="H299" s="70"/>
      <c r="I299" s="70"/>
      <c r="J299" s="37"/>
      <c r="K299" s="70"/>
      <c r="L299" s="70"/>
      <c r="M299" s="70"/>
      <c r="N299" s="70"/>
      <c r="O299" s="70"/>
    </row>
    <row r="300" spans="1:15" x14ac:dyDescent="0.25">
      <c r="A300" s="37"/>
      <c r="B300" s="78"/>
      <c r="C300" s="70"/>
      <c r="D300" s="37"/>
      <c r="E300" s="70"/>
      <c r="F300" s="70"/>
      <c r="G300" s="37"/>
      <c r="H300" s="70"/>
      <c r="I300" s="70"/>
      <c r="J300" s="37"/>
      <c r="K300" s="70"/>
      <c r="L300" s="70"/>
      <c r="M300" s="70"/>
      <c r="N300" s="70"/>
      <c r="O300" s="70"/>
    </row>
    <row r="301" spans="1:15" x14ac:dyDescent="0.25">
      <c r="A301" s="37"/>
      <c r="B301" s="78"/>
      <c r="C301" s="70"/>
      <c r="D301" s="37"/>
      <c r="E301" s="70"/>
      <c r="F301" s="70"/>
      <c r="G301" s="37"/>
      <c r="H301" s="70"/>
      <c r="I301" s="70"/>
      <c r="J301" s="37"/>
      <c r="K301" s="70"/>
      <c r="L301" s="70"/>
      <c r="M301" s="70"/>
      <c r="N301" s="70"/>
      <c r="O301" s="70"/>
    </row>
    <row r="302" spans="1:15" x14ac:dyDescent="0.25">
      <c r="A302" s="37"/>
      <c r="B302" s="78"/>
      <c r="C302" s="70"/>
      <c r="D302" s="37"/>
      <c r="E302" s="70"/>
      <c r="F302" s="70"/>
      <c r="G302" s="37"/>
      <c r="H302" s="70"/>
      <c r="I302" s="70"/>
      <c r="J302" s="37"/>
      <c r="K302" s="70"/>
      <c r="L302" s="70"/>
      <c r="M302" s="70"/>
      <c r="N302" s="70"/>
      <c r="O302" s="70"/>
    </row>
    <row r="303" spans="1:15" x14ac:dyDescent="0.25">
      <c r="A303" s="37"/>
      <c r="B303" s="78"/>
      <c r="C303" s="70"/>
      <c r="D303" s="37"/>
      <c r="E303" s="70"/>
      <c r="F303" s="70"/>
      <c r="G303" s="37"/>
      <c r="H303" s="70"/>
      <c r="I303" s="70"/>
      <c r="J303" s="37"/>
      <c r="K303" s="70"/>
      <c r="L303" s="70"/>
      <c r="M303" s="70"/>
      <c r="N303" s="70"/>
      <c r="O303" s="70"/>
    </row>
    <row r="304" spans="1:15" x14ac:dyDescent="0.25">
      <c r="A304" s="37"/>
      <c r="B304" s="78"/>
      <c r="C304" s="70"/>
      <c r="D304" s="37"/>
      <c r="E304" s="70"/>
      <c r="F304" s="70"/>
      <c r="G304" s="37"/>
      <c r="H304" s="70"/>
      <c r="I304" s="70"/>
      <c r="J304" s="37"/>
      <c r="K304" s="70"/>
      <c r="L304" s="70"/>
      <c r="M304" s="70"/>
      <c r="N304" s="70"/>
      <c r="O304" s="70"/>
    </row>
    <row r="305" spans="1:15" x14ac:dyDescent="0.25">
      <c r="A305" s="37"/>
      <c r="B305" s="78"/>
      <c r="C305" s="70"/>
      <c r="D305" s="37"/>
      <c r="E305" s="70"/>
      <c r="F305" s="70"/>
      <c r="G305" s="37"/>
      <c r="H305" s="70"/>
      <c r="I305" s="70"/>
      <c r="J305" s="37"/>
      <c r="K305" s="70"/>
      <c r="L305" s="70"/>
      <c r="M305" s="70"/>
      <c r="N305" s="70"/>
      <c r="O305" s="70"/>
    </row>
    <row r="306" spans="1:15" x14ac:dyDescent="0.25">
      <c r="A306" s="37"/>
      <c r="B306" s="78"/>
      <c r="C306" s="70"/>
      <c r="D306" s="37"/>
      <c r="E306" s="70"/>
      <c r="F306" s="70"/>
      <c r="G306" s="37"/>
      <c r="H306" s="70"/>
      <c r="I306" s="70"/>
      <c r="J306" s="37"/>
      <c r="K306" s="70"/>
      <c r="L306" s="70"/>
      <c r="M306" s="70"/>
      <c r="N306" s="70"/>
      <c r="O306" s="70"/>
    </row>
    <row r="307" spans="1:15" x14ac:dyDescent="0.25">
      <c r="A307" s="37"/>
      <c r="B307" s="78"/>
      <c r="C307" s="70"/>
      <c r="D307" s="37"/>
      <c r="E307" s="70"/>
      <c r="F307" s="70"/>
      <c r="G307" s="37"/>
      <c r="H307" s="70"/>
      <c r="I307" s="70"/>
      <c r="J307" s="37"/>
      <c r="K307" s="70"/>
      <c r="L307" s="70"/>
      <c r="M307" s="70"/>
      <c r="N307" s="70"/>
      <c r="O307" s="70"/>
    </row>
    <row r="308" spans="1:15" x14ac:dyDescent="0.25">
      <c r="A308" s="37"/>
      <c r="B308" s="78"/>
      <c r="C308" s="70"/>
      <c r="D308" s="37"/>
      <c r="E308" s="70"/>
      <c r="F308" s="70"/>
      <c r="G308" s="37"/>
      <c r="H308" s="70"/>
      <c r="I308" s="70"/>
      <c r="J308" s="37"/>
      <c r="K308" s="70"/>
      <c r="L308" s="70"/>
      <c r="M308" s="70"/>
      <c r="N308" s="70"/>
      <c r="O308" s="70"/>
    </row>
    <row r="309" spans="1:15" x14ac:dyDescent="0.25">
      <c r="A309" s="37"/>
      <c r="B309" s="78"/>
      <c r="C309" s="70"/>
      <c r="D309" s="37"/>
      <c r="E309" s="70"/>
      <c r="F309" s="70"/>
      <c r="G309" s="37"/>
      <c r="H309" s="70"/>
      <c r="I309" s="70"/>
      <c r="J309" s="37"/>
      <c r="K309" s="70"/>
      <c r="L309" s="70"/>
      <c r="M309" s="70"/>
      <c r="N309" s="70"/>
      <c r="O309" s="70"/>
    </row>
    <row r="310" spans="1:15" x14ac:dyDescent="0.25">
      <c r="A310" s="37"/>
      <c r="B310" s="78"/>
      <c r="C310" s="70"/>
      <c r="D310" s="37"/>
      <c r="E310" s="70"/>
      <c r="F310" s="70"/>
      <c r="G310" s="37"/>
      <c r="H310" s="70"/>
      <c r="I310" s="70"/>
      <c r="J310" s="37"/>
      <c r="K310" s="70"/>
      <c r="L310" s="70"/>
      <c r="M310" s="70"/>
      <c r="N310" s="70"/>
      <c r="O310" s="70"/>
    </row>
    <row r="311" spans="1:15" x14ac:dyDescent="0.25">
      <c r="A311" s="37"/>
      <c r="B311" s="78"/>
      <c r="C311" s="70"/>
      <c r="D311" s="37"/>
      <c r="E311" s="70"/>
      <c r="F311" s="70"/>
      <c r="G311" s="37"/>
      <c r="H311" s="70"/>
      <c r="I311" s="70"/>
      <c r="J311" s="37"/>
      <c r="K311" s="70"/>
      <c r="L311" s="70"/>
      <c r="M311" s="70"/>
      <c r="N311" s="70"/>
      <c r="O311" s="70"/>
    </row>
    <row r="312" spans="1:15" x14ac:dyDescent="0.25">
      <c r="A312" s="37"/>
      <c r="B312" s="78"/>
      <c r="C312" s="70"/>
      <c r="D312" s="37"/>
      <c r="E312" s="70"/>
      <c r="F312" s="70"/>
      <c r="G312" s="37"/>
      <c r="H312" s="70"/>
      <c r="I312" s="70"/>
      <c r="J312" s="37"/>
      <c r="K312" s="70"/>
      <c r="L312" s="70"/>
      <c r="M312" s="70"/>
      <c r="N312" s="70"/>
      <c r="O312" s="70"/>
    </row>
    <row r="313" spans="1:15" x14ac:dyDescent="0.25">
      <c r="A313" s="37"/>
      <c r="B313" s="78"/>
      <c r="C313" s="70"/>
      <c r="D313" s="37"/>
      <c r="E313" s="70"/>
      <c r="F313" s="70"/>
      <c r="G313" s="37"/>
      <c r="H313" s="70"/>
      <c r="I313" s="70"/>
      <c r="J313" s="37"/>
      <c r="K313" s="70"/>
      <c r="L313" s="70"/>
      <c r="M313" s="70"/>
      <c r="N313" s="70"/>
      <c r="O313" s="70"/>
    </row>
    <row r="314" spans="1:15" x14ac:dyDescent="0.25">
      <c r="A314" s="37"/>
      <c r="B314" s="78"/>
      <c r="C314" s="70"/>
      <c r="D314" s="37"/>
      <c r="E314" s="70"/>
      <c r="F314" s="70"/>
      <c r="G314" s="37"/>
      <c r="H314" s="70"/>
      <c r="I314" s="70"/>
      <c r="J314" s="37"/>
      <c r="K314" s="70"/>
      <c r="L314" s="70"/>
      <c r="M314" s="70"/>
      <c r="N314" s="70"/>
      <c r="O314" s="70"/>
    </row>
    <row r="315" spans="1:15" x14ac:dyDescent="0.25">
      <c r="A315" s="37"/>
      <c r="B315" s="78"/>
      <c r="C315" s="70"/>
      <c r="D315" s="37"/>
      <c r="E315" s="70"/>
      <c r="F315" s="70"/>
      <c r="G315" s="37"/>
      <c r="H315" s="70"/>
      <c r="I315" s="70"/>
      <c r="J315" s="37"/>
      <c r="K315" s="70"/>
      <c r="L315" s="70"/>
      <c r="M315" s="70"/>
      <c r="N315" s="70"/>
      <c r="O315" s="70"/>
    </row>
    <row r="316" spans="1:15" x14ac:dyDescent="0.25">
      <c r="A316" s="37"/>
      <c r="B316" s="78"/>
      <c r="C316" s="70"/>
      <c r="D316" s="37"/>
      <c r="E316" s="70"/>
      <c r="F316" s="70"/>
      <c r="G316" s="37"/>
      <c r="H316" s="70"/>
      <c r="I316" s="70"/>
      <c r="J316" s="37"/>
      <c r="K316" s="70"/>
      <c r="L316" s="70"/>
      <c r="M316" s="70"/>
      <c r="N316" s="70"/>
      <c r="O316" s="70"/>
    </row>
    <row r="317" spans="1:15" x14ac:dyDescent="0.25">
      <c r="A317" s="37"/>
      <c r="B317" s="78"/>
      <c r="C317" s="70"/>
      <c r="D317" s="37"/>
      <c r="E317" s="70"/>
      <c r="F317" s="70"/>
      <c r="G317" s="37"/>
      <c r="H317" s="70"/>
      <c r="I317" s="70"/>
      <c r="J317" s="37"/>
      <c r="K317" s="70"/>
      <c r="L317" s="70"/>
      <c r="M317" s="70"/>
      <c r="N317" s="70"/>
      <c r="O317" s="70"/>
    </row>
    <row r="318" spans="1:15" x14ac:dyDescent="0.25">
      <c r="A318" s="37"/>
      <c r="B318" s="78"/>
      <c r="C318" s="70"/>
      <c r="D318" s="37"/>
      <c r="E318" s="70"/>
      <c r="F318" s="70"/>
      <c r="G318" s="37"/>
      <c r="H318" s="70"/>
      <c r="I318" s="70"/>
      <c r="J318" s="37"/>
      <c r="K318" s="70"/>
      <c r="L318" s="70"/>
      <c r="M318" s="70"/>
      <c r="N318" s="70"/>
      <c r="O318" s="70"/>
    </row>
    <row r="319" spans="1:15" x14ac:dyDescent="0.25">
      <c r="A319" s="37"/>
      <c r="B319" s="78"/>
      <c r="C319" s="70"/>
      <c r="D319" s="37"/>
      <c r="E319" s="70"/>
      <c r="F319" s="70"/>
      <c r="G319" s="37"/>
      <c r="H319" s="70"/>
      <c r="I319" s="70"/>
      <c r="J319" s="37"/>
      <c r="K319" s="70"/>
      <c r="L319" s="70"/>
      <c r="M319" s="70"/>
      <c r="N319" s="70"/>
      <c r="O319" s="70"/>
    </row>
    <row r="320" spans="1:15" x14ac:dyDescent="0.25">
      <c r="A320" s="37"/>
      <c r="B320" s="78"/>
      <c r="C320" s="70"/>
      <c r="D320" s="37"/>
      <c r="E320" s="70"/>
      <c r="F320" s="70"/>
      <c r="G320" s="37"/>
      <c r="H320" s="70"/>
      <c r="I320" s="70"/>
      <c r="J320" s="37"/>
      <c r="K320" s="70"/>
      <c r="L320" s="70"/>
      <c r="M320" s="70"/>
      <c r="N320" s="70"/>
      <c r="O320" s="70"/>
    </row>
    <row r="321" spans="1:15" x14ac:dyDescent="0.25">
      <c r="A321" s="37"/>
      <c r="B321" s="78"/>
      <c r="C321" s="70"/>
      <c r="D321" s="37"/>
      <c r="E321" s="70"/>
      <c r="F321" s="70"/>
      <c r="G321" s="37"/>
      <c r="H321" s="70"/>
      <c r="I321" s="70"/>
      <c r="J321" s="37"/>
      <c r="K321" s="70"/>
      <c r="L321" s="70"/>
      <c r="M321" s="70"/>
      <c r="N321" s="70"/>
      <c r="O321" s="70"/>
    </row>
    <row r="322" spans="1:15" x14ac:dyDescent="0.25">
      <c r="A322" s="37"/>
      <c r="B322" s="78"/>
      <c r="C322" s="70"/>
      <c r="D322" s="37"/>
      <c r="E322" s="70"/>
      <c r="F322" s="70"/>
      <c r="G322" s="37"/>
      <c r="H322" s="70"/>
      <c r="I322" s="70"/>
      <c r="J322" s="37"/>
      <c r="K322" s="70"/>
      <c r="L322" s="70"/>
      <c r="M322" s="70"/>
      <c r="N322" s="70"/>
      <c r="O322" s="70"/>
    </row>
    <row r="323" spans="1:15" x14ac:dyDescent="0.25">
      <c r="A323" s="37"/>
      <c r="B323" s="78"/>
      <c r="C323" s="70"/>
      <c r="D323" s="37"/>
      <c r="E323" s="70"/>
      <c r="F323" s="70"/>
      <c r="G323" s="37"/>
      <c r="H323" s="70"/>
      <c r="I323" s="70"/>
      <c r="J323" s="37"/>
      <c r="K323" s="70"/>
      <c r="L323" s="70"/>
      <c r="M323" s="70"/>
      <c r="N323" s="70"/>
      <c r="O323" s="70"/>
    </row>
    <row r="324" spans="1:15" x14ac:dyDescent="0.25">
      <c r="A324" s="37"/>
      <c r="B324" s="78"/>
      <c r="C324" s="70"/>
      <c r="D324" s="37"/>
      <c r="E324" s="70"/>
      <c r="F324" s="70"/>
      <c r="G324" s="37"/>
      <c r="H324" s="70"/>
      <c r="I324" s="70"/>
      <c r="J324" s="37"/>
      <c r="K324" s="70"/>
      <c r="L324" s="70"/>
      <c r="M324" s="70"/>
      <c r="N324" s="70"/>
      <c r="O324" s="70"/>
    </row>
    <row r="325" spans="1:15" x14ac:dyDescent="0.25">
      <c r="A325" s="37"/>
      <c r="B325" s="78"/>
      <c r="C325" s="70"/>
      <c r="D325" s="37"/>
      <c r="E325" s="70"/>
      <c r="F325" s="70"/>
      <c r="G325" s="37"/>
      <c r="H325" s="70"/>
      <c r="I325" s="70"/>
      <c r="J325" s="37"/>
      <c r="K325" s="70"/>
      <c r="L325" s="70"/>
      <c r="M325" s="70"/>
      <c r="N325" s="70"/>
      <c r="O325" s="70"/>
    </row>
    <row r="326" spans="1:15" x14ac:dyDescent="0.25">
      <c r="A326" s="37"/>
      <c r="B326" s="78"/>
      <c r="C326" s="70"/>
      <c r="D326" s="37"/>
      <c r="E326" s="70"/>
      <c r="F326" s="70"/>
      <c r="G326" s="37"/>
      <c r="H326" s="70"/>
      <c r="I326" s="70"/>
      <c r="J326" s="37"/>
      <c r="K326" s="70"/>
      <c r="L326" s="70"/>
      <c r="M326" s="70"/>
      <c r="N326" s="70"/>
      <c r="O326" s="70"/>
    </row>
    <row r="327" spans="1:15" x14ac:dyDescent="0.25">
      <c r="A327" s="37"/>
      <c r="B327" s="78"/>
      <c r="C327" s="70"/>
      <c r="D327" s="37"/>
      <c r="E327" s="70"/>
      <c r="F327" s="70"/>
      <c r="G327" s="37"/>
      <c r="H327" s="70"/>
      <c r="I327" s="70"/>
      <c r="J327" s="37"/>
      <c r="K327" s="70"/>
      <c r="L327" s="70"/>
      <c r="M327" s="70"/>
      <c r="N327" s="70"/>
      <c r="O327" s="70"/>
    </row>
    <row r="328" spans="1:15" x14ac:dyDescent="0.25">
      <c r="A328" s="37"/>
      <c r="B328" s="78"/>
      <c r="C328" s="70"/>
      <c r="D328" s="37"/>
      <c r="E328" s="70"/>
      <c r="F328" s="70"/>
      <c r="G328" s="37"/>
      <c r="H328" s="70"/>
      <c r="I328" s="70"/>
      <c r="J328" s="37"/>
      <c r="K328" s="70"/>
      <c r="L328" s="70"/>
      <c r="M328" s="70"/>
      <c r="N328" s="70"/>
      <c r="O328" s="70"/>
    </row>
    <row r="329" spans="1:15" x14ac:dyDescent="0.25">
      <c r="A329" s="37"/>
      <c r="B329" s="78"/>
      <c r="C329" s="70"/>
      <c r="D329" s="37"/>
      <c r="E329" s="70"/>
      <c r="F329" s="70"/>
      <c r="G329" s="37"/>
      <c r="H329" s="70"/>
      <c r="I329" s="70"/>
      <c r="J329" s="37"/>
      <c r="K329" s="70"/>
      <c r="L329" s="70"/>
      <c r="M329" s="70"/>
      <c r="N329" s="70"/>
      <c r="O329" s="70"/>
    </row>
    <row r="330" spans="1:15" x14ac:dyDescent="0.25">
      <c r="A330" s="37"/>
      <c r="B330" s="78"/>
      <c r="C330" s="70"/>
      <c r="D330" s="37"/>
      <c r="E330" s="70"/>
      <c r="F330" s="70"/>
      <c r="G330" s="37"/>
      <c r="H330" s="70"/>
      <c r="I330" s="70"/>
      <c r="J330" s="37"/>
      <c r="K330" s="70"/>
      <c r="L330" s="70"/>
      <c r="M330" s="70"/>
      <c r="N330" s="70"/>
      <c r="O330" s="70"/>
    </row>
    <row r="331" spans="1:15" x14ac:dyDescent="0.25">
      <c r="A331" s="37"/>
      <c r="B331" s="78"/>
      <c r="C331" s="70"/>
      <c r="D331" s="37"/>
      <c r="E331" s="70"/>
      <c r="F331" s="70"/>
      <c r="G331" s="37"/>
      <c r="H331" s="70"/>
      <c r="I331" s="70"/>
      <c r="J331" s="37"/>
      <c r="K331" s="70"/>
      <c r="L331" s="70"/>
      <c r="M331" s="70"/>
      <c r="N331" s="70"/>
      <c r="O331" s="70"/>
    </row>
    <row r="332" spans="1:15" x14ac:dyDescent="0.25">
      <c r="A332" s="37"/>
      <c r="B332" s="78"/>
      <c r="C332" s="70"/>
      <c r="D332" s="37"/>
      <c r="E332" s="70"/>
      <c r="F332" s="70"/>
      <c r="G332" s="37"/>
      <c r="H332" s="70"/>
      <c r="I332" s="70"/>
      <c r="J332" s="37"/>
      <c r="K332" s="70"/>
      <c r="L332" s="70"/>
      <c r="M332" s="70"/>
      <c r="N332" s="70"/>
      <c r="O332" s="70"/>
    </row>
    <row r="333" spans="1:15" x14ac:dyDescent="0.25">
      <c r="A333" s="37"/>
      <c r="B333" s="78"/>
      <c r="C333" s="70"/>
      <c r="D333" s="37"/>
      <c r="E333" s="70"/>
      <c r="F333" s="70"/>
      <c r="G333" s="37"/>
      <c r="H333" s="70"/>
      <c r="I333" s="70"/>
      <c r="J333" s="37"/>
      <c r="K333" s="70"/>
      <c r="L333" s="70"/>
      <c r="M333" s="70"/>
      <c r="N333" s="70"/>
      <c r="O333" s="70"/>
    </row>
    <row r="334" spans="1:15" x14ac:dyDescent="0.25">
      <c r="A334" s="37"/>
      <c r="B334" s="78"/>
      <c r="C334" s="70"/>
      <c r="D334" s="37"/>
      <c r="E334" s="70"/>
      <c r="F334" s="70"/>
      <c r="G334" s="37"/>
      <c r="H334" s="70"/>
      <c r="I334" s="70"/>
      <c r="J334" s="37"/>
      <c r="K334" s="70"/>
      <c r="L334" s="70"/>
      <c r="M334" s="70"/>
      <c r="N334" s="70"/>
      <c r="O334" s="70"/>
    </row>
    <row r="335" spans="1:15" x14ac:dyDescent="0.25">
      <c r="A335" s="37"/>
      <c r="B335" s="78"/>
      <c r="C335" s="70"/>
      <c r="D335" s="37"/>
      <c r="E335" s="70"/>
      <c r="F335" s="70"/>
      <c r="G335" s="37"/>
      <c r="H335" s="70"/>
      <c r="I335" s="70"/>
      <c r="J335" s="37"/>
      <c r="K335" s="70"/>
      <c r="L335" s="70"/>
      <c r="M335" s="70"/>
      <c r="N335" s="70"/>
      <c r="O335" s="70"/>
    </row>
    <row r="336" spans="1:15" x14ac:dyDescent="0.25">
      <c r="A336" s="37"/>
      <c r="B336" s="78"/>
      <c r="C336" s="70"/>
      <c r="D336" s="37"/>
      <c r="E336" s="70"/>
      <c r="F336" s="70"/>
      <c r="G336" s="37"/>
      <c r="H336" s="70"/>
      <c r="I336" s="70"/>
      <c r="J336" s="37"/>
      <c r="K336" s="70"/>
      <c r="L336" s="70"/>
      <c r="M336" s="70"/>
      <c r="N336" s="70"/>
      <c r="O336" s="70"/>
    </row>
    <row r="337" spans="1:15" x14ac:dyDescent="0.25">
      <c r="A337" s="37"/>
      <c r="B337" s="78"/>
      <c r="C337" s="70"/>
      <c r="D337" s="37"/>
      <c r="E337" s="70"/>
      <c r="F337" s="70"/>
      <c r="G337" s="37"/>
      <c r="H337" s="70"/>
      <c r="I337" s="70"/>
      <c r="J337" s="37"/>
      <c r="K337" s="70"/>
      <c r="L337" s="70"/>
      <c r="M337" s="70"/>
      <c r="N337" s="70"/>
      <c r="O337" s="70"/>
    </row>
    <row r="338" spans="1:15" x14ac:dyDescent="0.25">
      <c r="A338" s="37"/>
      <c r="B338" s="78"/>
      <c r="C338" s="70"/>
      <c r="D338" s="37"/>
      <c r="E338" s="70"/>
      <c r="F338" s="70"/>
      <c r="G338" s="37"/>
      <c r="H338" s="70"/>
      <c r="I338" s="70"/>
      <c r="J338" s="37"/>
      <c r="K338" s="70"/>
      <c r="L338" s="70"/>
      <c r="M338" s="70"/>
      <c r="N338" s="70"/>
      <c r="O338" s="70"/>
    </row>
    <row r="339" spans="1:15" x14ac:dyDescent="0.25">
      <c r="A339" s="37"/>
      <c r="B339" s="78"/>
      <c r="C339" s="70"/>
      <c r="D339" s="37"/>
      <c r="E339" s="70"/>
      <c r="F339" s="70"/>
      <c r="G339" s="37"/>
      <c r="H339" s="70"/>
      <c r="I339" s="70"/>
      <c r="J339" s="37"/>
      <c r="K339" s="70"/>
      <c r="L339" s="70"/>
      <c r="M339" s="70"/>
      <c r="N339" s="70"/>
      <c r="O339" s="70"/>
    </row>
    <row r="340" spans="1:15" x14ac:dyDescent="0.25">
      <c r="A340" s="37"/>
      <c r="B340" s="78"/>
      <c r="C340" s="70"/>
      <c r="D340" s="37"/>
      <c r="E340" s="70"/>
      <c r="F340" s="70"/>
      <c r="G340" s="37"/>
      <c r="H340" s="70"/>
      <c r="I340" s="70"/>
      <c r="J340" s="37"/>
      <c r="K340" s="70"/>
      <c r="L340" s="70"/>
      <c r="M340" s="70"/>
      <c r="N340" s="70"/>
      <c r="O340" s="70"/>
    </row>
    <row r="341" spans="1:15" x14ac:dyDescent="0.25">
      <c r="A341" s="37"/>
      <c r="B341" s="78"/>
      <c r="C341" s="70"/>
      <c r="D341" s="37"/>
      <c r="E341" s="70"/>
      <c r="F341" s="70"/>
      <c r="G341" s="37"/>
      <c r="H341" s="70"/>
      <c r="I341" s="70"/>
      <c r="J341" s="37"/>
      <c r="K341" s="70"/>
      <c r="L341" s="70"/>
      <c r="M341" s="70"/>
      <c r="N341" s="70"/>
      <c r="O341" s="70"/>
    </row>
    <row r="342" spans="1:15" x14ac:dyDescent="0.25">
      <c r="A342" s="37"/>
      <c r="B342" s="78"/>
      <c r="C342" s="70"/>
      <c r="D342" s="37"/>
      <c r="E342" s="70"/>
      <c r="F342" s="70"/>
      <c r="G342" s="37"/>
      <c r="H342" s="70"/>
      <c r="I342" s="70"/>
      <c r="J342" s="37"/>
      <c r="K342" s="70"/>
      <c r="L342" s="70"/>
      <c r="M342" s="70"/>
      <c r="N342" s="70"/>
      <c r="O342" s="70"/>
    </row>
    <row r="343" spans="1:15" x14ac:dyDescent="0.25">
      <c r="A343" s="37"/>
      <c r="B343" s="78"/>
      <c r="C343" s="70"/>
      <c r="D343" s="37"/>
      <c r="E343" s="70"/>
      <c r="F343" s="70"/>
      <c r="G343" s="37"/>
      <c r="H343" s="70"/>
      <c r="I343" s="70"/>
      <c r="J343" s="37"/>
      <c r="K343" s="70"/>
      <c r="L343" s="70"/>
      <c r="M343" s="70"/>
      <c r="N343" s="70"/>
      <c r="O343" s="70"/>
    </row>
    <row r="344" spans="1:15" x14ac:dyDescent="0.25">
      <c r="A344" s="37"/>
      <c r="B344" s="78"/>
      <c r="C344" s="70"/>
      <c r="D344" s="37"/>
      <c r="E344" s="70"/>
      <c r="F344" s="70"/>
      <c r="G344" s="37"/>
      <c r="H344" s="70"/>
      <c r="I344" s="70"/>
      <c r="J344" s="37"/>
      <c r="K344" s="70"/>
      <c r="L344" s="70"/>
      <c r="M344" s="70"/>
      <c r="N344" s="70"/>
      <c r="O344" s="70"/>
    </row>
    <row r="345" spans="1:15" x14ac:dyDescent="0.25">
      <c r="A345" s="37"/>
      <c r="B345" s="78"/>
      <c r="C345" s="70"/>
      <c r="D345" s="37"/>
      <c r="E345" s="70"/>
      <c r="F345" s="70"/>
      <c r="G345" s="37"/>
      <c r="H345" s="70"/>
      <c r="I345" s="70"/>
      <c r="J345" s="37"/>
      <c r="K345" s="70"/>
      <c r="L345" s="70"/>
      <c r="M345" s="70"/>
      <c r="N345" s="70"/>
      <c r="O345" s="70"/>
    </row>
    <row r="346" spans="1:15" x14ac:dyDescent="0.25">
      <c r="A346" s="37"/>
      <c r="B346" s="78"/>
      <c r="C346" s="70"/>
      <c r="D346" s="37"/>
      <c r="E346" s="70"/>
      <c r="F346" s="70"/>
      <c r="G346" s="37"/>
      <c r="H346" s="70"/>
      <c r="I346" s="70"/>
      <c r="J346" s="37"/>
      <c r="K346" s="70"/>
      <c r="L346" s="70"/>
      <c r="M346" s="70"/>
      <c r="N346" s="70"/>
      <c r="O346" s="70"/>
    </row>
    <row r="347" spans="1:15" x14ac:dyDescent="0.25">
      <c r="A347" s="37"/>
      <c r="B347" s="78"/>
      <c r="C347" s="70"/>
      <c r="D347" s="37"/>
      <c r="E347" s="70"/>
      <c r="F347" s="70"/>
      <c r="G347" s="37"/>
      <c r="H347" s="70"/>
      <c r="I347" s="70"/>
      <c r="J347" s="37"/>
      <c r="K347" s="70"/>
      <c r="L347" s="70"/>
      <c r="M347" s="70"/>
      <c r="N347" s="70"/>
      <c r="O347" s="70"/>
    </row>
    <row r="348" spans="1:15" x14ac:dyDescent="0.25">
      <c r="A348" s="37"/>
      <c r="B348" s="78"/>
      <c r="C348" s="70"/>
      <c r="D348" s="37"/>
      <c r="E348" s="70"/>
      <c r="F348" s="70"/>
      <c r="G348" s="37"/>
      <c r="H348" s="70"/>
      <c r="I348" s="70"/>
      <c r="J348" s="37"/>
      <c r="K348" s="70"/>
      <c r="L348" s="70"/>
      <c r="M348" s="70"/>
      <c r="N348" s="70"/>
      <c r="O348" s="70"/>
    </row>
    <row r="349" spans="1:15" x14ac:dyDescent="0.25">
      <c r="A349" s="37"/>
      <c r="B349" s="78"/>
      <c r="C349" s="70"/>
      <c r="D349" s="37"/>
      <c r="E349" s="70"/>
      <c r="F349" s="70"/>
      <c r="G349" s="37"/>
      <c r="H349" s="70"/>
      <c r="I349" s="70"/>
      <c r="J349" s="37"/>
      <c r="K349" s="70"/>
      <c r="L349" s="70"/>
      <c r="M349" s="70"/>
      <c r="N349" s="70"/>
      <c r="O349" s="70"/>
    </row>
    <row r="350" spans="1:15" x14ac:dyDescent="0.25">
      <c r="A350" s="37"/>
      <c r="B350" s="78"/>
      <c r="C350" s="70"/>
      <c r="D350" s="37"/>
      <c r="E350" s="70"/>
      <c r="F350" s="70"/>
      <c r="G350" s="37"/>
      <c r="H350" s="70"/>
      <c r="I350" s="70"/>
      <c r="J350" s="37"/>
      <c r="K350" s="70"/>
      <c r="L350" s="70"/>
      <c r="M350" s="70"/>
      <c r="N350" s="70"/>
      <c r="O350" s="70"/>
    </row>
    <row r="351" spans="1:15" x14ac:dyDescent="0.25">
      <c r="A351" s="37"/>
      <c r="B351" s="78"/>
      <c r="C351" s="70"/>
      <c r="D351" s="37"/>
      <c r="E351" s="70"/>
      <c r="F351" s="70"/>
      <c r="G351" s="37"/>
      <c r="H351" s="70"/>
      <c r="I351" s="70"/>
      <c r="J351" s="37"/>
      <c r="K351" s="70"/>
      <c r="L351" s="70"/>
      <c r="M351" s="70"/>
      <c r="N351" s="70"/>
      <c r="O351" s="70"/>
    </row>
    <row r="352" spans="1:15" x14ac:dyDescent="0.25">
      <c r="A352" s="37"/>
      <c r="B352" s="78"/>
      <c r="C352" s="70"/>
      <c r="D352" s="37"/>
      <c r="E352" s="70"/>
      <c r="F352" s="70"/>
      <c r="G352" s="37"/>
      <c r="H352" s="70"/>
      <c r="I352" s="70"/>
      <c r="J352" s="37"/>
      <c r="K352" s="70"/>
      <c r="L352" s="70"/>
      <c r="M352" s="70"/>
      <c r="N352" s="70"/>
      <c r="O352" s="70"/>
    </row>
    <row r="353" spans="1:15" x14ac:dyDescent="0.25">
      <c r="A353" s="37"/>
      <c r="B353" s="78"/>
      <c r="C353" s="70"/>
      <c r="D353" s="37"/>
      <c r="E353" s="70"/>
      <c r="F353" s="70"/>
      <c r="G353" s="37"/>
      <c r="H353" s="70"/>
      <c r="I353" s="70"/>
      <c r="J353" s="37"/>
      <c r="K353" s="70"/>
      <c r="L353" s="70"/>
      <c r="M353" s="70"/>
      <c r="N353" s="70"/>
      <c r="O353" s="70"/>
    </row>
    <row r="354" spans="1:15" x14ac:dyDescent="0.25">
      <c r="A354" s="37"/>
      <c r="B354" s="78"/>
      <c r="C354" s="70"/>
      <c r="D354" s="37"/>
      <c r="E354" s="70"/>
      <c r="F354" s="70"/>
      <c r="G354" s="37"/>
      <c r="H354" s="70"/>
      <c r="I354" s="70"/>
      <c r="J354" s="37"/>
      <c r="K354" s="70"/>
      <c r="L354" s="70"/>
      <c r="M354" s="70"/>
      <c r="N354" s="70"/>
      <c r="O354" s="70"/>
    </row>
    <row r="355" spans="1:15" x14ac:dyDescent="0.25">
      <c r="A355" s="37"/>
      <c r="B355" s="78"/>
      <c r="C355" s="70"/>
      <c r="D355" s="37"/>
      <c r="E355" s="70"/>
      <c r="F355" s="70"/>
      <c r="G355" s="37"/>
      <c r="H355" s="70"/>
      <c r="I355" s="70"/>
      <c r="J355" s="37"/>
      <c r="K355" s="70"/>
      <c r="L355" s="70"/>
      <c r="M355" s="70"/>
      <c r="N355" s="70"/>
      <c r="O355" s="70"/>
    </row>
    <row r="356" spans="1:15" x14ac:dyDescent="0.25">
      <c r="A356" s="37"/>
      <c r="B356" s="78"/>
      <c r="C356" s="70"/>
      <c r="D356" s="37"/>
      <c r="E356" s="70"/>
      <c r="F356" s="70"/>
      <c r="G356" s="37"/>
      <c r="H356" s="70"/>
      <c r="I356" s="70"/>
      <c r="J356" s="37"/>
      <c r="K356" s="70"/>
      <c r="L356" s="70"/>
      <c r="M356" s="70"/>
      <c r="N356" s="70"/>
      <c r="O356" s="70"/>
    </row>
    <row r="357" spans="1:15" x14ac:dyDescent="0.25">
      <c r="A357" s="37"/>
      <c r="B357" s="78"/>
      <c r="C357" s="70"/>
      <c r="D357" s="37"/>
      <c r="E357" s="70"/>
      <c r="F357" s="70"/>
      <c r="G357" s="37"/>
      <c r="H357" s="70"/>
      <c r="I357" s="70"/>
      <c r="J357" s="37"/>
      <c r="K357" s="70"/>
      <c r="L357" s="70"/>
      <c r="M357" s="70"/>
      <c r="N357" s="70"/>
      <c r="O357" s="70"/>
    </row>
    <row r="358" spans="1:15" x14ac:dyDescent="0.25">
      <c r="A358" s="37"/>
      <c r="B358" s="78"/>
      <c r="C358" s="70"/>
      <c r="D358" s="37"/>
      <c r="E358" s="70"/>
      <c r="F358" s="70"/>
      <c r="G358" s="37"/>
      <c r="H358" s="70"/>
      <c r="I358" s="70"/>
      <c r="J358" s="37"/>
      <c r="K358" s="70"/>
      <c r="L358" s="70"/>
      <c r="M358" s="70"/>
      <c r="N358" s="70"/>
      <c r="O358" s="70"/>
    </row>
    <row r="359" spans="1:15" x14ac:dyDescent="0.25">
      <c r="A359" s="37"/>
      <c r="B359" s="78"/>
      <c r="C359" s="70"/>
      <c r="D359" s="37"/>
      <c r="E359" s="70"/>
      <c r="F359" s="70"/>
      <c r="G359" s="37"/>
      <c r="H359" s="70"/>
      <c r="I359" s="70"/>
      <c r="J359" s="37"/>
      <c r="K359" s="70"/>
      <c r="L359" s="70"/>
      <c r="M359" s="70"/>
      <c r="N359" s="70"/>
      <c r="O359" s="70"/>
    </row>
    <row r="360" spans="1:15" x14ac:dyDescent="0.25">
      <c r="A360" s="37"/>
      <c r="B360" s="78"/>
      <c r="C360" s="70"/>
      <c r="D360" s="37"/>
      <c r="E360" s="70"/>
      <c r="F360" s="70"/>
      <c r="G360" s="37"/>
      <c r="H360" s="70"/>
      <c r="I360" s="70"/>
      <c r="J360" s="37"/>
      <c r="K360" s="70"/>
      <c r="L360" s="70"/>
      <c r="M360" s="70"/>
      <c r="N360" s="70"/>
      <c r="O360" s="70"/>
    </row>
    <row r="361" spans="1:15" x14ac:dyDescent="0.25">
      <c r="A361" s="37"/>
      <c r="B361" s="78"/>
      <c r="C361" s="70"/>
      <c r="D361" s="37"/>
      <c r="E361" s="70"/>
      <c r="F361" s="70"/>
      <c r="G361" s="37"/>
      <c r="H361" s="70"/>
      <c r="I361" s="70"/>
      <c r="J361" s="37"/>
      <c r="K361" s="70"/>
      <c r="L361" s="70"/>
      <c r="M361" s="70"/>
      <c r="N361" s="70"/>
      <c r="O361" s="70"/>
    </row>
    <row r="362" spans="1:15" x14ac:dyDescent="0.25">
      <c r="A362" s="37"/>
      <c r="B362" s="78"/>
      <c r="C362" s="70"/>
      <c r="D362" s="37"/>
      <c r="E362" s="70"/>
      <c r="F362" s="70"/>
      <c r="G362" s="37"/>
      <c r="H362" s="70"/>
      <c r="I362" s="70"/>
      <c r="J362" s="37"/>
      <c r="K362" s="70"/>
      <c r="L362" s="70"/>
      <c r="M362" s="70"/>
      <c r="N362" s="70"/>
      <c r="O362" s="70"/>
    </row>
    <row r="363" spans="1:15" x14ac:dyDescent="0.25">
      <c r="A363" s="37"/>
      <c r="B363" s="78"/>
      <c r="C363" s="70"/>
      <c r="D363" s="37"/>
      <c r="E363" s="70"/>
      <c r="F363" s="70"/>
      <c r="G363" s="37"/>
      <c r="H363" s="70"/>
      <c r="I363" s="70"/>
      <c r="J363" s="37"/>
      <c r="K363" s="70"/>
      <c r="L363" s="70"/>
      <c r="M363" s="70"/>
      <c r="N363" s="70"/>
      <c r="O363" s="70"/>
    </row>
    <row r="364" spans="1:15" x14ac:dyDescent="0.25">
      <c r="A364" s="37"/>
      <c r="B364" s="78"/>
      <c r="C364" s="70"/>
      <c r="D364" s="37"/>
      <c r="E364" s="70"/>
      <c r="F364" s="70"/>
      <c r="G364" s="37"/>
      <c r="H364" s="70"/>
      <c r="I364" s="70"/>
      <c r="J364" s="37"/>
      <c r="K364" s="70"/>
      <c r="L364" s="70"/>
      <c r="M364" s="70"/>
      <c r="N364" s="70"/>
      <c r="O364" s="70"/>
    </row>
    <row r="365" spans="1:15" x14ac:dyDescent="0.25">
      <c r="A365" s="37"/>
      <c r="B365" s="78"/>
      <c r="C365" s="70"/>
      <c r="D365" s="37"/>
      <c r="E365" s="70"/>
      <c r="F365" s="70"/>
      <c r="G365" s="37"/>
      <c r="H365" s="70"/>
      <c r="I365" s="70"/>
      <c r="J365" s="37"/>
      <c r="K365" s="70"/>
      <c r="L365" s="70"/>
      <c r="M365" s="70"/>
      <c r="N365" s="70"/>
      <c r="O365" s="70"/>
    </row>
    <row r="366" spans="1:15" x14ac:dyDescent="0.25">
      <c r="A366" s="37"/>
      <c r="B366" s="78"/>
      <c r="C366" s="70"/>
      <c r="D366" s="37"/>
      <c r="E366" s="70"/>
      <c r="F366" s="70"/>
      <c r="G366" s="37"/>
      <c r="H366" s="70"/>
      <c r="I366" s="70"/>
      <c r="J366" s="37"/>
      <c r="K366" s="70"/>
      <c r="L366" s="70"/>
      <c r="M366" s="70"/>
      <c r="N366" s="70"/>
      <c r="O366" s="70"/>
    </row>
    <row r="367" spans="1:15" x14ac:dyDescent="0.25">
      <c r="A367" s="37"/>
      <c r="B367" s="78"/>
      <c r="C367" s="70"/>
      <c r="D367" s="37"/>
      <c r="E367" s="70"/>
      <c r="F367" s="70"/>
      <c r="G367" s="37"/>
      <c r="H367" s="70"/>
      <c r="I367" s="70"/>
      <c r="J367" s="37"/>
      <c r="K367" s="70"/>
      <c r="L367" s="70"/>
      <c r="M367" s="70"/>
      <c r="N367" s="70"/>
      <c r="O367" s="70"/>
    </row>
    <row r="368" spans="1:15" x14ac:dyDescent="0.25">
      <c r="A368" s="37"/>
      <c r="B368" s="78"/>
      <c r="C368" s="70"/>
      <c r="D368" s="37"/>
      <c r="E368" s="70"/>
      <c r="F368" s="70"/>
      <c r="G368" s="37"/>
      <c r="H368" s="70"/>
      <c r="I368" s="70"/>
      <c r="J368" s="37"/>
      <c r="K368" s="70"/>
      <c r="L368" s="70"/>
      <c r="M368" s="70"/>
      <c r="N368" s="70"/>
      <c r="O368" s="70"/>
    </row>
    <row r="369" spans="1:15" x14ac:dyDescent="0.25">
      <c r="A369" s="37"/>
      <c r="B369" s="78"/>
      <c r="C369" s="70"/>
      <c r="D369" s="37"/>
      <c r="E369" s="70"/>
      <c r="F369" s="70"/>
      <c r="G369" s="37"/>
      <c r="H369" s="70"/>
      <c r="I369" s="70"/>
      <c r="J369" s="37"/>
      <c r="K369" s="70"/>
      <c r="L369" s="70"/>
      <c r="M369" s="70"/>
      <c r="N369" s="70"/>
      <c r="O369" s="70"/>
    </row>
    <row r="370" spans="1:15" x14ac:dyDescent="0.25">
      <c r="A370" s="37"/>
      <c r="B370" s="78"/>
      <c r="C370" s="70"/>
      <c r="D370" s="37"/>
      <c r="E370" s="70"/>
      <c r="F370" s="70"/>
      <c r="G370" s="37"/>
      <c r="H370" s="70"/>
      <c r="I370" s="70"/>
      <c r="J370" s="37"/>
      <c r="K370" s="70"/>
      <c r="L370" s="70"/>
      <c r="M370" s="70"/>
      <c r="N370" s="70"/>
      <c r="O370" s="70"/>
    </row>
    <row r="371" spans="1:15" x14ac:dyDescent="0.25">
      <c r="A371" s="37"/>
      <c r="B371" s="78"/>
      <c r="C371" s="70"/>
      <c r="D371" s="37"/>
      <c r="E371" s="70"/>
      <c r="F371" s="70"/>
      <c r="G371" s="37"/>
      <c r="H371" s="70"/>
      <c r="I371" s="70"/>
      <c r="J371" s="37"/>
      <c r="K371" s="70"/>
      <c r="L371" s="70"/>
      <c r="M371" s="70"/>
      <c r="N371" s="70"/>
      <c r="O371" s="70"/>
    </row>
    <row r="372" spans="1:15" x14ac:dyDescent="0.25">
      <c r="A372" s="37"/>
      <c r="B372" s="78"/>
      <c r="C372" s="70"/>
      <c r="D372" s="37"/>
      <c r="E372" s="70"/>
      <c r="F372" s="70"/>
      <c r="G372" s="37"/>
      <c r="H372" s="70"/>
      <c r="I372" s="70"/>
      <c r="J372" s="37"/>
      <c r="K372" s="70"/>
      <c r="L372" s="70"/>
      <c r="M372" s="70"/>
      <c r="N372" s="70"/>
      <c r="O372" s="70"/>
    </row>
    <row r="373" spans="1:15" x14ac:dyDescent="0.25">
      <c r="A373" s="37"/>
      <c r="B373" s="78"/>
      <c r="C373" s="70"/>
      <c r="D373" s="37"/>
      <c r="E373" s="70"/>
      <c r="F373" s="70"/>
      <c r="G373" s="37"/>
      <c r="H373" s="70"/>
      <c r="I373" s="70"/>
      <c r="J373" s="37"/>
      <c r="K373" s="70"/>
      <c r="L373" s="70"/>
      <c r="M373" s="70"/>
      <c r="N373" s="70"/>
      <c r="O373" s="70"/>
    </row>
    <row r="374" spans="1:15" x14ac:dyDescent="0.25">
      <c r="A374" s="37"/>
      <c r="B374" s="78"/>
      <c r="C374" s="70"/>
      <c r="D374" s="37"/>
      <c r="E374" s="70"/>
      <c r="F374" s="70"/>
      <c r="G374" s="37"/>
      <c r="H374" s="70"/>
      <c r="I374" s="70"/>
      <c r="J374" s="37"/>
      <c r="K374" s="70"/>
      <c r="L374" s="70"/>
      <c r="M374" s="70"/>
      <c r="N374" s="70"/>
      <c r="O374" s="70"/>
    </row>
    <row r="375" spans="1:15" x14ac:dyDescent="0.25">
      <c r="A375" s="37"/>
      <c r="B375" s="78"/>
      <c r="C375" s="70"/>
      <c r="D375" s="37"/>
      <c r="E375" s="70"/>
      <c r="F375" s="70"/>
      <c r="G375" s="37"/>
      <c r="H375" s="70"/>
      <c r="I375" s="70"/>
      <c r="J375" s="37"/>
      <c r="K375" s="70"/>
      <c r="L375" s="70"/>
      <c r="M375" s="70"/>
      <c r="N375" s="70"/>
      <c r="O375" s="70"/>
    </row>
    <row r="376" spans="1:15" x14ac:dyDescent="0.25">
      <c r="A376" s="37"/>
      <c r="B376" s="78"/>
      <c r="C376" s="70"/>
      <c r="D376" s="37"/>
      <c r="E376" s="70"/>
      <c r="F376" s="70"/>
      <c r="G376" s="37"/>
      <c r="H376" s="70"/>
      <c r="I376" s="70"/>
      <c r="J376" s="37"/>
      <c r="K376" s="70"/>
      <c r="L376" s="70"/>
      <c r="M376" s="70"/>
      <c r="N376" s="70"/>
      <c r="O376" s="70"/>
    </row>
    <row r="377" spans="1:15" x14ac:dyDescent="0.25">
      <c r="A377" s="37"/>
      <c r="B377" s="78"/>
      <c r="C377" s="70"/>
      <c r="D377" s="37"/>
      <c r="E377" s="70"/>
      <c r="F377" s="70"/>
      <c r="G377" s="37"/>
      <c r="H377" s="70"/>
      <c r="I377" s="70"/>
      <c r="J377" s="37"/>
      <c r="K377" s="70"/>
      <c r="L377" s="70"/>
      <c r="M377" s="70"/>
      <c r="N377" s="70"/>
      <c r="O377" s="70"/>
    </row>
    <row r="378" spans="1:15" x14ac:dyDescent="0.25">
      <c r="A378" s="37"/>
      <c r="B378" s="78"/>
      <c r="C378" s="70"/>
      <c r="D378" s="37"/>
      <c r="E378" s="70"/>
      <c r="F378" s="70"/>
      <c r="G378" s="37"/>
      <c r="H378" s="70"/>
      <c r="I378" s="70"/>
      <c r="J378" s="37"/>
      <c r="K378" s="70"/>
      <c r="L378" s="70"/>
      <c r="M378" s="70"/>
      <c r="N378" s="70"/>
      <c r="O378" s="70"/>
    </row>
    <row r="379" spans="1:15" x14ac:dyDescent="0.25">
      <c r="A379" s="37"/>
      <c r="B379" s="78"/>
      <c r="C379" s="70"/>
      <c r="D379" s="37"/>
      <c r="E379" s="70"/>
      <c r="F379" s="70"/>
      <c r="G379" s="37"/>
      <c r="H379" s="70"/>
      <c r="I379" s="70"/>
      <c r="J379" s="37"/>
      <c r="K379" s="70"/>
      <c r="L379" s="70"/>
      <c r="M379" s="70"/>
      <c r="N379" s="70"/>
      <c r="O379" s="70"/>
    </row>
    <row r="380" spans="1:15" x14ac:dyDescent="0.25">
      <c r="A380" s="37"/>
      <c r="B380" s="78"/>
      <c r="C380" s="70"/>
      <c r="D380" s="37"/>
      <c r="E380" s="70"/>
      <c r="F380" s="70"/>
      <c r="G380" s="37"/>
      <c r="H380" s="70"/>
      <c r="I380" s="70"/>
      <c r="J380" s="37"/>
      <c r="K380" s="70"/>
      <c r="L380" s="70"/>
      <c r="M380" s="70"/>
      <c r="N380" s="70"/>
      <c r="O380" s="70"/>
    </row>
    <row r="381" spans="1:15" x14ac:dyDescent="0.25">
      <c r="A381" s="37"/>
      <c r="B381" s="78"/>
      <c r="C381" s="70"/>
      <c r="D381" s="37"/>
      <c r="E381" s="70"/>
      <c r="F381" s="70"/>
      <c r="G381" s="37"/>
      <c r="H381" s="70"/>
      <c r="I381" s="70"/>
      <c r="J381" s="37"/>
      <c r="K381" s="70"/>
      <c r="L381" s="70"/>
      <c r="M381" s="70"/>
      <c r="N381" s="70"/>
      <c r="O381" s="70"/>
    </row>
    <row r="382" spans="1:15" x14ac:dyDescent="0.25">
      <c r="A382" s="37"/>
      <c r="B382" s="78"/>
      <c r="C382" s="70"/>
      <c r="D382" s="37"/>
      <c r="E382" s="70"/>
      <c r="F382" s="70"/>
      <c r="G382" s="37"/>
      <c r="H382" s="70"/>
      <c r="I382" s="70"/>
      <c r="J382" s="37"/>
      <c r="K382" s="70"/>
      <c r="L382" s="70"/>
      <c r="M382" s="70"/>
      <c r="N382" s="70"/>
      <c r="O382" s="70"/>
    </row>
    <row r="383" spans="1:15" x14ac:dyDescent="0.25">
      <c r="A383" s="37"/>
      <c r="B383" s="78"/>
      <c r="C383" s="70"/>
      <c r="D383" s="37"/>
      <c r="E383" s="70"/>
      <c r="F383" s="70"/>
      <c r="G383" s="37"/>
      <c r="H383" s="70"/>
      <c r="I383" s="70"/>
      <c r="J383" s="37"/>
      <c r="K383" s="70"/>
      <c r="L383" s="70"/>
      <c r="M383" s="70"/>
      <c r="N383" s="70"/>
      <c r="O383" s="70"/>
    </row>
    <row r="384" spans="1:15" x14ac:dyDescent="0.25">
      <c r="A384" s="37"/>
      <c r="B384" s="78"/>
      <c r="C384" s="70"/>
      <c r="D384" s="37"/>
      <c r="E384" s="70"/>
      <c r="F384" s="70"/>
      <c r="G384" s="37"/>
      <c r="H384" s="70"/>
      <c r="I384" s="70"/>
      <c r="J384" s="37"/>
      <c r="K384" s="70"/>
      <c r="L384" s="70"/>
      <c r="M384" s="70"/>
      <c r="N384" s="70"/>
      <c r="O384" s="70"/>
    </row>
    <row r="385" spans="1:15" x14ac:dyDescent="0.25">
      <c r="A385" s="37"/>
      <c r="B385" s="78"/>
      <c r="C385" s="70"/>
      <c r="D385" s="37"/>
      <c r="E385" s="70"/>
      <c r="F385" s="70"/>
      <c r="G385" s="37"/>
      <c r="H385" s="70"/>
      <c r="I385" s="70"/>
      <c r="J385" s="37"/>
      <c r="K385" s="70"/>
      <c r="L385" s="70"/>
      <c r="M385" s="70"/>
      <c r="N385" s="70"/>
      <c r="O385" s="70"/>
    </row>
    <row r="386" spans="1:15" x14ac:dyDescent="0.25">
      <c r="A386" s="37"/>
      <c r="B386" s="78"/>
      <c r="C386" s="70"/>
      <c r="D386" s="37"/>
      <c r="E386" s="70"/>
      <c r="F386" s="70"/>
      <c r="G386" s="37"/>
      <c r="H386" s="70"/>
      <c r="I386" s="70"/>
      <c r="J386" s="37"/>
      <c r="K386" s="70"/>
      <c r="L386" s="70"/>
      <c r="M386" s="70"/>
      <c r="N386" s="70"/>
      <c r="O386" s="70"/>
    </row>
    <row r="387" spans="1:15" x14ac:dyDescent="0.25">
      <c r="A387" s="37"/>
      <c r="B387" s="78"/>
      <c r="C387" s="70"/>
      <c r="D387" s="37"/>
      <c r="E387" s="70"/>
      <c r="F387" s="70"/>
      <c r="G387" s="37"/>
      <c r="H387" s="70"/>
      <c r="I387" s="70"/>
      <c r="J387" s="37"/>
      <c r="K387" s="70"/>
      <c r="L387" s="70"/>
      <c r="M387" s="70"/>
      <c r="N387" s="70"/>
      <c r="O387" s="70"/>
    </row>
    <row r="388" spans="1:15" x14ac:dyDescent="0.25">
      <c r="A388" s="37"/>
      <c r="B388" s="78"/>
      <c r="C388" s="70"/>
      <c r="D388" s="37"/>
      <c r="E388" s="70"/>
      <c r="F388" s="70"/>
      <c r="G388" s="37"/>
      <c r="H388" s="70"/>
      <c r="I388" s="70"/>
      <c r="J388" s="37"/>
      <c r="K388" s="70"/>
      <c r="L388" s="70"/>
      <c r="M388" s="70"/>
      <c r="N388" s="70"/>
      <c r="O388" s="70"/>
    </row>
    <row r="389" spans="1:15" x14ac:dyDescent="0.25">
      <c r="A389" s="37"/>
      <c r="B389" s="78"/>
      <c r="C389" s="70"/>
      <c r="D389" s="37"/>
      <c r="E389" s="70"/>
      <c r="F389" s="70"/>
      <c r="G389" s="37"/>
      <c r="H389" s="70"/>
      <c r="I389" s="70"/>
      <c r="J389" s="37"/>
      <c r="K389" s="70"/>
      <c r="L389" s="70"/>
      <c r="M389" s="70"/>
      <c r="N389" s="70"/>
      <c r="O389" s="70"/>
    </row>
    <row r="390" spans="1:15" x14ac:dyDescent="0.25">
      <c r="A390" s="37"/>
      <c r="B390" s="78"/>
      <c r="C390" s="70"/>
      <c r="D390" s="37"/>
      <c r="E390" s="70"/>
      <c r="F390" s="70"/>
      <c r="G390" s="37"/>
      <c r="H390" s="70"/>
      <c r="I390" s="70"/>
      <c r="J390" s="37"/>
      <c r="K390" s="70"/>
      <c r="L390" s="70"/>
      <c r="M390" s="70"/>
      <c r="N390" s="70"/>
      <c r="O390" s="70"/>
    </row>
    <row r="391" spans="1:15" x14ac:dyDescent="0.25">
      <c r="A391" s="37"/>
      <c r="B391" s="78"/>
      <c r="C391" s="70"/>
      <c r="D391" s="37"/>
      <c r="E391" s="70"/>
      <c r="F391" s="70"/>
      <c r="G391" s="37"/>
      <c r="H391" s="70"/>
      <c r="I391" s="70"/>
      <c r="J391" s="37"/>
      <c r="K391" s="70"/>
      <c r="L391" s="70"/>
      <c r="M391" s="70"/>
      <c r="N391" s="70"/>
      <c r="O391" s="70"/>
    </row>
    <row r="392" spans="1:15" x14ac:dyDescent="0.25">
      <c r="A392" s="37"/>
      <c r="B392" s="78"/>
      <c r="C392" s="70"/>
      <c r="D392" s="37"/>
      <c r="E392" s="70"/>
      <c r="F392" s="70"/>
      <c r="G392" s="37"/>
      <c r="H392" s="70"/>
      <c r="I392" s="70"/>
      <c r="J392" s="37"/>
      <c r="K392" s="70"/>
      <c r="L392" s="70"/>
      <c r="M392" s="70"/>
      <c r="N392" s="70"/>
      <c r="O392" s="70"/>
    </row>
    <row r="393" spans="1:15" x14ac:dyDescent="0.25">
      <c r="A393" s="37"/>
      <c r="B393" s="78"/>
      <c r="C393" s="70"/>
      <c r="D393" s="37"/>
      <c r="E393" s="70"/>
      <c r="F393" s="70"/>
      <c r="G393" s="37"/>
      <c r="H393" s="70"/>
      <c r="I393" s="70"/>
      <c r="J393" s="37"/>
      <c r="K393" s="70"/>
      <c r="L393" s="70"/>
      <c r="M393" s="70"/>
      <c r="N393" s="70"/>
      <c r="O393" s="70"/>
    </row>
    <row r="394" spans="1:15" x14ac:dyDescent="0.25">
      <c r="A394" s="37"/>
      <c r="B394" s="78"/>
      <c r="C394" s="70"/>
      <c r="D394" s="37"/>
      <c r="E394" s="70"/>
      <c r="F394" s="70"/>
      <c r="G394" s="37"/>
      <c r="H394" s="70"/>
      <c r="I394" s="70"/>
      <c r="J394" s="37"/>
      <c r="K394" s="70"/>
      <c r="L394" s="70"/>
      <c r="M394" s="70"/>
      <c r="N394" s="70"/>
      <c r="O394" s="70"/>
    </row>
    <row r="395" spans="1:15" x14ac:dyDescent="0.25">
      <c r="A395" s="37"/>
      <c r="B395" s="78"/>
      <c r="C395" s="70"/>
      <c r="D395" s="37"/>
      <c r="E395" s="70"/>
      <c r="F395" s="70"/>
      <c r="G395" s="37"/>
      <c r="H395" s="70"/>
      <c r="I395" s="70"/>
      <c r="J395" s="37"/>
      <c r="K395" s="70"/>
      <c r="L395" s="70"/>
      <c r="M395" s="70"/>
      <c r="N395" s="70"/>
      <c r="O395" s="70"/>
    </row>
    <row r="396" spans="1:15" x14ac:dyDescent="0.25">
      <c r="A396" s="37"/>
      <c r="B396" s="78"/>
      <c r="C396" s="70"/>
      <c r="D396" s="37"/>
      <c r="E396" s="70"/>
      <c r="F396" s="70"/>
      <c r="G396" s="37"/>
      <c r="H396" s="70"/>
      <c r="I396" s="70"/>
      <c r="J396" s="37"/>
      <c r="K396" s="70"/>
      <c r="L396" s="70"/>
      <c r="M396" s="70"/>
      <c r="N396" s="70"/>
      <c r="O396" s="70"/>
    </row>
    <row r="397" spans="1:15" x14ac:dyDescent="0.25">
      <c r="A397" s="37"/>
      <c r="B397" s="78"/>
      <c r="C397" s="70"/>
      <c r="D397" s="37"/>
      <c r="E397" s="70"/>
      <c r="F397" s="70"/>
      <c r="G397" s="37"/>
      <c r="H397" s="70"/>
      <c r="I397" s="70"/>
      <c r="J397" s="37"/>
      <c r="K397" s="70"/>
      <c r="L397" s="70"/>
      <c r="M397" s="70"/>
      <c r="N397" s="70"/>
      <c r="O397" s="70"/>
    </row>
    <row r="398" spans="1:15" x14ac:dyDescent="0.25">
      <c r="A398" s="37"/>
      <c r="B398" s="78"/>
      <c r="C398" s="70"/>
      <c r="D398" s="37"/>
      <c r="E398" s="70"/>
      <c r="F398" s="70"/>
      <c r="G398" s="37"/>
      <c r="H398" s="70"/>
      <c r="I398" s="70"/>
      <c r="J398" s="37"/>
      <c r="K398" s="70"/>
      <c r="L398" s="70"/>
      <c r="M398" s="70"/>
      <c r="N398" s="70"/>
      <c r="O398" s="70"/>
    </row>
    <row r="399" spans="1:15" x14ac:dyDescent="0.25">
      <c r="A399" s="37"/>
      <c r="B399" s="78"/>
      <c r="C399" s="70"/>
      <c r="D399" s="37"/>
      <c r="E399" s="70"/>
      <c r="F399" s="70"/>
      <c r="G399" s="37"/>
      <c r="H399" s="70"/>
      <c r="I399" s="70"/>
      <c r="J399" s="37"/>
      <c r="K399" s="70"/>
      <c r="L399" s="70"/>
      <c r="M399" s="70"/>
      <c r="N399" s="70"/>
      <c r="O399" s="70"/>
    </row>
    <row r="400" spans="1:15" x14ac:dyDescent="0.25">
      <c r="A400" s="37"/>
      <c r="B400" s="78"/>
      <c r="C400" s="70"/>
      <c r="D400" s="37"/>
      <c r="E400" s="70"/>
      <c r="F400" s="70"/>
      <c r="G400" s="37"/>
      <c r="H400" s="70"/>
      <c r="I400" s="70"/>
      <c r="J400" s="37"/>
      <c r="K400" s="70"/>
      <c r="L400" s="70"/>
      <c r="M400" s="70"/>
      <c r="N400" s="70"/>
      <c r="O400" s="70"/>
    </row>
    <row r="401" spans="1:15" x14ac:dyDescent="0.25">
      <c r="A401" s="37"/>
      <c r="B401" s="78"/>
      <c r="C401" s="70"/>
      <c r="D401" s="37"/>
      <c r="E401" s="70"/>
      <c r="F401" s="70"/>
      <c r="G401" s="37"/>
      <c r="H401" s="70"/>
      <c r="I401" s="70"/>
      <c r="J401" s="37"/>
      <c r="K401" s="70"/>
      <c r="L401" s="70"/>
      <c r="M401" s="70"/>
      <c r="N401" s="70"/>
      <c r="O401" s="70"/>
    </row>
    <row r="402" spans="1:15" x14ac:dyDescent="0.25">
      <c r="A402" s="37"/>
      <c r="B402" s="78"/>
      <c r="C402" s="70"/>
      <c r="D402" s="37"/>
      <c r="E402" s="70"/>
      <c r="F402" s="70"/>
      <c r="G402" s="37"/>
      <c r="H402" s="70"/>
      <c r="I402" s="70"/>
      <c r="J402" s="37"/>
      <c r="K402" s="70"/>
      <c r="L402" s="70"/>
      <c r="M402" s="70"/>
      <c r="N402" s="70"/>
      <c r="O402" s="70"/>
    </row>
    <row r="403" spans="1:15" x14ac:dyDescent="0.25">
      <c r="A403" s="37"/>
      <c r="B403" s="78"/>
      <c r="C403" s="70"/>
      <c r="D403" s="37"/>
      <c r="E403" s="70"/>
      <c r="F403" s="70"/>
      <c r="G403" s="37"/>
      <c r="H403" s="70"/>
      <c r="I403" s="70"/>
      <c r="J403" s="37"/>
      <c r="K403" s="70"/>
      <c r="L403" s="70"/>
      <c r="M403" s="70"/>
      <c r="N403" s="70"/>
      <c r="O403" s="70"/>
    </row>
    <row r="404" spans="1:15" x14ac:dyDescent="0.25">
      <c r="A404" s="37"/>
      <c r="B404" s="78"/>
      <c r="C404" s="70"/>
      <c r="D404" s="37"/>
      <c r="E404" s="70"/>
      <c r="F404" s="70"/>
      <c r="G404" s="37"/>
      <c r="H404" s="70"/>
      <c r="I404" s="70"/>
      <c r="J404" s="37"/>
      <c r="K404" s="70"/>
      <c r="L404" s="70"/>
      <c r="M404" s="70"/>
      <c r="N404" s="70"/>
      <c r="O404" s="70"/>
    </row>
    <row r="405" spans="1:15" x14ac:dyDescent="0.25">
      <c r="A405" s="37"/>
      <c r="B405" s="78"/>
      <c r="C405" s="70"/>
      <c r="D405" s="37"/>
      <c r="E405" s="70"/>
      <c r="F405" s="70"/>
      <c r="G405" s="37"/>
      <c r="H405" s="70"/>
      <c r="I405" s="70"/>
      <c r="J405" s="37"/>
      <c r="K405" s="70"/>
      <c r="L405" s="70"/>
      <c r="M405" s="70"/>
      <c r="N405" s="70"/>
      <c r="O405" s="70"/>
    </row>
    <row r="406" spans="1:15" x14ac:dyDescent="0.25">
      <c r="A406" s="37"/>
      <c r="B406" s="78"/>
      <c r="C406" s="70"/>
      <c r="D406" s="37"/>
      <c r="E406" s="70"/>
      <c r="F406" s="70"/>
      <c r="G406" s="37"/>
      <c r="H406" s="70"/>
      <c r="I406" s="70"/>
      <c r="J406" s="37"/>
      <c r="K406" s="70"/>
      <c r="L406" s="70"/>
      <c r="M406" s="70"/>
      <c r="N406" s="70"/>
      <c r="O406" s="70"/>
    </row>
    <row r="407" spans="1:15" x14ac:dyDescent="0.25">
      <c r="A407" s="37"/>
      <c r="B407" s="78"/>
      <c r="C407" s="70"/>
      <c r="D407" s="37"/>
      <c r="E407" s="70"/>
      <c r="F407" s="70"/>
      <c r="G407" s="37"/>
      <c r="H407" s="70"/>
      <c r="I407" s="70"/>
      <c r="J407" s="37"/>
      <c r="K407" s="70"/>
      <c r="L407" s="70"/>
      <c r="M407" s="70"/>
      <c r="N407" s="70"/>
      <c r="O407" s="70"/>
    </row>
    <row r="408" spans="1:15" x14ac:dyDescent="0.25">
      <c r="A408" s="37"/>
      <c r="B408" s="78"/>
      <c r="C408" s="70"/>
      <c r="D408" s="37"/>
      <c r="E408" s="70"/>
      <c r="F408" s="70"/>
      <c r="G408" s="37"/>
      <c r="H408" s="70"/>
      <c r="I408" s="70"/>
      <c r="J408" s="37"/>
      <c r="K408" s="70"/>
      <c r="L408" s="70"/>
      <c r="M408" s="70"/>
      <c r="N408" s="70"/>
      <c r="O408" s="70"/>
    </row>
    <row r="409" spans="1:15" x14ac:dyDescent="0.25">
      <c r="A409" s="37"/>
      <c r="B409" s="78"/>
      <c r="C409" s="70"/>
      <c r="D409" s="37"/>
      <c r="E409" s="70"/>
      <c r="F409" s="70"/>
      <c r="G409" s="37"/>
      <c r="H409" s="70"/>
      <c r="I409" s="70"/>
      <c r="J409" s="37"/>
      <c r="K409" s="70"/>
      <c r="L409" s="70"/>
      <c r="M409" s="70"/>
      <c r="N409" s="70"/>
      <c r="O409" s="70"/>
    </row>
    <row r="410" spans="1:15" x14ac:dyDescent="0.25">
      <c r="A410" s="37"/>
      <c r="B410" s="78"/>
      <c r="C410" s="70"/>
      <c r="D410" s="37"/>
      <c r="E410" s="70"/>
      <c r="F410" s="70"/>
      <c r="G410" s="37"/>
      <c r="H410" s="70"/>
      <c r="I410" s="70"/>
      <c r="J410" s="37"/>
      <c r="K410" s="70"/>
      <c r="L410" s="70"/>
      <c r="M410" s="70"/>
      <c r="N410" s="70"/>
      <c r="O410" s="70"/>
    </row>
    <row r="411" spans="1:15" x14ac:dyDescent="0.25">
      <c r="A411" s="37"/>
      <c r="B411" s="78"/>
      <c r="C411" s="70"/>
      <c r="D411" s="37"/>
      <c r="E411" s="70"/>
      <c r="F411" s="70"/>
      <c r="G411" s="37"/>
      <c r="H411" s="70"/>
      <c r="I411" s="70"/>
      <c r="J411" s="37"/>
      <c r="K411" s="70"/>
      <c r="L411" s="70"/>
      <c r="M411" s="70"/>
      <c r="N411" s="70"/>
      <c r="O411" s="70"/>
    </row>
    <row r="412" spans="1:15" x14ac:dyDescent="0.25">
      <c r="A412" s="37"/>
      <c r="B412" s="78"/>
      <c r="C412" s="70"/>
      <c r="D412" s="37"/>
      <c r="E412" s="70"/>
      <c r="F412" s="70"/>
      <c r="G412" s="37"/>
      <c r="H412" s="70"/>
      <c r="I412" s="70"/>
      <c r="J412" s="37"/>
      <c r="K412" s="70"/>
      <c r="L412" s="70"/>
      <c r="M412" s="70"/>
      <c r="N412" s="70"/>
      <c r="O412" s="70"/>
    </row>
    <row r="413" spans="1:15" x14ac:dyDescent="0.25">
      <c r="A413" s="37"/>
      <c r="B413" s="78"/>
      <c r="C413" s="70"/>
      <c r="D413" s="37"/>
      <c r="E413" s="70"/>
      <c r="F413" s="70"/>
      <c r="G413" s="37"/>
      <c r="H413" s="70"/>
      <c r="I413" s="70"/>
      <c r="J413" s="37"/>
      <c r="K413" s="70"/>
      <c r="L413" s="70"/>
      <c r="M413" s="70"/>
      <c r="N413" s="70"/>
      <c r="O413" s="70"/>
    </row>
    <row r="414" spans="1:15" x14ac:dyDescent="0.25">
      <c r="A414" s="37"/>
      <c r="B414" s="78"/>
      <c r="C414" s="70"/>
      <c r="D414" s="37"/>
      <c r="E414" s="70"/>
      <c r="F414" s="70"/>
      <c r="G414" s="37"/>
      <c r="H414" s="70"/>
      <c r="I414" s="70"/>
      <c r="J414" s="37"/>
      <c r="K414" s="70"/>
      <c r="L414" s="70"/>
      <c r="M414" s="70"/>
      <c r="N414" s="70"/>
      <c r="O414" s="70"/>
    </row>
    <row r="415" spans="1:15" x14ac:dyDescent="0.25">
      <c r="A415" s="37"/>
      <c r="B415" s="78"/>
      <c r="C415" s="70"/>
      <c r="D415" s="37"/>
      <c r="E415" s="70"/>
      <c r="F415" s="70"/>
      <c r="G415" s="37"/>
      <c r="H415" s="70"/>
      <c r="I415" s="70"/>
      <c r="J415" s="37"/>
      <c r="K415" s="70"/>
      <c r="L415" s="70"/>
      <c r="M415" s="70"/>
      <c r="N415" s="70"/>
      <c r="O415" s="70"/>
    </row>
    <row r="416" spans="1:15" x14ac:dyDescent="0.25">
      <c r="A416" s="37"/>
      <c r="B416" s="78"/>
      <c r="C416" s="70"/>
      <c r="D416" s="37"/>
      <c r="E416" s="70"/>
      <c r="F416" s="70"/>
      <c r="G416" s="37"/>
      <c r="H416" s="70"/>
      <c r="I416" s="70"/>
      <c r="J416" s="37"/>
      <c r="K416" s="70"/>
      <c r="L416" s="70"/>
      <c r="M416" s="70"/>
      <c r="N416" s="70"/>
      <c r="O416" s="70"/>
    </row>
    <row r="417" spans="1:15" x14ac:dyDescent="0.25">
      <c r="A417" s="37"/>
      <c r="B417" s="78"/>
      <c r="C417" s="70"/>
      <c r="D417" s="37"/>
      <c r="E417" s="70"/>
      <c r="F417" s="70"/>
      <c r="G417" s="37"/>
      <c r="H417" s="70"/>
      <c r="I417" s="70"/>
      <c r="J417" s="37"/>
      <c r="K417" s="70"/>
      <c r="L417" s="70"/>
      <c r="M417" s="70"/>
      <c r="N417" s="70"/>
      <c r="O417" s="70"/>
    </row>
    <row r="418" spans="1:15" x14ac:dyDescent="0.25">
      <c r="A418" s="37"/>
      <c r="B418" s="78"/>
      <c r="C418" s="70"/>
      <c r="D418" s="37"/>
      <c r="E418" s="70"/>
      <c r="F418" s="70"/>
      <c r="G418" s="37"/>
      <c r="H418" s="70"/>
      <c r="I418" s="70"/>
      <c r="J418" s="37"/>
      <c r="K418" s="70"/>
      <c r="L418" s="70"/>
      <c r="M418" s="70"/>
      <c r="N418" s="70"/>
      <c r="O418" s="70"/>
    </row>
    <row r="419" spans="1:15" x14ac:dyDescent="0.25">
      <c r="A419" s="37"/>
      <c r="B419" s="78"/>
      <c r="C419" s="70"/>
      <c r="D419" s="37"/>
      <c r="E419" s="70"/>
      <c r="F419" s="70"/>
      <c r="G419" s="37"/>
      <c r="H419" s="70"/>
      <c r="I419" s="70"/>
      <c r="J419" s="37"/>
      <c r="K419" s="70"/>
      <c r="L419" s="70"/>
      <c r="M419" s="70"/>
      <c r="N419" s="70"/>
      <c r="O419" s="70"/>
    </row>
    <row r="420" spans="1:15" x14ac:dyDescent="0.25">
      <c r="A420" s="37"/>
      <c r="B420" s="78"/>
      <c r="C420" s="70"/>
      <c r="D420" s="37"/>
      <c r="E420" s="70"/>
      <c r="F420" s="70"/>
      <c r="G420" s="37"/>
      <c r="H420" s="70"/>
      <c r="I420" s="70"/>
      <c r="J420" s="37"/>
      <c r="K420" s="70"/>
      <c r="L420" s="70"/>
      <c r="M420" s="70"/>
      <c r="N420" s="70"/>
      <c r="O420" s="70"/>
    </row>
    <row r="421" spans="1:15" x14ac:dyDescent="0.25">
      <c r="A421" s="37"/>
      <c r="B421" s="78"/>
      <c r="C421" s="70"/>
      <c r="D421" s="37"/>
      <c r="E421" s="70"/>
      <c r="F421" s="70"/>
      <c r="G421" s="37"/>
      <c r="H421" s="70"/>
      <c r="I421" s="70"/>
      <c r="J421" s="37"/>
      <c r="K421" s="70"/>
      <c r="L421" s="70"/>
      <c r="M421" s="70"/>
      <c r="N421" s="70"/>
      <c r="O421" s="70"/>
    </row>
    <row r="422" spans="1:15" x14ac:dyDescent="0.25">
      <c r="A422" s="37"/>
      <c r="B422" s="78"/>
      <c r="C422" s="70"/>
      <c r="D422" s="37"/>
      <c r="E422" s="70"/>
      <c r="F422" s="70"/>
      <c r="G422" s="37"/>
      <c r="H422" s="70"/>
      <c r="I422" s="70"/>
      <c r="J422" s="37"/>
      <c r="K422" s="70"/>
      <c r="L422" s="70"/>
      <c r="M422" s="70"/>
      <c r="N422" s="70"/>
      <c r="O422" s="70"/>
    </row>
    <row r="423" spans="1:15" x14ac:dyDescent="0.25">
      <c r="A423" s="37"/>
      <c r="B423" s="78"/>
      <c r="C423" s="70"/>
      <c r="D423" s="37"/>
      <c r="E423" s="70"/>
      <c r="F423" s="70"/>
      <c r="G423" s="37"/>
      <c r="H423" s="70"/>
      <c r="I423" s="70"/>
      <c r="J423" s="37"/>
      <c r="K423" s="70"/>
      <c r="L423" s="70"/>
      <c r="M423" s="70"/>
      <c r="N423" s="70"/>
      <c r="O423" s="70"/>
    </row>
    <row r="424" spans="1:15" x14ac:dyDescent="0.25">
      <c r="A424" s="37"/>
      <c r="B424" s="78"/>
      <c r="C424" s="70"/>
      <c r="D424" s="37"/>
      <c r="E424" s="70"/>
      <c r="F424" s="70"/>
      <c r="G424" s="37"/>
      <c r="H424" s="70"/>
      <c r="I424" s="70"/>
      <c r="J424" s="37"/>
      <c r="K424" s="70"/>
      <c r="L424" s="70"/>
      <c r="M424" s="70"/>
      <c r="N424" s="70"/>
      <c r="O424" s="70"/>
    </row>
    <row r="425" spans="1:15" x14ac:dyDescent="0.25">
      <c r="A425" s="37"/>
      <c r="B425" s="78"/>
      <c r="C425" s="70"/>
      <c r="D425" s="37"/>
      <c r="E425" s="70"/>
      <c r="F425" s="70"/>
      <c r="G425" s="37"/>
      <c r="H425" s="70"/>
      <c r="I425" s="70"/>
      <c r="J425" s="37"/>
      <c r="K425" s="70"/>
      <c r="L425" s="70"/>
      <c r="M425" s="70"/>
      <c r="N425" s="70"/>
      <c r="O425" s="70"/>
    </row>
    <row r="426" spans="1:15" x14ac:dyDescent="0.25">
      <c r="A426" s="37"/>
      <c r="B426" s="78"/>
      <c r="C426" s="70"/>
      <c r="D426" s="37"/>
      <c r="E426" s="70"/>
      <c r="F426" s="70"/>
      <c r="G426" s="37"/>
      <c r="H426" s="70"/>
      <c r="I426" s="70"/>
      <c r="J426" s="37"/>
      <c r="K426" s="70"/>
      <c r="L426" s="70"/>
      <c r="M426" s="70"/>
      <c r="N426" s="70"/>
      <c r="O426" s="70"/>
    </row>
    <row r="427" spans="1:15" x14ac:dyDescent="0.25">
      <c r="A427" s="37"/>
      <c r="B427" s="78"/>
      <c r="C427" s="70"/>
      <c r="D427" s="37"/>
      <c r="E427" s="70"/>
      <c r="F427" s="70"/>
      <c r="G427" s="37"/>
      <c r="H427" s="70"/>
      <c r="I427" s="70"/>
      <c r="J427" s="37"/>
      <c r="K427" s="70"/>
      <c r="L427" s="70"/>
      <c r="M427" s="70"/>
      <c r="N427" s="70"/>
      <c r="O427" s="70"/>
    </row>
    <row r="428" spans="1:15" x14ac:dyDescent="0.25">
      <c r="A428" s="37"/>
      <c r="B428" s="78"/>
      <c r="C428" s="70"/>
      <c r="D428" s="37"/>
      <c r="E428" s="70"/>
      <c r="F428" s="70"/>
      <c r="G428" s="37"/>
      <c r="H428" s="70"/>
      <c r="I428" s="70"/>
      <c r="J428" s="37"/>
      <c r="K428" s="70"/>
      <c r="L428" s="70"/>
      <c r="M428" s="70"/>
      <c r="N428" s="70"/>
      <c r="O428" s="70"/>
    </row>
    <row r="429" spans="1:15" x14ac:dyDescent="0.25">
      <c r="A429" s="37"/>
      <c r="B429" s="78"/>
      <c r="C429" s="70"/>
      <c r="D429" s="37"/>
      <c r="E429" s="70"/>
      <c r="F429" s="70"/>
      <c r="G429" s="37"/>
      <c r="H429" s="70"/>
      <c r="I429" s="70"/>
      <c r="J429" s="37"/>
      <c r="K429" s="70"/>
      <c r="L429" s="70"/>
      <c r="M429" s="70"/>
      <c r="N429" s="70"/>
      <c r="O429" s="70"/>
    </row>
    <row r="430" spans="1:15" x14ac:dyDescent="0.25">
      <c r="A430" s="37"/>
      <c r="B430" s="78"/>
      <c r="C430" s="70"/>
      <c r="D430" s="37"/>
      <c r="E430" s="70"/>
      <c r="F430" s="70"/>
      <c r="G430" s="37"/>
      <c r="H430" s="70"/>
      <c r="I430" s="70"/>
      <c r="J430" s="37"/>
      <c r="K430" s="70"/>
      <c r="L430" s="70"/>
      <c r="M430" s="70"/>
      <c r="N430" s="70"/>
      <c r="O430" s="70"/>
    </row>
    <row r="431" spans="1:15" x14ac:dyDescent="0.25">
      <c r="A431" s="37"/>
      <c r="B431" s="78"/>
      <c r="C431" s="70"/>
      <c r="D431" s="37"/>
      <c r="E431" s="70"/>
      <c r="F431" s="70"/>
      <c r="G431" s="37"/>
      <c r="H431" s="70"/>
      <c r="I431" s="70"/>
      <c r="J431" s="37"/>
      <c r="K431" s="70"/>
      <c r="L431" s="70"/>
      <c r="M431" s="70"/>
      <c r="N431" s="70"/>
      <c r="O431" s="70"/>
    </row>
    <row r="432" spans="1:15" x14ac:dyDescent="0.25">
      <c r="A432" s="37"/>
      <c r="B432" s="78"/>
      <c r="C432" s="70"/>
      <c r="D432" s="37"/>
      <c r="E432" s="70"/>
      <c r="F432" s="70"/>
      <c r="G432" s="37"/>
      <c r="H432" s="70"/>
      <c r="I432" s="70"/>
      <c r="J432" s="37"/>
      <c r="K432" s="70"/>
      <c r="L432" s="70"/>
      <c r="M432" s="70"/>
      <c r="N432" s="70"/>
      <c r="O432" s="70"/>
    </row>
    <row r="433" spans="1:15" x14ac:dyDescent="0.25">
      <c r="A433" s="37"/>
      <c r="B433" s="78"/>
      <c r="C433" s="70"/>
      <c r="D433" s="37"/>
      <c r="E433" s="70"/>
      <c r="F433" s="70"/>
      <c r="G433" s="37"/>
      <c r="H433" s="70"/>
      <c r="I433" s="70"/>
      <c r="J433" s="37"/>
      <c r="K433" s="70"/>
      <c r="L433" s="70"/>
      <c r="M433" s="70"/>
      <c r="N433" s="70"/>
      <c r="O433" s="70"/>
    </row>
    <row r="434" spans="1:15" x14ac:dyDescent="0.25">
      <c r="A434" s="37"/>
      <c r="B434" s="78"/>
      <c r="C434" s="70"/>
      <c r="D434" s="37"/>
      <c r="E434" s="70"/>
      <c r="F434" s="70"/>
      <c r="G434" s="37"/>
      <c r="H434" s="70"/>
      <c r="I434" s="70"/>
      <c r="J434" s="37"/>
      <c r="K434" s="70"/>
      <c r="L434" s="70"/>
      <c r="M434" s="70"/>
      <c r="N434" s="70"/>
      <c r="O434" s="70"/>
    </row>
    <row r="435" spans="1:15" x14ac:dyDescent="0.25">
      <c r="A435" s="37"/>
      <c r="B435" s="78"/>
      <c r="C435" s="70"/>
      <c r="D435" s="37"/>
      <c r="E435" s="70"/>
      <c r="F435" s="70"/>
      <c r="G435" s="37"/>
      <c r="H435" s="70"/>
      <c r="I435" s="70"/>
      <c r="J435" s="37"/>
      <c r="K435" s="70"/>
      <c r="L435" s="70"/>
      <c r="M435" s="70"/>
      <c r="N435" s="70"/>
      <c r="O435" s="70"/>
    </row>
    <row r="436" spans="1:15" x14ac:dyDescent="0.25">
      <c r="A436" s="37"/>
      <c r="B436" s="78"/>
      <c r="C436" s="70"/>
      <c r="D436" s="37"/>
      <c r="E436" s="70"/>
      <c r="F436" s="70"/>
      <c r="G436" s="37"/>
      <c r="H436" s="70"/>
      <c r="I436" s="70"/>
      <c r="J436" s="37"/>
      <c r="K436" s="70"/>
      <c r="L436" s="70"/>
      <c r="M436" s="70"/>
      <c r="N436" s="70"/>
      <c r="O436" s="70"/>
    </row>
    <row r="437" spans="1:15" x14ac:dyDescent="0.25">
      <c r="A437" s="37"/>
      <c r="B437" s="78"/>
      <c r="C437" s="70"/>
      <c r="D437" s="37"/>
      <c r="E437" s="70"/>
      <c r="F437" s="70"/>
      <c r="G437" s="37"/>
      <c r="H437" s="70"/>
      <c r="I437" s="70"/>
      <c r="J437" s="37"/>
      <c r="K437" s="70"/>
      <c r="L437" s="70"/>
      <c r="M437" s="70"/>
      <c r="N437" s="70"/>
      <c r="O437" s="70"/>
    </row>
    <row r="438" spans="1:15" x14ac:dyDescent="0.25">
      <c r="A438" s="37"/>
      <c r="B438" s="78"/>
      <c r="C438" s="70"/>
      <c r="D438" s="37"/>
      <c r="E438" s="70"/>
      <c r="F438" s="70"/>
      <c r="G438" s="37"/>
      <c r="H438" s="70"/>
      <c r="I438" s="70"/>
      <c r="J438" s="37"/>
      <c r="K438" s="70"/>
      <c r="L438" s="70"/>
      <c r="M438" s="70"/>
      <c r="N438" s="70"/>
      <c r="O438" s="70"/>
    </row>
    <row r="439" spans="1:15" x14ac:dyDescent="0.25">
      <c r="A439" s="37"/>
      <c r="B439" s="78"/>
      <c r="C439" s="70"/>
      <c r="D439" s="37"/>
      <c r="E439" s="70"/>
      <c r="F439" s="70"/>
      <c r="G439" s="37"/>
      <c r="H439" s="70"/>
      <c r="I439" s="70"/>
      <c r="J439" s="37"/>
      <c r="K439" s="70"/>
      <c r="L439" s="70"/>
      <c r="M439" s="70"/>
      <c r="N439" s="70"/>
      <c r="O439" s="70"/>
    </row>
    <row r="440" spans="1:15" x14ac:dyDescent="0.25">
      <c r="A440" s="37"/>
      <c r="B440" s="78"/>
      <c r="C440" s="70"/>
      <c r="D440" s="37"/>
      <c r="E440" s="70"/>
      <c r="F440" s="70"/>
      <c r="G440" s="37"/>
      <c r="H440" s="70"/>
      <c r="I440" s="70"/>
      <c r="J440" s="37"/>
      <c r="K440" s="70"/>
      <c r="L440" s="70"/>
      <c r="M440" s="70"/>
      <c r="N440" s="70"/>
      <c r="O440" s="70"/>
    </row>
    <row r="441" spans="1:15" x14ac:dyDescent="0.25">
      <c r="A441" s="37"/>
      <c r="B441" s="78"/>
      <c r="C441" s="70"/>
      <c r="D441" s="37"/>
      <c r="E441" s="70"/>
      <c r="F441" s="70"/>
      <c r="G441" s="37"/>
      <c r="H441" s="70"/>
      <c r="I441" s="70"/>
      <c r="J441" s="37"/>
      <c r="K441" s="70"/>
      <c r="L441" s="70"/>
      <c r="M441" s="70"/>
      <c r="N441" s="70"/>
      <c r="O441" s="70"/>
    </row>
    <row r="442" spans="1:15" x14ac:dyDescent="0.25">
      <c r="A442" s="37"/>
      <c r="B442" s="78"/>
      <c r="C442" s="70"/>
      <c r="D442" s="37"/>
      <c r="E442" s="70"/>
      <c r="F442" s="70"/>
      <c r="G442" s="37"/>
      <c r="H442" s="70"/>
      <c r="I442" s="70"/>
      <c r="J442" s="37"/>
      <c r="K442" s="70"/>
      <c r="L442" s="70"/>
      <c r="M442" s="70"/>
      <c r="N442" s="70"/>
      <c r="O442" s="70"/>
    </row>
    <row r="443" spans="1:15" x14ac:dyDescent="0.25">
      <c r="A443" s="37"/>
      <c r="B443" s="78"/>
      <c r="C443" s="70"/>
      <c r="D443" s="37"/>
      <c r="E443" s="70"/>
      <c r="F443" s="70"/>
      <c r="G443" s="37"/>
      <c r="H443" s="70"/>
      <c r="I443" s="70"/>
      <c r="J443" s="37"/>
      <c r="K443" s="70"/>
      <c r="L443" s="70"/>
      <c r="M443" s="70"/>
      <c r="N443" s="70"/>
      <c r="O443" s="70"/>
    </row>
    <row r="444" spans="1:15" x14ac:dyDescent="0.25">
      <c r="A444" s="37"/>
      <c r="B444" s="78"/>
      <c r="C444" s="70"/>
      <c r="D444" s="37"/>
      <c r="E444" s="70"/>
      <c r="F444" s="70"/>
      <c r="G444" s="37"/>
      <c r="H444" s="70"/>
      <c r="I444" s="70"/>
      <c r="J444" s="37"/>
      <c r="K444" s="70"/>
      <c r="L444" s="70"/>
      <c r="M444" s="70"/>
      <c r="N444" s="70"/>
      <c r="O444" s="70"/>
    </row>
    <row r="445" spans="1:15" x14ac:dyDescent="0.25">
      <c r="A445" s="37"/>
      <c r="B445" s="78"/>
      <c r="C445" s="70"/>
      <c r="D445" s="37"/>
      <c r="E445" s="70"/>
      <c r="F445" s="70"/>
      <c r="G445" s="37"/>
      <c r="H445" s="70"/>
      <c r="I445" s="70"/>
      <c r="J445" s="37"/>
      <c r="K445" s="70"/>
      <c r="L445" s="70"/>
      <c r="M445" s="70"/>
      <c r="N445" s="70"/>
      <c r="O445" s="70"/>
    </row>
    <row r="446" spans="1:15" x14ac:dyDescent="0.25">
      <c r="A446" s="37"/>
      <c r="B446" s="78"/>
      <c r="C446" s="70"/>
      <c r="D446" s="37"/>
      <c r="E446" s="70"/>
      <c r="F446" s="70"/>
      <c r="G446" s="37"/>
      <c r="H446" s="70"/>
      <c r="I446" s="70"/>
      <c r="J446" s="37"/>
      <c r="K446" s="70"/>
      <c r="L446" s="70"/>
      <c r="M446" s="70"/>
      <c r="N446" s="70"/>
      <c r="O446" s="70"/>
    </row>
    <row r="447" spans="1:15" x14ac:dyDescent="0.25">
      <c r="A447" s="37"/>
      <c r="B447" s="78"/>
      <c r="C447" s="70"/>
      <c r="D447" s="37"/>
      <c r="E447" s="70"/>
      <c r="F447" s="70"/>
      <c r="G447" s="37"/>
      <c r="H447" s="70"/>
      <c r="I447" s="70"/>
      <c r="J447" s="37"/>
      <c r="K447" s="70"/>
      <c r="L447" s="70"/>
      <c r="M447" s="70"/>
      <c r="N447" s="70"/>
      <c r="O447" s="70"/>
    </row>
    <row r="448" spans="1:15" x14ac:dyDescent="0.25">
      <c r="A448" s="37"/>
      <c r="B448" s="78"/>
      <c r="C448" s="70"/>
      <c r="D448" s="37"/>
      <c r="E448" s="70"/>
      <c r="F448" s="70"/>
      <c r="G448" s="37"/>
      <c r="H448" s="70"/>
      <c r="I448" s="70"/>
      <c r="J448" s="37"/>
      <c r="K448" s="70"/>
      <c r="L448" s="70"/>
      <c r="M448" s="70"/>
      <c r="N448" s="70"/>
      <c r="O448" s="70"/>
    </row>
    <row r="449" spans="1:15" x14ac:dyDescent="0.25">
      <c r="A449" s="37"/>
      <c r="B449" s="78"/>
      <c r="C449" s="70"/>
      <c r="D449" s="37"/>
      <c r="E449" s="70"/>
      <c r="F449" s="70"/>
      <c r="G449" s="37"/>
      <c r="H449" s="70"/>
      <c r="I449" s="70"/>
      <c r="J449" s="37"/>
      <c r="K449" s="70"/>
      <c r="L449" s="70"/>
      <c r="M449" s="70"/>
      <c r="N449" s="70"/>
      <c r="O449" s="70"/>
    </row>
    <row r="450" spans="1:15" x14ac:dyDescent="0.25">
      <c r="A450" s="37"/>
      <c r="B450" s="78"/>
      <c r="C450" s="70"/>
      <c r="D450" s="37"/>
      <c r="E450" s="70"/>
      <c r="F450" s="70"/>
      <c r="G450" s="37"/>
      <c r="H450" s="70"/>
      <c r="I450" s="70"/>
      <c r="J450" s="37"/>
      <c r="K450" s="70"/>
      <c r="L450" s="70"/>
      <c r="M450" s="70"/>
      <c r="N450" s="70"/>
      <c r="O450" s="70"/>
    </row>
    <row r="451" spans="1:15" x14ac:dyDescent="0.25">
      <c r="A451" s="37"/>
      <c r="B451" s="78"/>
      <c r="C451" s="70"/>
      <c r="D451" s="37"/>
      <c r="E451" s="70"/>
      <c r="F451" s="70"/>
      <c r="G451" s="37"/>
      <c r="H451" s="70"/>
      <c r="I451" s="70"/>
      <c r="J451" s="37"/>
      <c r="K451" s="70"/>
      <c r="L451" s="70"/>
      <c r="M451" s="70"/>
      <c r="N451" s="70"/>
      <c r="O451" s="70"/>
    </row>
    <row r="452" spans="1:15" x14ac:dyDescent="0.25">
      <c r="A452" s="37"/>
      <c r="B452" s="78"/>
      <c r="C452" s="70"/>
      <c r="D452" s="37"/>
      <c r="E452" s="70"/>
      <c r="F452" s="70"/>
      <c r="G452" s="37"/>
      <c r="H452" s="70"/>
      <c r="I452" s="70"/>
      <c r="J452" s="37"/>
      <c r="K452" s="70"/>
      <c r="L452" s="70"/>
      <c r="M452" s="70"/>
      <c r="N452" s="70"/>
      <c r="O452" s="70"/>
    </row>
    <row r="453" spans="1:15" x14ac:dyDescent="0.25">
      <c r="A453" s="37"/>
      <c r="B453" s="78"/>
      <c r="C453" s="70"/>
      <c r="D453" s="37"/>
      <c r="E453" s="70"/>
      <c r="F453" s="70"/>
      <c r="G453" s="37"/>
      <c r="H453" s="70"/>
      <c r="I453" s="70"/>
      <c r="J453" s="37"/>
      <c r="K453" s="70"/>
      <c r="L453" s="70"/>
      <c r="M453" s="70"/>
      <c r="N453" s="70"/>
      <c r="O453" s="70"/>
    </row>
    <row r="454" spans="1:15" x14ac:dyDescent="0.25">
      <c r="A454" s="37"/>
      <c r="B454" s="78"/>
      <c r="C454" s="70"/>
      <c r="D454" s="37"/>
      <c r="E454" s="70"/>
      <c r="F454" s="70"/>
      <c r="G454" s="37"/>
      <c r="H454" s="70"/>
      <c r="I454" s="70"/>
      <c r="J454" s="37"/>
      <c r="K454" s="70"/>
      <c r="L454" s="70"/>
      <c r="M454" s="70"/>
      <c r="N454" s="70"/>
      <c r="O454" s="70"/>
    </row>
    <row r="455" spans="1:15" x14ac:dyDescent="0.25">
      <c r="A455" s="37"/>
      <c r="B455" s="78"/>
      <c r="C455" s="70"/>
      <c r="D455" s="37"/>
      <c r="E455" s="70"/>
      <c r="F455" s="70"/>
      <c r="G455" s="37"/>
      <c r="H455" s="70"/>
      <c r="I455" s="70"/>
      <c r="J455" s="37"/>
      <c r="K455" s="70"/>
      <c r="L455" s="70"/>
      <c r="M455" s="70"/>
      <c r="N455" s="70"/>
      <c r="O455" s="70"/>
    </row>
    <row r="456" spans="1:15" x14ac:dyDescent="0.25">
      <c r="A456" s="37"/>
      <c r="B456" s="78"/>
      <c r="C456" s="70"/>
      <c r="D456" s="37"/>
      <c r="E456" s="70"/>
      <c r="F456" s="70"/>
      <c r="G456" s="37"/>
      <c r="H456" s="70"/>
      <c r="I456" s="70"/>
      <c r="J456" s="37"/>
      <c r="K456" s="70"/>
      <c r="L456" s="70"/>
      <c r="M456" s="70"/>
      <c r="N456" s="70"/>
      <c r="O456" s="70"/>
    </row>
    <row r="457" spans="1:15" x14ac:dyDescent="0.25">
      <c r="A457" s="37"/>
      <c r="B457" s="78"/>
      <c r="C457" s="70"/>
      <c r="D457" s="37"/>
      <c r="E457" s="70"/>
      <c r="F457" s="70"/>
      <c r="G457" s="37"/>
      <c r="H457" s="70"/>
      <c r="I457" s="70"/>
      <c r="J457" s="37"/>
      <c r="K457" s="70"/>
      <c r="L457" s="70"/>
      <c r="M457" s="70"/>
      <c r="N457" s="70"/>
      <c r="O457" s="70"/>
    </row>
    <row r="458" spans="1:15" x14ac:dyDescent="0.25">
      <c r="A458" s="37"/>
      <c r="B458" s="78"/>
      <c r="C458" s="70"/>
      <c r="D458" s="37"/>
      <c r="E458" s="70"/>
      <c r="F458" s="70"/>
      <c r="G458" s="37"/>
      <c r="H458" s="70"/>
      <c r="I458" s="70"/>
      <c r="J458" s="37"/>
      <c r="K458" s="70"/>
      <c r="L458" s="70"/>
      <c r="M458" s="70"/>
      <c r="N458" s="70"/>
      <c r="O458" s="70"/>
    </row>
    <row r="459" spans="1:15" x14ac:dyDescent="0.25">
      <c r="A459" s="37"/>
      <c r="B459" s="78"/>
      <c r="C459" s="70"/>
      <c r="D459" s="37"/>
      <c r="E459" s="70"/>
      <c r="F459" s="70"/>
      <c r="G459" s="37"/>
      <c r="H459" s="70"/>
      <c r="I459" s="70"/>
      <c r="J459" s="37"/>
      <c r="K459" s="70"/>
      <c r="L459" s="70"/>
      <c r="M459" s="70"/>
      <c r="N459" s="70"/>
      <c r="O459" s="70"/>
    </row>
    <row r="460" spans="1:15" x14ac:dyDescent="0.25">
      <c r="A460" s="37"/>
      <c r="B460" s="78"/>
      <c r="C460" s="70"/>
      <c r="D460" s="37"/>
      <c r="E460" s="70"/>
      <c r="F460" s="70"/>
      <c r="G460" s="37"/>
      <c r="H460" s="70"/>
      <c r="I460" s="70"/>
      <c r="J460" s="37"/>
      <c r="K460" s="70"/>
      <c r="L460" s="70"/>
      <c r="M460" s="70"/>
      <c r="N460" s="70"/>
      <c r="O460" s="70"/>
    </row>
    <row r="461" spans="1:15" x14ac:dyDescent="0.25">
      <c r="A461" s="37"/>
      <c r="B461" s="78"/>
      <c r="C461" s="70"/>
      <c r="D461" s="37"/>
      <c r="E461" s="70"/>
      <c r="F461" s="70"/>
      <c r="G461" s="37"/>
      <c r="H461" s="70"/>
      <c r="I461" s="70"/>
      <c r="J461" s="37"/>
      <c r="K461" s="70"/>
      <c r="L461" s="70"/>
      <c r="M461" s="70"/>
      <c r="N461" s="70"/>
      <c r="O461" s="70"/>
    </row>
    <row r="462" spans="1:15" x14ac:dyDescent="0.25">
      <c r="A462" s="37"/>
      <c r="B462" s="78"/>
      <c r="C462" s="70"/>
      <c r="D462" s="37"/>
      <c r="E462" s="70"/>
      <c r="F462" s="70"/>
      <c r="G462" s="37"/>
      <c r="H462" s="70"/>
      <c r="I462" s="70"/>
      <c r="J462" s="37"/>
      <c r="K462" s="70"/>
      <c r="L462" s="70"/>
      <c r="M462" s="70"/>
      <c r="N462" s="70"/>
      <c r="O462" s="70"/>
    </row>
    <row r="463" spans="1:15" x14ac:dyDescent="0.25">
      <c r="A463" s="37"/>
      <c r="B463" s="78"/>
      <c r="C463" s="70"/>
      <c r="D463" s="37"/>
      <c r="E463" s="70"/>
      <c r="F463" s="70"/>
      <c r="G463" s="37"/>
      <c r="H463" s="70"/>
      <c r="I463" s="70"/>
      <c r="J463" s="37"/>
      <c r="K463" s="70"/>
      <c r="L463" s="70"/>
      <c r="M463" s="70"/>
      <c r="N463" s="70"/>
      <c r="O463" s="70"/>
    </row>
    <row r="464" spans="1:15" x14ac:dyDescent="0.25">
      <c r="A464" s="37"/>
      <c r="B464" s="78"/>
      <c r="C464" s="70"/>
      <c r="D464" s="37"/>
      <c r="E464" s="70"/>
      <c r="F464" s="70"/>
      <c r="G464" s="37"/>
      <c r="H464" s="70"/>
      <c r="I464" s="70"/>
      <c r="J464" s="37"/>
      <c r="K464" s="70"/>
      <c r="L464" s="70"/>
      <c r="M464" s="70"/>
      <c r="N464" s="70"/>
      <c r="O464" s="70"/>
    </row>
    <row r="465" spans="1:15" x14ac:dyDescent="0.25">
      <c r="A465" s="37"/>
      <c r="B465" s="78"/>
      <c r="C465" s="70"/>
      <c r="D465" s="37"/>
      <c r="E465" s="70"/>
      <c r="F465" s="70"/>
      <c r="G465" s="37"/>
      <c r="H465" s="70"/>
      <c r="I465" s="70"/>
      <c r="J465" s="37"/>
      <c r="K465" s="70"/>
      <c r="L465" s="70"/>
      <c r="M465" s="70"/>
      <c r="N465" s="70"/>
      <c r="O465" s="70"/>
    </row>
    <row r="466" spans="1:15" x14ac:dyDescent="0.25">
      <c r="A466" s="37"/>
      <c r="B466" s="78"/>
      <c r="C466" s="70"/>
      <c r="D466" s="37"/>
      <c r="E466" s="70"/>
      <c r="F466" s="70"/>
      <c r="G466" s="37"/>
      <c r="H466" s="70"/>
      <c r="I466" s="70"/>
      <c r="J466" s="37"/>
      <c r="K466" s="70"/>
      <c r="L466" s="70"/>
      <c r="M466" s="70"/>
      <c r="N466" s="70"/>
      <c r="O466" s="70"/>
    </row>
    <row r="467" spans="1:15" x14ac:dyDescent="0.25">
      <c r="A467" s="37"/>
      <c r="B467" s="78"/>
      <c r="C467" s="70"/>
      <c r="D467" s="37"/>
      <c r="E467" s="70"/>
      <c r="F467" s="70"/>
      <c r="G467" s="37"/>
      <c r="H467" s="70"/>
      <c r="I467" s="70"/>
      <c r="J467" s="37"/>
      <c r="K467" s="70"/>
      <c r="L467" s="70"/>
      <c r="M467" s="70"/>
      <c r="N467" s="70"/>
      <c r="O467" s="70"/>
    </row>
    <row r="468" spans="1:15" x14ac:dyDescent="0.25">
      <c r="A468" s="37"/>
      <c r="B468" s="78"/>
      <c r="C468" s="70"/>
      <c r="D468" s="37"/>
      <c r="E468" s="70"/>
      <c r="F468" s="70"/>
      <c r="G468" s="37"/>
      <c r="H468" s="70"/>
      <c r="I468" s="70"/>
      <c r="J468" s="37"/>
      <c r="K468" s="70"/>
      <c r="L468" s="70"/>
      <c r="M468" s="70"/>
      <c r="N468" s="70"/>
      <c r="O468" s="70"/>
    </row>
    <row r="469" spans="1:15" x14ac:dyDescent="0.25">
      <c r="A469" s="37"/>
      <c r="B469" s="78"/>
      <c r="C469" s="70"/>
      <c r="D469" s="37"/>
      <c r="E469" s="70"/>
      <c r="F469" s="70"/>
      <c r="G469" s="37"/>
      <c r="H469" s="70"/>
      <c r="I469" s="70"/>
      <c r="J469" s="37"/>
      <c r="K469" s="70"/>
      <c r="L469" s="70"/>
      <c r="M469" s="70"/>
      <c r="N469" s="70"/>
      <c r="O469" s="70"/>
    </row>
    <row r="470" spans="1:15" x14ac:dyDescent="0.25">
      <c r="A470" s="37"/>
      <c r="B470" s="78"/>
      <c r="C470" s="70"/>
      <c r="D470" s="37"/>
      <c r="E470" s="70"/>
      <c r="F470" s="70"/>
      <c r="G470" s="37"/>
      <c r="H470" s="70"/>
      <c r="I470" s="70"/>
      <c r="J470" s="37"/>
      <c r="K470" s="70"/>
      <c r="L470" s="70"/>
      <c r="M470" s="70"/>
      <c r="N470" s="70"/>
      <c r="O470" s="70"/>
    </row>
    <row r="471" spans="1:15" x14ac:dyDescent="0.25">
      <c r="A471" s="37"/>
      <c r="B471" s="78"/>
      <c r="C471" s="70"/>
      <c r="D471" s="37"/>
      <c r="E471" s="70"/>
      <c r="F471" s="70"/>
      <c r="G471" s="37"/>
      <c r="H471" s="70"/>
      <c r="I471" s="70"/>
      <c r="J471" s="37"/>
      <c r="K471" s="70"/>
      <c r="L471" s="70"/>
      <c r="M471" s="70"/>
      <c r="N471" s="70"/>
      <c r="O471" s="70"/>
    </row>
    <row r="472" spans="1:15" x14ac:dyDescent="0.25">
      <c r="A472" s="37"/>
      <c r="B472" s="78"/>
      <c r="C472" s="70"/>
      <c r="D472" s="37"/>
      <c r="E472" s="70"/>
      <c r="F472" s="70"/>
      <c r="G472" s="37"/>
      <c r="H472" s="70"/>
      <c r="I472" s="70"/>
      <c r="J472" s="37"/>
      <c r="K472" s="70"/>
      <c r="L472" s="70"/>
      <c r="M472" s="70"/>
      <c r="N472" s="70"/>
      <c r="O472" s="70"/>
    </row>
    <row r="473" spans="1:15" x14ac:dyDescent="0.25">
      <c r="A473" s="37"/>
      <c r="B473" s="78"/>
      <c r="C473" s="70"/>
      <c r="D473" s="37"/>
      <c r="E473" s="70"/>
      <c r="F473" s="70"/>
      <c r="G473" s="37"/>
      <c r="H473" s="70"/>
      <c r="I473" s="70"/>
      <c r="J473" s="37"/>
      <c r="K473" s="70"/>
      <c r="L473" s="70"/>
      <c r="M473" s="70"/>
      <c r="N473" s="70"/>
      <c r="O473" s="70"/>
    </row>
    <row r="474" spans="1:15" x14ac:dyDescent="0.25">
      <c r="A474" s="37"/>
      <c r="B474" s="78"/>
      <c r="C474" s="70"/>
      <c r="D474" s="37"/>
      <c r="E474" s="70"/>
      <c r="F474" s="70"/>
      <c r="G474" s="37"/>
      <c r="H474" s="70"/>
      <c r="I474" s="70"/>
      <c r="J474" s="37"/>
      <c r="K474" s="70"/>
      <c r="L474" s="70"/>
      <c r="M474" s="70"/>
      <c r="N474" s="70"/>
      <c r="O474" s="70"/>
    </row>
    <row r="475" spans="1:15" x14ac:dyDescent="0.25">
      <c r="A475" s="37"/>
      <c r="B475" s="78"/>
      <c r="C475" s="70"/>
      <c r="D475" s="37"/>
      <c r="E475" s="70"/>
      <c r="F475" s="70"/>
      <c r="G475" s="37"/>
      <c r="H475" s="70"/>
      <c r="I475" s="70"/>
      <c r="J475" s="37"/>
      <c r="K475" s="70"/>
      <c r="L475" s="70"/>
      <c r="M475" s="70"/>
      <c r="N475" s="70"/>
      <c r="O475" s="70"/>
    </row>
    <row r="476" spans="1:15" x14ac:dyDescent="0.25">
      <c r="A476" s="37"/>
      <c r="B476" s="78"/>
      <c r="C476" s="70"/>
      <c r="D476" s="37"/>
      <c r="E476" s="70"/>
      <c r="F476" s="70"/>
      <c r="G476" s="37"/>
      <c r="H476" s="70"/>
      <c r="I476" s="70"/>
      <c r="J476" s="37"/>
      <c r="K476" s="70"/>
      <c r="L476" s="70"/>
      <c r="M476" s="70"/>
      <c r="N476" s="70"/>
      <c r="O476" s="70"/>
    </row>
    <row r="477" spans="1:15" x14ac:dyDescent="0.25">
      <c r="A477" s="37"/>
      <c r="B477" s="78"/>
      <c r="C477" s="70"/>
      <c r="D477" s="37"/>
      <c r="E477" s="70"/>
      <c r="F477" s="70"/>
      <c r="G477" s="37"/>
      <c r="H477" s="70"/>
      <c r="I477" s="70"/>
      <c r="J477" s="37"/>
      <c r="K477" s="70"/>
      <c r="L477" s="70"/>
      <c r="M477" s="70"/>
      <c r="N477" s="70"/>
      <c r="O477" s="70"/>
    </row>
    <row r="478" spans="1:15" x14ac:dyDescent="0.25">
      <c r="A478" s="37"/>
      <c r="B478" s="78"/>
      <c r="C478" s="70"/>
      <c r="D478" s="37"/>
      <c r="E478" s="70"/>
      <c r="F478" s="70"/>
      <c r="G478" s="37"/>
      <c r="H478" s="70"/>
      <c r="I478" s="70"/>
      <c r="J478" s="37"/>
      <c r="K478" s="70"/>
      <c r="L478" s="70"/>
      <c r="M478" s="70"/>
      <c r="N478" s="70"/>
      <c r="O478" s="70"/>
    </row>
    <row r="479" spans="1:15" x14ac:dyDescent="0.25">
      <c r="A479" s="37"/>
      <c r="B479" s="78"/>
      <c r="C479" s="70"/>
      <c r="D479" s="37"/>
      <c r="E479" s="70"/>
      <c r="F479" s="70"/>
      <c r="G479" s="37"/>
      <c r="H479" s="70"/>
      <c r="I479" s="70"/>
      <c r="J479" s="37"/>
      <c r="K479" s="70"/>
      <c r="L479" s="70"/>
      <c r="M479" s="70"/>
      <c r="N479" s="70"/>
      <c r="O479" s="70"/>
    </row>
    <row r="480" spans="1:15" x14ac:dyDescent="0.25">
      <c r="A480" s="37"/>
      <c r="B480" s="78"/>
      <c r="C480" s="70"/>
      <c r="D480" s="37"/>
      <c r="E480" s="70"/>
      <c r="F480" s="70"/>
      <c r="G480" s="37"/>
      <c r="H480" s="70"/>
      <c r="I480" s="70"/>
      <c r="J480" s="37"/>
      <c r="K480" s="70"/>
      <c r="L480" s="70"/>
      <c r="M480" s="70"/>
      <c r="N480" s="70"/>
      <c r="O480" s="70"/>
    </row>
    <row r="481" spans="1:15" x14ac:dyDescent="0.25">
      <c r="A481" s="37"/>
      <c r="B481" s="78"/>
      <c r="C481" s="70"/>
      <c r="D481" s="37"/>
      <c r="E481" s="70"/>
      <c r="F481" s="70"/>
      <c r="G481" s="37"/>
      <c r="H481" s="70"/>
      <c r="I481" s="70"/>
      <c r="J481" s="37"/>
      <c r="K481" s="70"/>
      <c r="L481" s="70"/>
      <c r="M481" s="70"/>
      <c r="N481" s="70"/>
      <c r="O481" s="70"/>
    </row>
    <row r="482" spans="1:15" x14ac:dyDescent="0.25">
      <c r="A482" s="37"/>
      <c r="B482" s="78"/>
      <c r="C482" s="70"/>
      <c r="D482" s="37"/>
      <c r="E482" s="70"/>
      <c r="F482" s="70"/>
      <c r="G482" s="37"/>
      <c r="H482" s="70"/>
      <c r="I482" s="70"/>
      <c r="J482" s="37"/>
      <c r="K482" s="70"/>
      <c r="L482" s="70"/>
      <c r="M482" s="70"/>
      <c r="N482" s="70"/>
      <c r="O482" s="70"/>
    </row>
    <row r="483" spans="1:15" x14ac:dyDescent="0.25">
      <c r="A483" s="37"/>
      <c r="B483" s="78"/>
      <c r="C483" s="70"/>
      <c r="D483" s="37"/>
      <c r="E483" s="70"/>
      <c r="F483" s="70"/>
      <c r="G483" s="37"/>
      <c r="H483" s="70"/>
      <c r="I483" s="70"/>
      <c r="J483" s="37"/>
      <c r="K483" s="70"/>
      <c r="L483" s="70"/>
      <c r="M483" s="70"/>
      <c r="N483" s="70"/>
      <c r="O483" s="70"/>
    </row>
    <row r="484" spans="1:15" x14ac:dyDescent="0.25">
      <c r="A484" s="37"/>
      <c r="B484" s="78"/>
      <c r="C484" s="70"/>
      <c r="D484" s="37"/>
      <c r="E484" s="70"/>
      <c r="F484" s="70"/>
      <c r="G484" s="37"/>
      <c r="H484" s="70"/>
      <c r="I484" s="70"/>
      <c r="J484" s="37"/>
      <c r="K484" s="70"/>
      <c r="L484" s="70"/>
      <c r="M484" s="70"/>
      <c r="N484" s="70"/>
      <c r="O484" s="70"/>
    </row>
    <row r="485" spans="1:15" x14ac:dyDescent="0.25">
      <c r="A485" s="37"/>
      <c r="B485" s="78"/>
      <c r="C485" s="70"/>
      <c r="D485" s="37"/>
      <c r="E485" s="70"/>
      <c r="F485" s="70"/>
      <c r="G485" s="37"/>
      <c r="H485" s="70"/>
      <c r="I485" s="70"/>
      <c r="J485" s="37"/>
      <c r="K485" s="70"/>
      <c r="L485" s="70"/>
      <c r="M485" s="70"/>
      <c r="N485" s="70"/>
      <c r="O485" s="70"/>
    </row>
    <row r="486" spans="1:15" x14ac:dyDescent="0.25">
      <c r="A486" s="37"/>
      <c r="B486" s="78"/>
      <c r="C486" s="70"/>
      <c r="D486" s="37"/>
      <c r="E486" s="70"/>
      <c r="F486" s="70"/>
      <c r="G486" s="37"/>
      <c r="H486" s="70"/>
      <c r="I486" s="70"/>
      <c r="J486" s="37"/>
      <c r="K486" s="70"/>
      <c r="L486" s="70"/>
      <c r="M486" s="70"/>
      <c r="N486" s="70"/>
      <c r="O486" s="70"/>
    </row>
    <row r="487" spans="1:15" x14ac:dyDescent="0.25">
      <c r="A487" s="37"/>
      <c r="B487" s="78"/>
      <c r="C487" s="70"/>
      <c r="D487" s="37"/>
      <c r="E487" s="70"/>
      <c r="F487" s="70"/>
      <c r="G487" s="37"/>
      <c r="H487" s="70"/>
      <c r="I487" s="70"/>
      <c r="J487" s="37"/>
      <c r="K487" s="70"/>
      <c r="L487" s="70"/>
      <c r="M487" s="70"/>
      <c r="N487" s="70"/>
      <c r="O487" s="70"/>
    </row>
    <row r="488" spans="1:15" x14ac:dyDescent="0.25">
      <c r="A488" s="37"/>
      <c r="B488" s="78"/>
      <c r="C488" s="70"/>
      <c r="D488" s="37"/>
      <c r="E488" s="70"/>
      <c r="F488" s="70"/>
      <c r="G488" s="37"/>
      <c r="H488" s="70"/>
      <c r="I488" s="70"/>
      <c r="J488" s="37"/>
      <c r="K488" s="70"/>
      <c r="L488" s="70"/>
      <c r="M488" s="70"/>
      <c r="N488" s="70"/>
      <c r="O488" s="70"/>
    </row>
    <row r="489" spans="1:15" x14ac:dyDescent="0.25">
      <c r="A489" s="37"/>
      <c r="B489" s="78"/>
      <c r="C489" s="70"/>
      <c r="D489" s="37"/>
      <c r="E489" s="70"/>
      <c r="F489" s="70"/>
      <c r="G489" s="37"/>
      <c r="H489" s="70"/>
      <c r="I489" s="70"/>
      <c r="J489" s="37"/>
      <c r="K489" s="70"/>
      <c r="L489" s="70"/>
      <c r="M489" s="70"/>
      <c r="N489" s="70"/>
      <c r="O489" s="70"/>
    </row>
    <row r="490" spans="1:15" x14ac:dyDescent="0.25">
      <c r="A490" s="37"/>
      <c r="B490" s="78"/>
      <c r="C490" s="70"/>
      <c r="D490" s="37"/>
      <c r="E490" s="70"/>
      <c r="F490" s="70"/>
      <c r="G490" s="37"/>
      <c r="H490" s="70"/>
      <c r="I490" s="70"/>
      <c r="J490" s="37"/>
      <c r="K490" s="70"/>
      <c r="L490" s="70"/>
      <c r="M490" s="70"/>
      <c r="N490" s="70"/>
      <c r="O490" s="70"/>
    </row>
    <row r="491" spans="1:15" x14ac:dyDescent="0.25">
      <c r="A491" s="37"/>
      <c r="B491" s="78"/>
      <c r="C491" s="70"/>
      <c r="D491" s="37"/>
      <c r="E491" s="70"/>
      <c r="F491" s="70"/>
      <c r="G491" s="37"/>
      <c r="H491" s="70"/>
      <c r="I491" s="70"/>
      <c r="J491" s="37"/>
      <c r="K491" s="70"/>
      <c r="L491" s="70"/>
      <c r="M491" s="70"/>
      <c r="N491" s="70"/>
      <c r="O491" s="70"/>
    </row>
    <row r="492" spans="1:15" x14ac:dyDescent="0.25">
      <c r="A492" s="37"/>
      <c r="B492" s="78"/>
      <c r="C492" s="70"/>
      <c r="D492" s="37"/>
      <c r="E492" s="70"/>
      <c r="F492" s="70"/>
      <c r="G492" s="37"/>
      <c r="H492" s="70"/>
      <c r="I492" s="70"/>
      <c r="J492" s="37"/>
      <c r="K492" s="70"/>
      <c r="L492" s="70"/>
      <c r="M492" s="70"/>
      <c r="N492" s="70"/>
      <c r="O492" s="70"/>
    </row>
    <row r="493" spans="1:15" x14ac:dyDescent="0.25">
      <c r="A493" s="37"/>
      <c r="B493" s="78"/>
      <c r="C493" s="70"/>
      <c r="D493" s="37"/>
      <c r="E493" s="70"/>
      <c r="F493" s="70"/>
      <c r="G493" s="37"/>
      <c r="H493" s="70"/>
      <c r="I493" s="70"/>
      <c r="J493" s="37"/>
      <c r="K493" s="70"/>
      <c r="L493" s="70"/>
      <c r="M493" s="70"/>
      <c r="N493" s="70"/>
      <c r="O493" s="70"/>
    </row>
    <row r="494" spans="1:15" x14ac:dyDescent="0.25">
      <c r="A494" s="37"/>
      <c r="B494" s="78"/>
      <c r="C494" s="70"/>
      <c r="D494" s="37"/>
      <c r="E494" s="70"/>
      <c r="F494" s="70"/>
      <c r="G494" s="37"/>
      <c r="H494" s="70"/>
      <c r="I494" s="70"/>
      <c r="J494" s="37"/>
      <c r="K494" s="70"/>
      <c r="L494" s="70"/>
      <c r="M494" s="70"/>
      <c r="N494" s="70"/>
      <c r="O494" s="70"/>
    </row>
    <row r="495" spans="1:15" x14ac:dyDescent="0.25">
      <c r="A495" s="37"/>
      <c r="B495" s="78"/>
      <c r="C495" s="70"/>
      <c r="D495" s="37"/>
      <c r="E495" s="70"/>
      <c r="F495" s="70"/>
      <c r="G495" s="37"/>
      <c r="H495" s="70"/>
      <c r="I495" s="70"/>
      <c r="J495" s="37"/>
      <c r="K495" s="70"/>
      <c r="L495" s="70"/>
      <c r="M495" s="70"/>
      <c r="N495" s="70"/>
      <c r="O495" s="70"/>
    </row>
    <row r="496" spans="1:15" x14ac:dyDescent="0.25">
      <c r="A496" s="37"/>
      <c r="B496" s="78"/>
      <c r="C496" s="70"/>
      <c r="D496" s="37"/>
      <c r="E496" s="70"/>
      <c r="F496" s="70"/>
      <c r="G496" s="37"/>
      <c r="H496" s="70"/>
      <c r="I496" s="70"/>
      <c r="J496" s="37"/>
      <c r="K496" s="70"/>
      <c r="L496" s="70"/>
      <c r="M496" s="70"/>
      <c r="N496" s="70"/>
      <c r="O496" s="70"/>
    </row>
    <row r="497" spans="1:15" x14ac:dyDescent="0.25">
      <c r="A497" s="37"/>
      <c r="B497" s="78"/>
      <c r="C497" s="70"/>
      <c r="D497" s="37"/>
      <c r="E497" s="70"/>
      <c r="F497" s="70"/>
      <c r="G497" s="37"/>
      <c r="H497" s="70"/>
      <c r="I497" s="70"/>
      <c r="J497" s="37"/>
      <c r="K497" s="70"/>
      <c r="L497" s="70"/>
      <c r="M497" s="70"/>
      <c r="N497" s="70"/>
      <c r="O497" s="70"/>
    </row>
    <row r="498" spans="1:15" x14ac:dyDescent="0.25">
      <c r="A498" s="37"/>
      <c r="B498" s="78"/>
      <c r="C498" s="70"/>
      <c r="D498" s="37"/>
      <c r="E498" s="70"/>
      <c r="F498" s="70"/>
      <c r="G498" s="37"/>
      <c r="H498" s="70"/>
      <c r="I498" s="70"/>
      <c r="J498" s="37"/>
      <c r="K498" s="70"/>
      <c r="L498" s="70"/>
      <c r="M498" s="70"/>
      <c r="N498" s="70"/>
      <c r="O498" s="70"/>
    </row>
    <row r="499" spans="1:15" x14ac:dyDescent="0.25">
      <c r="A499" s="37"/>
      <c r="B499" s="78"/>
      <c r="C499" s="70"/>
      <c r="D499" s="37"/>
      <c r="E499" s="70"/>
      <c r="F499" s="70"/>
      <c r="G499" s="37"/>
      <c r="H499" s="70"/>
      <c r="I499" s="70"/>
      <c r="J499" s="37"/>
      <c r="K499" s="70"/>
      <c r="L499" s="70"/>
      <c r="M499" s="70"/>
      <c r="N499" s="70"/>
      <c r="O499" s="70"/>
    </row>
    <row r="500" spans="1:15" x14ac:dyDescent="0.25">
      <c r="A500" s="37"/>
      <c r="B500" s="78"/>
      <c r="C500" s="70"/>
      <c r="D500" s="37"/>
      <c r="E500" s="70"/>
      <c r="F500" s="70"/>
      <c r="G500" s="37"/>
      <c r="H500" s="70"/>
      <c r="I500" s="70"/>
      <c r="J500" s="37"/>
      <c r="K500" s="70"/>
      <c r="L500" s="70"/>
      <c r="M500" s="70"/>
      <c r="N500" s="70"/>
      <c r="O500" s="70"/>
    </row>
    <row r="501" spans="1:15" x14ac:dyDescent="0.25">
      <c r="A501" s="37"/>
      <c r="B501" s="78"/>
      <c r="C501" s="70"/>
      <c r="D501" s="37"/>
      <c r="E501" s="70"/>
      <c r="F501" s="70"/>
      <c r="G501" s="37"/>
      <c r="H501" s="70"/>
      <c r="I501" s="70"/>
      <c r="J501" s="37"/>
      <c r="K501" s="70"/>
      <c r="L501" s="70"/>
      <c r="M501" s="70"/>
      <c r="N501" s="70"/>
      <c r="O501" s="70"/>
    </row>
    <row r="502" spans="1:15" x14ac:dyDescent="0.25">
      <c r="A502" s="37"/>
      <c r="B502" s="78"/>
      <c r="C502" s="70"/>
      <c r="D502" s="37"/>
      <c r="E502" s="70"/>
      <c r="F502" s="70"/>
      <c r="G502" s="37"/>
      <c r="H502" s="70"/>
      <c r="I502" s="70"/>
      <c r="J502" s="37"/>
      <c r="K502" s="70"/>
      <c r="L502" s="70"/>
      <c r="M502" s="70"/>
      <c r="N502" s="70"/>
      <c r="O502" s="70"/>
    </row>
    <row r="503" spans="1:15" x14ac:dyDescent="0.25">
      <c r="A503" s="37"/>
      <c r="B503" s="78"/>
      <c r="C503" s="70"/>
      <c r="D503" s="37"/>
      <c r="E503" s="70"/>
      <c r="F503" s="70"/>
      <c r="G503" s="37"/>
      <c r="H503" s="70"/>
      <c r="I503" s="70"/>
      <c r="J503" s="37"/>
      <c r="K503" s="70"/>
      <c r="L503" s="70"/>
      <c r="M503" s="70"/>
      <c r="N503" s="70"/>
      <c r="O503" s="70"/>
    </row>
    <row r="504" spans="1:15" x14ac:dyDescent="0.25">
      <c r="A504" s="37"/>
      <c r="B504" s="78"/>
      <c r="C504" s="70"/>
      <c r="D504" s="37"/>
      <c r="E504" s="70"/>
      <c r="F504" s="70"/>
      <c r="G504" s="37"/>
      <c r="H504" s="70"/>
      <c r="I504" s="70"/>
      <c r="J504" s="37"/>
      <c r="K504" s="70"/>
      <c r="L504" s="70"/>
      <c r="M504" s="70"/>
      <c r="N504" s="70"/>
      <c r="O504" s="70"/>
    </row>
    <row r="505" spans="1:15" x14ac:dyDescent="0.25">
      <c r="A505" s="37"/>
      <c r="B505" s="78"/>
      <c r="C505" s="70"/>
      <c r="D505" s="37"/>
      <c r="E505" s="70"/>
      <c r="F505" s="70"/>
      <c r="G505" s="37"/>
      <c r="H505" s="70"/>
      <c r="I505" s="70"/>
      <c r="J505" s="37"/>
      <c r="K505" s="70"/>
      <c r="L505" s="70"/>
      <c r="M505" s="70"/>
      <c r="N505" s="70"/>
      <c r="O505" s="70"/>
    </row>
    <row r="506" spans="1:15" x14ac:dyDescent="0.25">
      <c r="A506" s="37"/>
      <c r="B506" s="78"/>
      <c r="C506" s="70"/>
      <c r="D506" s="37"/>
      <c r="E506" s="70"/>
      <c r="F506" s="70"/>
      <c r="G506" s="37"/>
      <c r="H506" s="70"/>
      <c r="I506" s="70"/>
      <c r="J506" s="37"/>
      <c r="K506" s="70"/>
      <c r="L506" s="70"/>
      <c r="M506" s="70"/>
      <c r="N506" s="70"/>
      <c r="O506" s="70"/>
    </row>
    <row r="507" spans="1:15" x14ac:dyDescent="0.25">
      <c r="A507" s="37"/>
      <c r="B507" s="78"/>
      <c r="C507" s="70"/>
      <c r="D507" s="37"/>
      <c r="E507" s="70"/>
      <c r="F507" s="70"/>
      <c r="G507" s="37"/>
      <c r="H507" s="70"/>
      <c r="I507" s="70"/>
      <c r="J507" s="37"/>
      <c r="K507" s="70"/>
      <c r="L507" s="70"/>
      <c r="M507" s="70"/>
      <c r="N507" s="70"/>
      <c r="O507" s="70"/>
    </row>
    <row r="508" spans="1:15" x14ac:dyDescent="0.25">
      <c r="A508" s="37"/>
      <c r="B508" s="78"/>
      <c r="C508" s="70"/>
      <c r="D508" s="37"/>
      <c r="E508" s="70"/>
      <c r="F508" s="70"/>
      <c r="G508" s="37"/>
      <c r="H508" s="70"/>
      <c r="I508" s="70"/>
      <c r="J508" s="37"/>
      <c r="K508" s="70"/>
      <c r="L508" s="70"/>
      <c r="M508" s="70"/>
      <c r="N508" s="70"/>
      <c r="O508" s="70"/>
    </row>
    <row r="509" spans="1:15" x14ac:dyDescent="0.25">
      <c r="A509" s="37"/>
      <c r="B509" s="78"/>
      <c r="C509" s="70"/>
      <c r="D509" s="37"/>
      <c r="E509" s="70"/>
      <c r="F509" s="70"/>
      <c r="G509" s="37"/>
      <c r="H509" s="70"/>
      <c r="I509" s="70"/>
      <c r="J509" s="37"/>
      <c r="K509" s="70"/>
      <c r="L509" s="70"/>
      <c r="M509" s="70"/>
      <c r="N509" s="70"/>
      <c r="O509" s="70"/>
    </row>
    <row r="510" spans="1:15" x14ac:dyDescent="0.25">
      <c r="A510" s="37"/>
      <c r="B510" s="78"/>
      <c r="C510" s="70"/>
      <c r="D510" s="37"/>
      <c r="E510" s="70"/>
      <c r="F510" s="70"/>
      <c r="G510" s="37"/>
      <c r="H510" s="70"/>
      <c r="I510" s="70"/>
      <c r="J510" s="37"/>
      <c r="K510" s="70"/>
      <c r="L510" s="70"/>
      <c r="M510" s="70"/>
      <c r="N510" s="70"/>
      <c r="O510" s="70"/>
    </row>
    <row r="511" spans="1:15" x14ac:dyDescent="0.25">
      <c r="A511" s="37"/>
      <c r="B511" s="78"/>
      <c r="C511" s="70"/>
      <c r="D511" s="37"/>
      <c r="E511" s="70"/>
      <c r="F511" s="70"/>
      <c r="G511" s="37"/>
      <c r="H511" s="70"/>
      <c r="I511" s="70"/>
      <c r="J511" s="37"/>
      <c r="K511" s="70"/>
      <c r="L511" s="70"/>
      <c r="M511" s="70"/>
      <c r="N511" s="70"/>
      <c r="O511" s="70"/>
    </row>
    <row r="512" spans="1:15" x14ac:dyDescent="0.25">
      <c r="A512" s="37"/>
      <c r="B512" s="78"/>
      <c r="C512" s="70"/>
      <c r="D512" s="37"/>
      <c r="E512" s="70"/>
      <c r="F512" s="70"/>
      <c r="G512" s="37"/>
      <c r="H512" s="70"/>
      <c r="I512" s="70"/>
      <c r="J512" s="37"/>
      <c r="K512" s="70"/>
      <c r="L512" s="70"/>
      <c r="M512" s="70"/>
      <c r="N512" s="70"/>
      <c r="O512" s="70"/>
    </row>
    <row r="513" spans="1:15" x14ac:dyDescent="0.25">
      <c r="A513" s="37"/>
      <c r="B513" s="78"/>
      <c r="C513" s="70"/>
      <c r="D513" s="37"/>
      <c r="E513" s="70"/>
      <c r="F513" s="70"/>
      <c r="G513" s="37"/>
      <c r="H513" s="70"/>
      <c r="I513" s="70"/>
      <c r="J513" s="37"/>
      <c r="K513" s="70"/>
      <c r="L513" s="70"/>
      <c r="M513" s="70"/>
      <c r="N513" s="70"/>
      <c r="O513" s="70"/>
    </row>
    <row r="514" spans="1:15" x14ac:dyDescent="0.25">
      <c r="A514" s="37"/>
      <c r="B514" s="78"/>
      <c r="C514" s="70"/>
      <c r="D514" s="37"/>
      <c r="E514" s="70"/>
      <c r="F514" s="70"/>
      <c r="G514" s="37"/>
      <c r="H514" s="70"/>
      <c r="I514" s="70"/>
      <c r="J514" s="37"/>
      <c r="K514" s="70"/>
      <c r="L514" s="70"/>
      <c r="M514" s="70"/>
      <c r="N514" s="70"/>
      <c r="O514" s="70"/>
    </row>
    <row r="515" spans="1:15" x14ac:dyDescent="0.25">
      <c r="A515" s="37"/>
      <c r="B515" s="78"/>
      <c r="C515" s="70"/>
      <c r="D515" s="37"/>
      <c r="E515" s="70"/>
      <c r="F515" s="70"/>
      <c r="G515" s="37"/>
      <c r="H515" s="70"/>
      <c r="I515" s="70"/>
      <c r="J515" s="37"/>
      <c r="K515" s="70"/>
      <c r="L515" s="70"/>
      <c r="M515" s="70"/>
      <c r="N515" s="70"/>
      <c r="O515" s="70"/>
    </row>
    <row r="516" spans="1:15" x14ac:dyDescent="0.25">
      <c r="A516" s="37"/>
      <c r="B516" s="78"/>
      <c r="C516" s="70"/>
      <c r="D516" s="37"/>
      <c r="E516" s="70"/>
      <c r="F516" s="70"/>
      <c r="G516" s="37"/>
      <c r="H516" s="70"/>
      <c r="I516" s="70"/>
      <c r="J516" s="37"/>
      <c r="K516" s="70"/>
      <c r="L516" s="70"/>
      <c r="M516" s="70"/>
      <c r="N516" s="70"/>
      <c r="O516" s="70"/>
    </row>
    <row r="517" spans="1:15" x14ac:dyDescent="0.25">
      <c r="A517" s="37"/>
      <c r="B517" s="78"/>
      <c r="C517" s="70"/>
      <c r="D517" s="37"/>
      <c r="E517" s="70"/>
      <c r="F517" s="70"/>
      <c r="G517" s="37"/>
      <c r="H517" s="70"/>
      <c r="I517" s="70"/>
      <c r="J517" s="37"/>
      <c r="K517" s="70"/>
      <c r="L517" s="70"/>
      <c r="M517" s="70"/>
      <c r="N517" s="70"/>
      <c r="O517" s="70"/>
    </row>
    <row r="518" spans="1:15" x14ac:dyDescent="0.25">
      <c r="A518" s="37"/>
      <c r="B518" s="78"/>
      <c r="C518" s="70"/>
      <c r="D518" s="37"/>
      <c r="E518" s="70"/>
      <c r="F518" s="70"/>
      <c r="G518" s="37"/>
      <c r="H518" s="70"/>
      <c r="I518" s="70"/>
      <c r="J518" s="37"/>
      <c r="K518" s="70"/>
      <c r="L518" s="70"/>
      <c r="M518" s="70"/>
      <c r="N518" s="70"/>
      <c r="O518" s="70"/>
    </row>
    <row r="519" spans="1:15" x14ac:dyDescent="0.25">
      <c r="A519" s="37"/>
      <c r="B519" s="78"/>
      <c r="C519" s="70"/>
      <c r="D519" s="37"/>
      <c r="E519" s="70"/>
      <c r="F519" s="70"/>
      <c r="G519" s="37"/>
      <c r="H519" s="70"/>
      <c r="I519" s="70"/>
      <c r="J519" s="37"/>
      <c r="K519" s="70"/>
      <c r="L519" s="70"/>
      <c r="M519" s="70"/>
      <c r="N519" s="70"/>
      <c r="O519" s="70"/>
    </row>
    <row r="520" spans="1:15" x14ac:dyDescent="0.25">
      <c r="A520" s="37"/>
      <c r="B520" s="78"/>
      <c r="C520" s="70"/>
      <c r="D520" s="37"/>
      <c r="E520" s="70"/>
      <c r="F520" s="70"/>
      <c r="G520" s="37"/>
      <c r="H520" s="70"/>
      <c r="I520" s="70"/>
      <c r="J520" s="37"/>
      <c r="K520" s="70"/>
      <c r="L520" s="70"/>
      <c r="M520" s="70"/>
      <c r="N520" s="70"/>
      <c r="O520" s="70"/>
    </row>
    <row r="521" spans="1:15" x14ac:dyDescent="0.25">
      <c r="A521" s="37"/>
      <c r="B521" s="78"/>
      <c r="C521" s="70"/>
      <c r="D521" s="37"/>
      <c r="E521" s="70"/>
      <c r="F521" s="70"/>
      <c r="G521" s="37"/>
      <c r="H521" s="70"/>
      <c r="I521" s="70"/>
      <c r="J521" s="37"/>
      <c r="K521" s="70"/>
      <c r="L521" s="70"/>
      <c r="M521" s="70"/>
      <c r="N521" s="70"/>
      <c r="O521" s="70"/>
    </row>
    <row r="522" spans="1:15" x14ac:dyDescent="0.25">
      <c r="A522" s="37"/>
      <c r="B522" s="78"/>
      <c r="C522" s="70"/>
      <c r="D522" s="37"/>
      <c r="E522" s="70"/>
      <c r="F522" s="70"/>
      <c r="G522" s="37"/>
      <c r="H522" s="70"/>
      <c r="I522" s="70"/>
      <c r="J522" s="37"/>
      <c r="K522" s="70"/>
      <c r="L522" s="70"/>
      <c r="M522" s="70"/>
      <c r="N522" s="70"/>
      <c r="O522" s="70"/>
    </row>
    <row r="523" spans="1:15" x14ac:dyDescent="0.25">
      <c r="A523" s="37"/>
      <c r="B523" s="78"/>
      <c r="C523" s="70"/>
      <c r="D523" s="37"/>
      <c r="E523" s="70"/>
      <c r="F523" s="70"/>
      <c r="G523" s="37"/>
      <c r="H523" s="70"/>
      <c r="I523" s="70"/>
      <c r="J523" s="37"/>
      <c r="K523" s="70"/>
      <c r="L523" s="70"/>
      <c r="M523" s="70"/>
      <c r="N523" s="70"/>
      <c r="O523" s="70"/>
    </row>
    <row r="524" spans="1:15" x14ac:dyDescent="0.25">
      <c r="A524" s="37"/>
      <c r="B524" s="78"/>
      <c r="C524" s="70"/>
      <c r="D524" s="37"/>
      <c r="E524" s="70"/>
      <c r="F524" s="70"/>
      <c r="G524" s="37"/>
      <c r="H524" s="70"/>
      <c r="I524" s="70"/>
      <c r="J524" s="37"/>
      <c r="K524" s="70"/>
      <c r="L524" s="70"/>
      <c r="M524" s="70"/>
      <c r="N524" s="70"/>
      <c r="O524" s="70"/>
    </row>
    <row r="525" spans="1:15" x14ac:dyDescent="0.25">
      <c r="A525" s="37"/>
      <c r="B525" s="78"/>
      <c r="C525" s="70"/>
      <c r="D525" s="37"/>
      <c r="E525" s="70"/>
      <c r="F525" s="70"/>
      <c r="G525" s="37"/>
      <c r="H525" s="70"/>
      <c r="I525" s="70"/>
      <c r="J525" s="37"/>
      <c r="K525" s="70"/>
      <c r="L525" s="70"/>
      <c r="M525" s="70"/>
      <c r="N525" s="70"/>
      <c r="O525" s="70"/>
    </row>
    <row r="526" spans="1:15" x14ac:dyDescent="0.25">
      <c r="A526" s="37"/>
      <c r="B526" s="78"/>
      <c r="C526" s="70"/>
      <c r="D526" s="37"/>
      <c r="E526" s="70"/>
      <c r="F526" s="70"/>
      <c r="G526" s="37"/>
      <c r="H526" s="70"/>
      <c r="I526" s="70"/>
      <c r="J526" s="37"/>
      <c r="K526" s="70"/>
      <c r="L526" s="70"/>
      <c r="M526" s="70"/>
      <c r="N526" s="70"/>
      <c r="O526" s="70"/>
    </row>
    <row r="527" spans="1:15" x14ac:dyDescent="0.25">
      <c r="A527" s="37"/>
      <c r="B527" s="78"/>
      <c r="C527" s="70"/>
      <c r="D527" s="37"/>
      <c r="E527" s="70"/>
      <c r="F527" s="70"/>
      <c r="G527" s="37"/>
      <c r="H527" s="70"/>
      <c r="I527" s="70"/>
      <c r="J527" s="37"/>
      <c r="K527" s="70"/>
      <c r="L527" s="70"/>
      <c r="M527" s="70"/>
      <c r="N527" s="70"/>
      <c r="O527" s="70"/>
    </row>
    <row r="528" spans="1:15" x14ac:dyDescent="0.25">
      <c r="A528" s="37"/>
      <c r="B528" s="78"/>
      <c r="C528" s="70"/>
      <c r="D528" s="37"/>
      <c r="E528" s="70"/>
      <c r="F528" s="70"/>
      <c r="G528" s="37"/>
      <c r="H528" s="70"/>
      <c r="I528" s="70"/>
      <c r="J528" s="37"/>
      <c r="K528" s="70"/>
      <c r="L528" s="70"/>
      <c r="M528" s="70"/>
      <c r="N528" s="70"/>
      <c r="O528" s="70"/>
    </row>
    <row r="529" spans="1:15" x14ac:dyDescent="0.25">
      <c r="A529" s="37"/>
      <c r="B529" s="78"/>
      <c r="C529" s="70"/>
      <c r="D529" s="37"/>
      <c r="E529" s="70"/>
      <c r="F529" s="70"/>
      <c r="G529" s="37"/>
      <c r="H529" s="70"/>
      <c r="I529" s="70"/>
      <c r="J529" s="37"/>
      <c r="K529" s="70"/>
      <c r="L529" s="70"/>
      <c r="M529" s="70"/>
      <c r="N529" s="70"/>
      <c r="O529" s="70"/>
    </row>
    <row r="530" spans="1:15" x14ac:dyDescent="0.25">
      <c r="A530" s="37"/>
      <c r="B530" s="78"/>
      <c r="C530" s="70"/>
      <c r="D530" s="37"/>
      <c r="E530" s="70"/>
      <c r="F530" s="70"/>
      <c r="G530" s="37"/>
      <c r="H530" s="70"/>
      <c r="I530" s="70"/>
      <c r="J530" s="37"/>
      <c r="K530" s="70"/>
      <c r="L530" s="70"/>
      <c r="M530" s="70"/>
      <c r="N530" s="70"/>
      <c r="O530" s="70"/>
    </row>
    <row r="531" spans="1:15" x14ac:dyDescent="0.25">
      <c r="A531" s="37"/>
      <c r="B531" s="78"/>
      <c r="C531" s="70"/>
      <c r="D531" s="37"/>
      <c r="E531" s="70"/>
      <c r="F531" s="70"/>
      <c r="G531" s="37"/>
      <c r="H531" s="70"/>
      <c r="I531" s="70"/>
      <c r="J531" s="37"/>
      <c r="K531" s="70"/>
      <c r="L531" s="70"/>
      <c r="M531" s="70"/>
      <c r="N531" s="70"/>
      <c r="O531" s="70"/>
    </row>
    <row r="532" spans="1:15" x14ac:dyDescent="0.25">
      <c r="A532" s="37"/>
      <c r="B532" s="78"/>
      <c r="C532" s="70"/>
      <c r="D532" s="37"/>
      <c r="E532" s="70"/>
      <c r="F532" s="70"/>
      <c r="G532" s="37"/>
      <c r="H532" s="70"/>
      <c r="I532" s="70"/>
      <c r="J532" s="37"/>
      <c r="K532" s="70"/>
      <c r="L532" s="70"/>
      <c r="M532" s="70"/>
      <c r="N532" s="70"/>
      <c r="O532" s="70"/>
    </row>
    <row r="533" spans="1:15" x14ac:dyDescent="0.25">
      <c r="A533" s="37"/>
      <c r="B533" s="78"/>
      <c r="C533" s="70"/>
      <c r="D533" s="37"/>
      <c r="E533" s="70"/>
      <c r="F533" s="70"/>
      <c r="G533" s="37"/>
      <c r="H533" s="70"/>
      <c r="I533" s="70"/>
      <c r="J533" s="37"/>
      <c r="K533" s="70"/>
      <c r="L533" s="70"/>
      <c r="M533" s="70"/>
      <c r="N533" s="70"/>
      <c r="O533" s="70"/>
    </row>
    <row r="534" spans="1:15" x14ac:dyDescent="0.25">
      <c r="A534" s="37"/>
      <c r="B534" s="78"/>
      <c r="C534" s="70"/>
      <c r="D534" s="37"/>
      <c r="E534" s="70"/>
      <c r="F534" s="70"/>
      <c r="G534" s="37"/>
      <c r="H534" s="70"/>
      <c r="I534" s="70"/>
      <c r="J534" s="37"/>
      <c r="K534" s="70"/>
      <c r="L534" s="70"/>
      <c r="M534" s="70"/>
      <c r="N534" s="70"/>
      <c r="O534" s="70"/>
    </row>
    <row r="535" spans="1:15" x14ac:dyDescent="0.25">
      <c r="A535" s="37"/>
      <c r="B535" s="78"/>
      <c r="C535" s="70"/>
      <c r="D535" s="37"/>
      <c r="E535" s="70"/>
      <c r="F535" s="70"/>
      <c r="G535" s="37"/>
      <c r="H535" s="70"/>
      <c r="I535" s="70"/>
      <c r="J535" s="37"/>
      <c r="K535" s="70"/>
      <c r="L535" s="70"/>
      <c r="M535" s="70"/>
      <c r="N535" s="70"/>
      <c r="O535" s="70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37"/>
  <sheetViews>
    <sheetView topLeftCell="C5" workbookViewId="0">
      <pane ySplit="3" topLeftCell="A26" activePane="bottomLeft" state="frozen"/>
      <selection activeCell="A5" sqref="A5"/>
      <selection pane="bottomLeft" activeCell="M47" sqref="M47"/>
    </sheetView>
  </sheetViews>
  <sheetFormatPr baseColWidth="10" defaultRowHeight="15" x14ac:dyDescent="0.25"/>
  <cols>
    <col min="1" max="1" width="7.7109375" style="7" customWidth="1"/>
    <col min="2" max="2" width="8.7109375" style="7" customWidth="1"/>
    <col min="3" max="3" width="23.7109375" customWidth="1"/>
    <col min="4" max="4" width="7.7109375" style="7" customWidth="1"/>
    <col min="5" max="5" width="8.7109375" customWidth="1"/>
    <col min="6" max="6" width="23.7109375" customWidth="1"/>
    <col min="7" max="7" width="7.7109375" style="7" customWidth="1"/>
    <col min="8" max="8" width="8.7109375" customWidth="1"/>
    <col min="9" max="9" width="23.7109375" customWidth="1"/>
    <col min="10" max="10" width="7.7109375" style="7" customWidth="1"/>
    <col min="11" max="11" width="8.710937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08" t="s">
        <v>10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10"/>
      <c r="M1" s="110"/>
      <c r="N1" s="6">
        <v>2014</v>
      </c>
      <c r="O1" s="5"/>
    </row>
    <row r="2" spans="1:18" ht="15.75" x14ac:dyDescent="0.25">
      <c r="A2" s="8">
        <v>2013</v>
      </c>
    </row>
    <row r="3" spans="1:18" ht="15.75" x14ac:dyDescent="0.25">
      <c r="A3" s="30" t="s">
        <v>7</v>
      </c>
      <c r="C3" s="116" t="s">
        <v>8</v>
      </c>
      <c r="D3" s="116"/>
      <c r="E3" s="28" t="s">
        <v>9</v>
      </c>
      <c r="F3" s="4" t="e">
        <f>#REF!+#REF!+#REF!+#REF!+#REF!</f>
        <v>#REF!</v>
      </c>
      <c r="H3" s="4" t="s">
        <v>3</v>
      </c>
      <c r="I3" s="2" t="e">
        <f>#REF!+#REF!+#REF!+#REF!+#REF!</f>
        <v>#REF!</v>
      </c>
    </row>
    <row r="5" spans="1:18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3" t="s">
        <v>6</v>
      </c>
      <c r="K5" s="123"/>
      <c r="L5" s="123"/>
      <c r="M5" s="122" t="s">
        <v>17</v>
      </c>
      <c r="N5" s="122"/>
      <c r="O5" s="122"/>
      <c r="Q5" s="117" t="s">
        <v>18</v>
      </c>
      <c r="R5" s="117"/>
    </row>
    <row r="6" spans="1:18" x14ac:dyDescent="0.25">
      <c r="A6" s="9">
        <f>SUBTOTAL(3,A8:A123)</f>
        <v>56</v>
      </c>
      <c r="B6" s="9">
        <f>SUBTOTAL(9,B8:B123)</f>
        <v>26140</v>
      </c>
      <c r="C6" s="47">
        <v>42190</v>
      </c>
      <c r="D6" s="9">
        <f>SUBTOTAL(3,D8:D120)</f>
        <v>39</v>
      </c>
      <c r="E6" s="1">
        <f>SUBTOTAL(9,E8:E120)</f>
        <v>23960</v>
      </c>
      <c r="F6" s="50">
        <v>42197</v>
      </c>
      <c r="G6" s="9">
        <f>SUBTOTAL(3,G8:G120)</f>
        <v>36</v>
      </c>
      <c r="H6" s="1">
        <f>SUBTOTAL(9,H8:H120)</f>
        <v>18090</v>
      </c>
      <c r="I6" s="51">
        <v>42204</v>
      </c>
      <c r="J6" s="9">
        <f>SUBTOTAL(3,J8:J110)</f>
        <v>29</v>
      </c>
      <c r="K6" s="1">
        <f>SUBTOTAL(9,K8:K110)</f>
        <v>16020</v>
      </c>
      <c r="L6" s="75">
        <v>42211</v>
      </c>
      <c r="M6" s="1">
        <f>SUBTOTAL(3,M8:M120)</f>
        <v>0</v>
      </c>
      <c r="N6" s="1">
        <f>SUBTOTAL(9,N8:N120)</f>
        <v>0</v>
      </c>
      <c r="O6" s="97"/>
      <c r="P6" s="23"/>
      <c r="Q6" s="42">
        <f>+A6+D6+G6+J6+M6</f>
        <v>160</v>
      </c>
      <c r="R6" s="41">
        <f>+B6+E6+H6+K6+N6</f>
        <v>84210</v>
      </c>
    </row>
    <row r="7" spans="1:18" x14ac:dyDescent="0.25">
      <c r="A7" s="58" t="s">
        <v>1</v>
      </c>
      <c r="B7" s="58" t="s">
        <v>3</v>
      </c>
      <c r="C7" s="58" t="s">
        <v>2</v>
      </c>
      <c r="D7" s="59" t="s">
        <v>1</v>
      </c>
      <c r="E7" s="59" t="s">
        <v>3</v>
      </c>
      <c r="F7" s="59" t="s">
        <v>2</v>
      </c>
      <c r="G7" s="60" t="s">
        <v>1</v>
      </c>
      <c r="H7" s="60" t="s">
        <v>3</v>
      </c>
      <c r="I7" s="60" t="s">
        <v>2</v>
      </c>
      <c r="J7" s="72" t="s">
        <v>1</v>
      </c>
      <c r="K7" s="72" t="s">
        <v>3</v>
      </c>
      <c r="L7" s="72" t="s">
        <v>2</v>
      </c>
      <c r="M7" s="53" t="s">
        <v>1</v>
      </c>
      <c r="N7" s="53" t="s">
        <v>3</v>
      </c>
      <c r="O7" s="53" t="s">
        <v>2</v>
      </c>
      <c r="P7" s="39"/>
      <c r="Q7" s="54" t="s">
        <v>9</v>
      </c>
      <c r="R7" s="54" t="s">
        <v>3</v>
      </c>
    </row>
    <row r="8" spans="1:18" x14ac:dyDescent="0.25">
      <c r="A8" s="25">
        <v>9697</v>
      </c>
      <c r="B8" s="61">
        <v>400</v>
      </c>
      <c r="C8" s="26" t="s">
        <v>274</v>
      </c>
      <c r="D8" s="20">
        <v>9753</v>
      </c>
      <c r="E8" s="82">
        <v>200</v>
      </c>
      <c r="F8" s="21" t="s">
        <v>324</v>
      </c>
      <c r="G8" s="17">
        <v>9792</v>
      </c>
      <c r="H8" s="79">
        <v>160</v>
      </c>
      <c r="I8" s="18" t="s">
        <v>49</v>
      </c>
      <c r="J8" s="73">
        <v>9828</v>
      </c>
      <c r="K8" s="83">
        <v>1200</v>
      </c>
      <c r="L8" s="74" t="s">
        <v>259</v>
      </c>
      <c r="M8" s="87"/>
      <c r="N8" s="85"/>
      <c r="O8" s="23"/>
      <c r="Q8" s="44"/>
      <c r="R8" s="44"/>
    </row>
    <row r="9" spans="1:18" x14ac:dyDescent="0.25">
      <c r="A9" s="25">
        <v>9698</v>
      </c>
      <c r="B9" s="61">
        <v>160</v>
      </c>
      <c r="C9" s="26" t="s">
        <v>49</v>
      </c>
      <c r="D9" s="20"/>
      <c r="E9" s="82"/>
      <c r="F9" s="21" t="s">
        <v>86</v>
      </c>
      <c r="G9" s="17">
        <v>9793</v>
      </c>
      <c r="H9" s="79">
        <v>400</v>
      </c>
      <c r="I9" s="18" t="s">
        <v>260</v>
      </c>
      <c r="J9" s="73"/>
      <c r="K9" s="83"/>
      <c r="L9" s="74" t="s">
        <v>25</v>
      </c>
      <c r="M9" s="87"/>
      <c r="N9" s="85"/>
      <c r="O9" s="23"/>
    </row>
    <row r="10" spans="1:18" x14ac:dyDescent="0.25">
      <c r="A10" s="25">
        <v>9699</v>
      </c>
      <c r="B10" s="61">
        <v>600</v>
      </c>
      <c r="C10" s="26" t="s">
        <v>274</v>
      </c>
      <c r="D10" s="20">
        <v>9754</v>
      </c>
      <c r="E10" s="82"/>
      <c r="F10" s="21" t="s">
        <v>89</v>
      </c>
      <c r="G10" s="17"/>
      <c r="H10" s="79"/>
      <c r="I10" s="18" t="s">
        <v>27</v>
      </c>
      <c r="J10" s="73">
        <v>9829</v>
      </c>
      <c r="K10" s="83">
        <v>800</v>
      </c>
      <c r="L10" s="74" t="s">
        <v>303</v>
      </c>
      <c r="M10" s="87"/>
      <c r="N10" s="85"/>
      <c r="O10" s="23"/>
    </row>
    <row r="11" spans="1:18" x14ac:dyDescent="0.25">
      <c r="A11" s="25">
        <v>9700</v>
      </c>
      <c r="B11" s="61">
        <v>400</v>
      </c>
      <c r="C11" s="26" t="s">
        <v>324</v>
      </c>
      <c r="D11" s="20"/>
      <c r="E11" s="82"/>
      <c r="F11" s="21" t="s">
        <v>27</v>
      </c>
      <c r="G11" s="17">
        <v>9794</v>
      </c>
      <c r="H11" s="79">
        <v>150</v>
      </c>
      <c r="I11" s="18"/>
      <c r="J11" s="73"/>
      <c r="K11" s="83"/>
      <c r="L11" s="74" t="s">
        <v>25</v>
      </c>
      <c r="M11" s="87"/>
      <c r="N11" s="85"/>
      <c r="O11" s="23"/>
    </row>
    <row r="12" spans="1:18" x14ac:dyDescent="0.25">
      <c r="A12" s="25"/>
      <c r="B12" s="61"/>
      <c r="C12" s="26" t="s">
        <v>27</v>
      </c>
      <c r="D12" s="20">
        <v>9755</v>
      </c>
      <c r="E12" s="82"/>
      <c r="F12" s="21" t="s">
        <v>274</v>
      </c>
      <c r="G12" s="17">
        <v>9795</v>
      </c>
      <c r="H12" s="79">
        <v>400</v>
      </c>
      <c r="I12" s="18"/>
      <c r="J12" s="73">
        <v>9830</v>
      </c>
      <c r="K12" s="83">
        <v>400</v>
      </c>
      <c r="L12" s="74"/>
      <c r="M12" s="87"/>
      <c r="N12" s="85"/>
      <c r="O12" s="23"/>
    </row>
    <row r="13" spans="1:18" x14ac:dyDescent="0.25">
      <c r="A13" s="25">
        <v>9701</v>
      </c>
      <c r="B13" s="61">
        <v>400</v>
      </c>
      <c r="C13" s="26"/>
      <c r="D13" s="20">
        <v>9756</v>
      </c>
      <c r="E13" s="82"/>
      <c r="F13" s="21" t="s">
        <v>73</v>
      </c>
      <c r="G13" s="17">
        <v>9796</v>
      </c>
      <c r="H13" s="79">
        <v>450</v>
      </c>
      <c r="I13" s="18" t="s">
        <v>272</v>
      </c>
      <c r="J13" s="73">
        <v>9831</v>
      </c>
      <c r="K13" s="83">
        <v>300</v>
      </c>
      <c r="L13" s="74"/>
      <c r="M13" s="87"/>
      <c r="N13" s="85"/>
      <c r="O13" s="23"/>
    </row>
    <row r="14" spans="1:18" x14ac:dyDescent="0.25">
      <c r="A14" s="25">
        <v>9702</v>
      </c>
      <c r="B14" s="61">
        <v>200</v>
      </c>
      <c r="C14" s="26"/>
      <c r="D14" s="20">
        <v>9757</v>
      </c>
      <c r="E14" s="82"/>
      <c r="F14" s="21" t="s">
        <v>274</v>
      </c>
      <c r="G14" s="17"/>
      <c r="H14" s="79"/>
      <c r="I14" s="18" t="s">
        <v>76</v>
      </c>
      <c r="J14" s="73">
        <v>9832</v>
      </c>
      <c r="K14" s="83">
        <v>560</v>
      </c>
      <c r="L14" s="74" t="s">
        <v>292</v>
      </c>
      <c r="M14" s="87"/>
      <c r="N14" s="85"/>
      <c r="O14" s="43"/>
    </row>
    <row r="15" spans="1:18" x14ac:dyDescent="0.25">
      <c r="A15" s="25">
        <v>9703</v>
      </c>
      <c r="B15" s="61">
        <v>160</v>
      </c>
      <c r="C15" s="26" t="s">
        <v>133</v>
      </c>
      <c r="D15" s="20">
        <v>9758</v>
      </c>
      <c r="E15" s="82">
        <v>800</v>
      </c>
      <c r="F15" s="21" t="s">
        <v>303</v>
      </c>
      <c r="G15" s="17">
        <v>9797</v>
      </c>
      <c r="H15" s="79">
        <v>300</v>
      </c>
      <c r="I15" s="18"/>
      <c r="J15" s="73">
        <v>9833</v>
      </c>
      <c r="K15" s="83">
        <v>560</v>
      </c>
      <c r="L15" s="74" t="s">
        <v>292</v>
      </c>
      <c r="M15" s="87"/>
      <c r="N15" s="85"/>
      <c r="O15" s="23"/>
    </row>
    <row r="16" spans="1:18" x14ac:dyDescent="0.25">
      <c r="A16" s="25"/>
      <c r="B16" s="61"/>
      <c r="C16" s="26" t="s">
        <v>325</v>
      </c>
      <c r="D16" s="20"/>
      <c r="E16" s="82"/>
      <c r="F16" s="21" t="s">
        <v>25</v>
      </c>
      <c r="G16" s="17">
        <v>9798</v>
      </c>
      <c r="H16" s="79">
        <v>400</v>
      </c>
      <c r="I16" s="18"/>
      <c r="J16" s="73"/>
      <c r="K16" s="83"/>
      <c r="L16" s="74" t="s">
        <v>352</v>
      </c>
      <c r="M16" s="87"/>
      <c r="N16" s="85"/>
      <c r="O16" s="23"/>
    </row>
    <row r="17" spans="1:15" x14ac:dyDescent="0.25">
      <c r="A17" s="25">
        <v>9704</v>
      </c>
      <c r="B17" s="61">
        <v>960</v>
      </c>
      <c r="C17" s="26" t="s">
        <v>326</v>
      </c>
      <c r="D17" s="20">
        <v>9759</v>
      </c>
      <c r="E17" s="82">
        <v>400</v>
      </c>
      <c r="F17" s="21"/>
      <c r="G17" s="17">
        <v>9799</v>
      </c>
      <c r="H17" s="79">
        <v>1200</v>
      </c>
      <c r="I17" s="18" t="s">
        <v>344</v>
      </c>
      <c r="J17" s="73">
        <v>9834</v>
      </c>
      <c r="K17" s="83">
        <v>400</v>
      </c>
      <c r="L17" s="74"/>
      <c r="M17" s="87"/>
      <c r="N17" s="85"/>
      <c r="O17" s="23"/>
    </row>
    <row r="18" spans="1:15" x14ac:dyDescent="0.25">
      <c r="A18" s="25"/>
      <c r="B18" s="61"/>
      <c r="C18" s="26" t="s">
        <v>327</v>
      </c>
      <c r="D18" s="20">
        <v>9760</v>
      </c>
      <c r="E18" s="82">
        <v>400</v>
      </c>
      <c r="F18" s="45" t="s">
        <v>274</v>
      </c>
      <c r="G18" s="17"/>
      <c r="H18" s="79"/>
      <c r="I18" s="18" t="s">
        <v>25</v>
      </c>
      <c r="J18" s="73">
        <v>9835</v>
      </c>
      <c r="K18" s="83">
        <v>400</v>
      </c>
      <c r="L18" s="80" t="s">
        <v>324</v>
      </c>
      <c r="M18" s="87"/>
      <c r="N18" s="85"/>
      <c r="O18" s="23"/>
    </row>
    <row r="19" spans="1:15" x14ac:dyDescent="0.25">
      <c r="A19" s="25"/>
      <c r="B19" s="61"/>
      <c r="C19" s="26" t="s">
        <v>328</v>
      </c>
      <c r="D19" s="20">
        <v>9761</v>
      </c>
      <c r="E19" s="82">
        <v>150</v>
      </c>
      <c r="F19" s="21"/>
      <c r="G19" s="17">
        <v>9800</v>
      </c>
      <c r="H19" s="79">
        <v>400</v>
      </c>
      <c r="I19" s="18"/>
      <c r="J19" s="73"/>
      <c r="K19" s="83"/>
      <c r="L19" s="74" t="s">
        <v>27</v>
      </c>
      <c r="M19" s="87"/>
      <c r="N19" s="85"/>
      <c r="O19" s="23"/>
    </row>
    <row r="20" spans="1:15" x14ac:dyDescent="0.25">
      <c r="A20" s="25">
        <v>9705</v>
      </c>
      <c r="B20" s="61">
        <v>400</v>
      </c>
      <c r="C20" s="26" t="s">
        <v>222</v>
      </c>
      <c r="D20" s="20">
        <v>9762</v>
      </c>
      <c r="E20" s="82">
        <v>400</v>
      </c>
      <c r="F20" s="21"/>
      <c r="G20" s="17">
        <v>9801</v>
      </c>
      <c r="H20" s="79">
        <v>400</v>
      </c>
      <c r="I20" s="18"/>
      <c r="J20" s="73">
        <v>9836</v>
      </c>
      <c r="K20" s="83">
        <v>1200</v>
      </c>
      <c r="L20" s="74" t="s">
        <v>349</v>
      </c>
      <c r="M20" s="87"/>
      <c r="N20" s="85"/>
      <c r="O20" s="23"/>
    </row>
    <row r="21" spans="1:15" x14ac:dyDescent="0.25">
      <c r="A21" s="25">
        <v>9706</v>
      </c>
      <c r="B21" s="61">
        <v>400</v>
      </c>
      <c r="C21" s="26"/>
      <c r="D21" s="20">
        <v>9763</v>
      </c>
      <c r="E21" s="82">
        <v>300</v>
      </c>
      <c r="F21" s="21"/>
      <c r="G21" s="17">
        <v>9802</v>
      </c>
      <c r="H21" s="79">
        <v>1200</v>
      </c>
      <c r="I21" s="18" t="s">
        <v>272</v>
      </c>
      <c r="J21" s="73"/>
      <c r="K21" s="83"/>
      <c r="L21" s="74" t="s">
        <v>25</v>
      </c>
      <c r="M21" s="87"/>
      <c r="N21" s="85"/>
      <c r="O21" s="23"/>
    </row>
    <row r="22" spans="1:15" x14ac:dyDescent="0.25">
      <c r="A22" s="25">
        <v>9707</v>
      </c>
      <c r="B22" s="61">
        <v>400</v>
      </c>
      <c r="C22" s="26"/>
      <c r="D22" s="20">
        <v>9764</v>
      </c>
      <c r="E22" s="82">
        <v>400</v>
      </c>
      <c r="F22" s="21" t="s">
        <v>248</v>
      </c>
      <c r="G22" s="17"/>
      <c r="H22" s="79"/>
      <c r="I22" s="18" t="s">
        <v>25</v>
      </c>
      <c r="J22" s="73">
        <v>9837</v>
      </c>
      <c r="K22" s="83">
        <v>400</v>
      </c>
      <c r="L22" s="74" t="s">
        <v>274</v>
      </c>
      <c r="M22" s="87"/>
      <c r="N22" s="85"/>
      <c r="O22" s="23"/>
    </row>
    <row r="23" spans="1:15" x14ac:dyDescent="0.25">
      <c r="A23" s="25">
        <v>9708</v>
      </c>
      <c r="B23" s="61">
        <v>400</v>
      </c>
      <c r="C23" s="26"/>
      <c r="D23" s="20">
        <v>9765</v>
      </c>
      <c r="E23" s="82">
        <v>200</v>
      </c>
      <c r="F23" s="21" t="s">
        <v>274</v>
      </c>
      <c r="G23" s="17">
        <v>9803</v>
      </c>
      <c r="H23" s="79">
        <v>1000</v>
      </c>
      <c r="I23" s="18" t="s">
        <v>345</v>
      </c>
      <c r="J23" s="73">
        <v>9838</v>
      </c>
      <c r="K23" s="83">
        <v>400</v>
      </c>
      <c r="L23" s="74" t="s">
        <v>274</v>
      </c>
      <c r="M23" s="87"/>
      <c r="N23" s="85"/>
      <c r="O23" s="23"/>
    </row>
    <row r="24" spans="1:15" x14ac:dyDescent="0.25">
      <c r="A24" s="25">
        <v>9709</v>
      </c>
      <c r="B24" s="61">
        <v>400</v>
      </c>
      <c r="C24" s="26" t="s">
        <v>274</v>
      </c>
      <c r="D24" s="20">
        <v>9766</v>
      </c>
      <c r="E24" s="82">
        <v>1600</v>
      </c>
      <c r="F24" s="21" t="s">
        <v>285</v>
      </c>
      <c r="G24" s="17"/>
      <c r="H24" s="79"/>
      <c r="I24" s="18" t="s">
        <v>346</v>
      </c>
      <c r="J24" s="73">
        <v>9839</v>
      </c>
      <c r="K24" s="83">
        <v>400</v>
      </c>
      <c r="L24" s="74"/>
      <c r="M24" s="87"/>
      <c r="N24" s="85"/>
      <c r="O24" s="23"/>
    </row>
    <row r="25" spans="1:15" x14ac:dyDescent="0.25">
      <c r="A25" s="25">
        <v>9710</v>
      </c>
      <c r="B25" s="61">
        <v>400</v>
      </c>
      <c r="C25" s="26" t="s">
        <v>248</v>
      </c>
      <c r="D25" s="20"/>
      <c r="E25" s="82"/>
      <c r="F25" s="21" t="s">
        <v>25</v>
      </c>
      <c r="G25" s="17">
        <v>9804</v>
      </c>
      <c r="H25" s="79">
        <v>800</v>
      </c>
      <c r="I25" s="18" t="s">
        <v>347</v>
      </c>
      <c r="J25" s="73">
        <v>9840</v>
      </c>
      <c r="K25" s="83">
        <v>800</v>
      </c>
      <c r="L25" s="74" t="s">
        <v>353</v>
      </c>
      <c r="M25" s="87"/>
      <c r="N25" s="85"/>
      <c r="O25" s="23"/>
    </row>
    <row r="26" spans="1:15" x14ac:dyDescent="0.25">
      <c r="A26" s="25">
        <v>9711</v>
      </c>
      <c r="B26" s="61">
        <v>400</v>
      </c>
      <c r="C26" s="26"/>
      <c r="D26" s="20">
        <v>9767</v>
      </c>
      <c r="E26" s="82">
        <v>400</v>
      </c>
      <c r="F26" s="21"/>
      <c r="G26" s="17"/>
      <c r="H26" s="79"/>
      <c r="I26" s="18" t="s">
        <v>25</v>
      </c>
      <c r="J26" s="73"/>
      <c r="K26" s="83"/>
      <c r="L26" s="74" t="s">
        <v>25</v>
      </c>
      <c r="M26" s="87"/>
      <c r="N26" s="85"/>
      <c r="O26" s="23"/>
    </row>
    <row r="27" spans="1:15" x14ac:dyDescent="0.25">
      <c r="A27" s="25">
        <v>9712</v>
      </c>
      <c r="B27" s="61">
        <v>800</v>
      </c>
      <c r="C27" s="26" t="s">
        <v>326</v>
      </c>
      <c r="D27" s="20">
        <v>9768</v>
      </c>
      <c r="E27" s="82">
        <v>450</v>
      </c>
      <c r="F27" s="21" t="s">
        <v>272</v>
      </c>
      <c r="G27" s="17">
        <v>9805</v>
      </c>
      <c r="H27" s="79">
        <v>400</v>
      </c>
      <c r="I27" s="18"/>
      <c r="J27" s="73">
        <v>9841</v>
      </c>
      <c r="K27" s="83">
        <v>600</v>
      </c>
      <c r="L27" s="74" t="s">
        <v>260</v>
      </c>
      <c r="M27" s="87"/>
      <c r="N27" s="85"/>
      <c r="O27" s="43"/>
    </row>
    <row r="28" spans="1:15" x14ac:dyDescent="0.25">
      <c r="A28" s="25"/>
      <c r="B28" s="61"/>
      <c r="C28" s="26" t="s">
        <v>329</v>
      </c>
      <c r="D28" s="20"/>
      <c r="E28" s="82"/>
      <c r="F28" s="21" t="s">
        <v>76</v>
      </c>
      <c r="G28" s="17">
        <v>9806</v>
      </c>
      <c r="H28" s="79">
        <v>900</v>
      </c>
      <c r="I28" s="18" t="s">
        <v>348</v>
      </c>
      <c r="J28" s="73"/>
      <c r="K28" s="83"/>
      <c r="L28" s="74" t="s">
        <v>33</v>
      </c>
      <c r="M28" s="87"/>
      <c r="N28" s="85"/>
      <c r="O28" s="23"/>
    </row>
    <row r="29" spans="1:15" x14ac:dyDescent="0.25">
      <c r="A29" s="25">
        <v>9713</v>
      </c>
      <c r="B29" s="61">
        <v>400</v>
      </c>
      <c r="C29" s="26"/>
      <c r="D29" s="20">
        <v>9769</v>
      </c>
      <c r="E29" s="82">
        <v>600</v>
      </c>
      <c r="F29" s="21" t="s">
        <v>303</v>
      </c>
      <c r="G29" s="17"/>
      <c r="H29" s="79"/>
      <c r="I29" s="18" t="s">
        <v>76</v>
      </c>
      <c r="J29" s="73">
        <v>9842</v>
      </c>
      <c r="K29" s="83">
        <v>300</v>
      </c>
      <c r="L29" s="74" t="s">
        <v>229</v>
      </c>
      <c r="M29" s="87"/>
      <c r="N29" s="85"/>
      <c r="O29" s="23"/>
    </row>
    <row r="30" spans="1:15" x14ac:dyDescent="0.25">
      <c r="A30" s="25">
        <v>9714</v>
      </c>
      <c r="B30" s="61">
        <v>400</v>
      </c>
      <c r="C30" s="26" t="s">
        <v>274</v>
      </c>
      <c r="D30" s="20"/>
      <c r="E30" s="82"/>
      <c r="F30" s="21" t="s">
        <v>33</v>
      </c>
      <c r="G30" s="17">
        <v>9807</v>
      </c>
      <c r="H30" s="79">
        <v>800</v>
      </c>
      <c r="I30" s="18" t="s">
        <v>261</v>
      </c>
      <c r="J30" s="73">
        <v>9843</v>
      </c>
      <c r="K30" s="83">
        <v>900</v>
      </c>
      <c r="L30" s="74" t="s">
        <v>272</v>
      </c>
      <c r="M30" s="87"/>
      <c r="N30" s="85"/>
      <c r="O30" s="23"/>
    </row>
    <row r="31" spans="1:15" x14ac:dyDescent="0.25">
      <c r="A31" s="25">
        <v>9715</v>
      </c>
      <c r="B31" s="61">
        <v>200</v>
      </c>
      <c r="C31" s="26"/>
      <c r="D31" s="20">
        <v>9770</v>
      </c>
      <c r="E31" s="82">
        <v>400</v>
      </c>
      <c r="F31" s="21" t="s">
        <v>260</v>
      </c>
      <c r="G31" s="17"/>
      <c r="H31" s="79"/>
      <c r="I31" s="18" t="s">
        <v>25</v>
      </c>
      <c r="J31" s="73"/>
      <c r="K31" s="83"/>
      <c r="L31" s="74" t="s">
        <v>33</v>
      </c>
      <c r="M31" s="87"/>
      <c r="N31" s="85"/>
      <c r="O31" s="23"/>
    </row>
    <row r="32" spans="1:15" x14ac:dyDescent="0.25">
      <c r="A32" s="25">
        <v>9716</v>
      </c>
      <c r="B32" s="61">
        <v>160</v>
      </c>
      <c r="C32" s="26" t="s">
        <v>133</v>
      </c>
      <c r="D32" s="20"/>
      <c r="E32" s="82"/>
      <c r="F32" s="21" t="s">
        <v>27</v>
      </c>
      <c r="G32" s="17">
        <v>9808</v>
      </c>
      <c r="H32" s="79">
        <v>150</v>
      </c>
      <c r="I32" s="18" t="s">
        <v>274</v>
      </c>
      <c r="J32" s="73">
        <v>9844</v>
      </c>
      <c r="K32" s="83">
        <v>300</v>
      </c>
      <c r="L32" s="74"/>
      <c r="M32" s="87"/>
      <c r="N32" s="85"/>
      <c r="O32" s="23"/>
    </row>
    <row r="33" spans="1:15" x14ac:dyDescent="0.25">
      <c r="A33" s="25"/>
      <c r="B33" s="61"/>
      <c r="C33" s="26" t="s">
        <v>330</v>
      </c>
      <c r="D33" s="20">
        <v>9771</v>
      </c>
      <c r="E33" s="82">
        <v>300</v>
      </c>
      <c r="F33" s="21"/>
      <c r="G33" s="17">
        <v>9809</v>
      </c>
      <c r="H33" s="79">
        <v>400</v>
      </c>
      <c r="I33" s="18" t="s">
        <v>274</v>
      </c>
      <c r="J33" s="73">
        <v>9845</v>
      </c>
      <c r="K33" s="83">
        <v>400</v>
      </c>
      <c r="L33" s="74"/>
      <c r="M33" s="87"/>
      <c r="N33" s="85"/>
      <c r="O33" s="23"/>
    </row>
    <row r="34" spans="1:15" x14ac:dyDescent="0.25">
      <c r="A34" s="25">
        <v>9717</v>
      </c>
      <c r="B34" s="61">
        <v>400</v>
      </c>
      <c r="C34" s="26"/>
      <c r="D34" s="20">
        <v>9772</v>
      </c>
      <c r="E34" s="82">
        <v>2000</v>
      </c>
      <c r="F34" s="21" t="s">
        <v>187</v>
      </c>
      <c r="G34" s="17">
        <v>9810</v>
      </c>
      <c r="H34" s="79">
        <v>1200</v>
      </c>
      <c r="I34" s="18" t="s">
        <v>349</v>
      </c>
      <c r="J34" s="73">
        <v>9846</v>
      </c>
      <c r="K34" s="83">
        <v>800</v>
      </c>
      <c r="L34" s="74" t="s">
        <v>324</v>
      </c>
      <c r="M34" s="87"/>
      <c r="N34" s="85"/>
      <c r="O34" s="43"/>
    </row>
    <row r="35" spans="1:15" x14ac:dyDescent="0.25">
      <c r="A35" s="25">
        <v>9718</v>
      </c>
      <c r="B35" s="61">
        <v>400</v>
      </c>
      <c r="C35" s="26"/>
      <c r="D35" s="20"/>
      <c r="E35" s="82"/>
      <c r="F35" s="21" t="s">
        <v>200</v>
      </c>
      <c r="G35" s="17"/>
      <c r="H35" s="79"/>
      <c r="I35" s="18" t="s">
        <v>25</v>
      </c>
      <c r="J35" s="73"/>
      <c r="K35" s="83"/>
      <c r="L35" s="74" t="s">
        <v>25</v>
      </c>
      <c r="M35" s="87"/>
      <c r="N35" s="85"/>
      <c r="O35" s="23"/>
    </row>
    <row r="36" spans="1:15" x14ac:dyDescent="0.25">
      <c r="A36" s="25">
        <v>9719</v>
      </c>
      <c r="B36" s="61">
        <v>400</v>
      </c>
      <c r="C36" s="26" t="s">
        <v>274</v>
      </c>
      <c r="D36" s="20">
        <v>9773</v>
      </c>
      <c r="E36" s="82">
        <v>350</v>
      </c>
      <c r="F36" s="21"/>
      <c r="G36" s="17">
        <v>9811</v>
      </c>
      <c r="H36" s="79">
        <v>160</v>
      </c>
      <c r="I36" s="18" t="s">
        <v>49</v>
      </c>
      <c r="J36" s="73">
        <v>9847</v>
      </c>
      <c r="K36" s="83">
        <v>400</v>
      </c>
      <c r="L36" s="74" t="s">
        <v>354</v>
      </c>
      <c r="M36" s="87"/>
      <c r="N36" s="85"/>
      <c r="O36" s="23"/>
    </row>
    <row r="37" spans="1:15" x14ac:dyDescent="0.25">
      <c r="A37" s="25">
        <v>9720</v>
      </c>
      <c r="B37" s="61">
        <v>400</v>
      </c>
      <c r="C37" s="26" t="s">
        <v>274</v>
      </c>
      <c r="D37" s="20">
        <v>9774</v>
      </c>
      <c r="E37" s="82">
        <v>300</v>
      </c>
      <c r="F37" s="21"/>
      <c r="G37" s="17">
        <v>9812</v>
      </c>
      <c r="H37" s="79">
        <v>400</v>
      </c>
      <c r="I37" s="18" t="s">
        <v>274</v>
      </c>
      <c r="J37" s="73">
        <v>9848</v>
      </c>
      <c r="K37" s="83">
        <v>800</v>
      </c>
      <c r="L37" s="74" t="s">
        <v>260</v>
      </c>
      <c r="M37" s="87"/>
      <c r="N37" s="85"/>
      <c r="O37" s="23"/>
    </row>
    <row r="38" spans="1:15" x14ac:dyDescent="0.25">
      <c r="A38" s="25">
        <v>9721</v>
      </c>
      <c r="B38" s="61">
        <v>800</v>
      </c>
      <c r="C38" s="26" t="s">
        <v>260</v>
      </c>
      <c r="D38" s="20">
        <v>9775</v>
      </c>
      <c r="E38" s="82">
        <v>400</v>
      </c>
      <c r="F38" s="21"/>
      <c r="G38" s="17">
        <v>9813</v>
      </c>
      <c r="H38" s="79">
        <v>400</v>
      </c>
      <c r="I38" s="18" t="s">
        <v>274</v>
      </c>
      <c r="J38" s="73"/>
      <c r="K38" s="83"/>
      <c r="L38" s="74" t="s">
        <v>25</v>
      </c>
      <c r="M38" s="87"/>
      <c r="N38" s="85"/>
      <c r="O38" s="23"/>
    </row>
    <row r="39" spans="1:15" x14ac:dyDescent="0.25">
      <c r="A39" s="25"/>
      <c r="B39" s="61"/>
      <c r="C39" s="26" t="s">
        <v>25</v>
      </c>
      <c r="D39" s="20">
        <v>9776</v>
      </c>
      <c r="E39" s="82">
        <v>400</v>
      </c>
      <c r="F39" s="21"/>
      <c r="G39" s="17">
        <v>9814</v>
      </c>
      <c r="H39" s="79">
        <v>200</v>
      </c>
      <c r="I39" s="18"/>
      <c r="J39" s="73">
        <v>9849</v>
      </c>
      <c r="K39" s="83"/>
      <c r="L39" s="74" t="s">
        <v>73</v>
      </c>
      <c r="M39" s="87"/>
      <c r="N39" s="85"/>
      <c r="O39" s="23"/>
    </row>
    <row r="40" spans="1:15" x14ac:dyDescent="0.25">
      <c r="A40" s="25">
        <v>9722</v>
      </c>
      <c r="B40" s="61">
        <v>350</v>
      </c>
      <c r="C40" s="26"/>
      <c r="D40" s="20">
        <v>9777</v>
      </c>
      <c r="E40" s="82">
        <v>800</v>
      </c>
      <c r="F40" s="21" t="s">
        <v>324</v>
      </c>
      <c r="G40" s="17">
        <v>9815</v>
      </c>
      <c r="H40" s="79">
        <v>800</v>
      </c>
      <c r="I40" s="18" t="s">
        <v>260</v>
      </c>
      <c r="J40" s="73">
        <v>9850</v>
      </c>
      <c r="K40" s="83">
        <v>200</v>
      </c>
      <c r="L40" s="74"/>
      <c r="M40" s="87"/>
      <c r="N40" s="85"/>
      <c r="O40" s="23"/>
    </row>
    <row r="41" spans="1:15" x14ac:dyDescent="0.25">
      <c r="A41" s="25">
        <v>9723</v>
      </c>
      <c r="B41" s="61">
        <v>400</v>
      </c>
      <c r="C41" s="26"/>
      <c r="D41" s="20"/>
      <c r="E41" s="82"/>
      <c r="F41" s="21" t="s">
        <v>25</v>
      </c>
      <c r="G41" s="17"/>
      <c r="H41" s="79"/>
      <c r="I41" s="18" t="s">
        <v>25</v>
      </c>
      <c r="J41" s="73">
        <v>9851</v>
      </c>
      <c r="K41" s="83">
        <v>400</v>
      </c>
      <c r="L41" s="74"/>
      <c r="M41" s="87"/>
      <c r="N41" s="85"/>
      <c r="O41" s="23"/>
    </row>
    <row r="42" spans="1:15" x14ac:dyDescent="0.25">
      <c r="A42" s="25">
        <v>9724</v>
      </c>
      <c r="B42" s="61">
        <v>800</v>
      </c>
      <c r="C42" s="26" t="s">
        <v>260</v>
      </c>
      <c r="D42" s="20">
        <v>9778</v>
      </c>
      <c r="E42" s="82">
        <v>400</v>
      </c>
      <c r="F42" s="21" t="s">
        <v>274</v>
      </c>
      <c r="G42" s="17">
        <v>9816</v>
      </c>
      <c r="H42" s="79">
        <v>400</v>
      </c>
      <c r="I42" s="18"/>
      <c r="J42" s="73">
        <v>9852</v>
      </c>
      <c r="K42" s="83">
        <v>400</v>
      </c>
      <c r="L42" s="74" t="s">
        <v>354</v>
      </c>
      <c r="M42" s="87"/>
      <c r="N42" s="85"/>
      <c r="O42" s="23"/>
    </row>
    <row r="43" spans="1:15" x14ac:dyDescent="0.25">
      <c r="A43" s="25"/>
      <c r="B43" s="61"/>
      <c r="C43" s="26" t="s">
        <v>25</v>
      </c>
      <c r="D43" s="20">
        <v>9779</v>
      </c>
      <c r="E43" s="82">
        <v>600</v>
      </c>
      <c r="F43" s="21" t="s">
        <v>303</v>
      </c>
      <c r="G43" s="17">
        <v>9817</v>
      </c>
      <c r="H43" s="79">
        <v>400</v>
      </c>
      <c r="I43" s="18"/>
      <c r="J43" s="73">
        <v>9853</v>
      </c>
      <c r="K43" s="83">
        <v>800</v>
      </c>
      <c r="L43" s="74" t="s">
        <v>260</v>
      </c>
      <c r="M43" s="87"/>
      <c r="N43" s="85"/>
      <c r="O43" s="23"/>
    </row>
    <row r="44" spans="1:15" x14ac:dyDescent="0.25">
      <c r="A44" s="25">
        <v>9725</v>
      </c>
      <c r="B44" s="61">
        <v>800</v>
      </c>
      <c r="C44" s="26" t="s">
        <v>326</v>
      </c>
      <c r="D44" s="20"/>
      <c r="E44" s="82"/>
      <c r="F44" s="21" t="s">
        <v>33</v>
      </c>
      <c r="G44" s="17">
        <v>9818</v>
      </c>
      <c r="H44" s="79">
        <v>600</v>
      </c>
      <c r="I44" s="18" t="s">
        <v>272</v>
      </c>
      <c r="J44" s="73"/>
      <c r="K44" s="83"/>
      <c r="L44" s="74" t="s">
        <v>25</v>
      </c>
      <c r="M44" s="87"/>
      <c r="N44" s="85"/>
      <c r="O44" s="23"/>
    </row>
    <row r="45" spans="1:15" x14ac:dyDescent="0.25">
      <c r="A45" s="25"/>
      <c r="B45" s="61"/>
      <c r="C45" s="26" t="s">
        <v>189</v>
      </c>
      <c r="D45" s="20">
        <v>9780</v>
      </c>
      <c r="E45" s="82">
        <v>160</v>
      </c>
      <c r="F45" s="21" t="s">
        <v>23</v>
      </c>
      <c r="G45" s="17"/>
      <c r="H45" s="79"/>
      <c r="I45" s="18" t="s">
        <v>27</v>
      </c>
      <c r="J45" s="73">
        <v>9854</v>
      </c>
      <c r="K45" s="83">
        <v>1200</v>
      </c>
      <c r="L45" s="74" t="s">
        <v>259</v>
      </c>
      <c r="M45" s="87"/>
      <c r="N45" s="85"/>
      <c r="O45" s="23"/>
    </row>
    <row r="46" spans="1:15" x14ac:dyDescent="0.25">
      <c r="A46" s="25">
        <v>9726</v>
      </c>
      <c r="B46" s="61">
        <v>960</v>
      </c>
      <c r="C46" s="26" t="s">
        <v>331</v>
      </c>
      <c r="D46" s="20"/>
      <c r="E46" s="82"/>
      <c r="F46" s="21" t="s">
        <v>341</v>
      </c>
      <c r="G46" s="17">
        <v>9819</v>
      </c>
      <c r="H46" s="79">
        <v>400</v>
      </c>
      <c r="I46" s="18"/>
      <c r="J46" s="73"/>
      <c r="K46" s="83"/>
      <c r="L46" s="74" t="s">
        <v>25</v>
      </c>
      <c r="M46" s="87"/>
      <c r="N46" s="85"/>
      <c r="O46" s="23"/>
    </row>
    <row r="47" spans="1:15" x14ac:dyDescent="0.25">
      <c r="A47" s="25"/>
      <c r="B47" s="61"/>
      <c r="C47" s="26" t="s">
        <v>327</v>
      </c>
      <c r="D47" s="20">
        <v>9781</v>
      </c>
      <c r="E47" s="82">
        <v>1200</v>
      </c>
      <c r="F47" s="21" t="s">
        <v>272</v>
      </c>
      <c r="G47" s="17">
        <v>9820</v>
      </c>
      <c r="H47" s="79">
        <v>400</v>
      </c>
      <c r="I47" s="18" t="s">
        <v>274</v>
      </c>
      <c r="J47" s="107">
        <v>9944</v>
      </c>
      <c r="K47" s="83">
        <v>300</v>
      </c>
      <c r="L47" s="74" t="s">
        <v>555</v>
      </c>
      <c r="M47" s="87"/>
      <c r="N47" s="85"/>
      <c r="O47" s="23"/>
    </row>
    <row r="48" spans="1:15" x14ac:dyDescent="0.25">
      <c r="A48" s="25"/>
      <c r="B48" s="61"/>
      <c r="C48" s="26" t="s">
        <v>332</v>
      </c>
      <c r="D48" s="20"/>
      <c r="E48" s="82"/>
      <c r="F48" s="21" t="s">
        <v>25</v>
      </c>
      <c r="G48" s="17">
        <v>9821</v>
      </c>
      <c r="H48" s="79">
        <v>200</v>
      </c>
      <c r="I48" s="18"/>
      <c r="J48" s="107">
        <v>9945</v>
      </c>
      <c r="K48" s="83">
        <v>400</v>
      </c>
      <c r="L48" s="74" t="s">
        <v>555</v>
      </c>
      <c r="M48" s="87"/>
      <c r="N48" s="85"/>
      <c r="O48" s="23"/>
    </row>
    <row r="49" spans="1:15" x14ac:dyDescent="0.25">
      <c r="A49" s="25">
        <v>9727</v>
      </c>
      <c r="B49" s="61">
        <v>400</v>
      </c>
      <c r="C49" s="26" t="s">
        <v>222</v>
      </c>
      <c r="D49" s="20">
        <v>9782</v>
      </c>
      <c r="E49" s="82">
        <v>800</v>
      </c>
      <c r="F49" s="21" t="s">
        <v>303</v>
      </c>
      <c r="G49" s="17">
        <v>9822</v>
      </c>
      <c r="H49" s="79">
        <v>300</v>
      </c>
      <c r="I49" s="18"/>
      <c r="J49" s="73"/>
      <c r="K49" s="83"/>
      <c r="L49" s="74"/>
      <c r="M49" s="87"/>
      <c r="N49" s="85"/>
      <c r="O49" s="23"/>
    </row>
    <row r="50" spans="1:15" x14ac:dyDescent="0.25">
      <c r="A50" s="25">
        <v>9728</v>
      </c>
      <c r="B50" s="61">
        <v>400</v>
      </c>
      <c r="C50" s="26"/>
      <c r="D50" s="20"/>
      <c r="E50" s="82"/>
      <c r="F50" s="21" t="s">
        <v>25</v>
      </c>
      <c r="G50" s="17">
        <v>9823</v>
      </c>
      <c r="H50" s="79">
        <v>520</v>
      </c>
      <c r="I50" s="18" t="s">
        <v>350</v>
      </c>
      <c r="J50" s="73"/>
      <c r="K50" s="83"/>
      <c r="L50" s="74"/>
      <c r="M50" s="87"/>
      <c r="N50" s="85"/>
      <c r="O50" s="23"/>
    </row>
    <row r="51" spans="1:15" x14ac:dyDescent="0.25">
      <c r="A51" s="25">
        <v>9729</v>
      </c>
      <c r="B51" s="61">
        <v>400</v>
      </c>
      <c r="C51" s="26"/>
      <c r="D51" s="20">
        <v>9783</v>
      </c>
      <c r="E51" s="82">
        <v>400</v>
      </c>
      <c r="F51" s="21"/>
      <c r="G51" s="17"/>
      <c r="H51" s="79"/>
      <c r="I51" s="18" t="s">
        <v>351</v>
      </c>
      <c r="J51" s="73"/>
      <c r="K51" s="83"/>
      <c r="L51" s="74"/>
      <c r="M51" s="87"/>
      <c r="N51" s="85"/>
      <c r="O51" s="23"/>
    </row>
    <row r="52" spans="1:15" x14ac:dyDescent="0.25">
      <c r="A52" s="25">
        <v>9730</v>
      </c>
      <c r="B52" s="61">
        <v>400</v>
      </c>
      <c r="C52" s="26"/>
      <c r="D52" s="20">
        <v>9784</v>
      </c>
      <c r="E52" s="82">
        <v>400</v>
      </c>
      <c r="F52" s="21"/>
      <c r="G52" s="17">
        <v>9824</v>
      </c>
      <c r="H52" s="79">
        <v>500</v>
      </c>
      <c r="I52" s="18" t="s">
        <v>324</v>
      </c>
      <c r="J52" s="73"/>
      <c r="K52" s="83"/>
      <c r="L52" s="80"/>
      <c r="M52" s="87"/>
      <c r="N52" s="85"/>
      <c r="O52" s="23"/>
    </row>
    <row r="53" spans="1:15" x14ac:dyDescent="0.25">
      <c r="A53" s="25">
        <v>9731</v>
      </c>
      <c r="B53" s="61">
        <v>400</v>
      </c>
      <c r="C53" s="26"/>
      <c r="D53" s="20">
        <v>9785</v>
      </c>
      <c r="E53" s="82">
        <v>2800</v>
      </c>
      <c r="F53" s="21" t="s">
        <v>342</v>
      </c>
      <c r="G53" s="17"/>
      <c r="H53" s="79"/>
      <c r="I53" s="18" t="s">
        <v>81</v>
      </c>
      <c r="J53" s="73"/>
      <c r="K53" s="83"/>
      <c r="L53" s="74"/>
      <c r="M53" s="87"/>
      <c r="N53" s="85"/>
      <c r="O53" s="23"/>
    </row>
    <row r="54" spans="1:15" x14ac:dyDescent="0.25">
      <c r="A54" s="25">
        <v>9732</v>
      </c>
      <c r="B54" s="61">
        <v>320</v>
      </c>
      <c r="C54" s="26" t="s">
        <v>333</v>
      </c>
      <c r="D54" s="20"/>
      <c r="E54" s="82"/>
      <c r="F54" s="21" t="s">
        <v>25</v>
      </c>
      <c r="G54" s="17">
        <v>9825</v>
      </c>
      <c r="H54" s="79">
        <v>400</v>
      </c>
      <c r="I54" s="18"/>
      <c r="J54" s="73"/>
      <c r="K54" s="83"/>
      <c r="L54" s="74"/>
      <c r="M54" s="87"/>
      <c r="N54" s="85"/>
      <c r="O54" s="23"/>
    </row>
    <row r="55" spans="1:15" x14ac:dyDescent="0.25">
      <c r="A55" s="25"/>
      <c r="B55" s="61"/>
      <c r="C55" s="26" t="s">
        <v>334</v>
      </c>
      <c r="D55" s="20">
        <v>9786</v>
      </c>
      <c r="E55" s="82">
        <v>1600</v>
      </c>
      <c r="F55" s="21" t="s">
        <v>315</v>
      </c>
      <c r="G55" s="17">
        <v>9826</v>
      </c>
      <c r="H55" s="79">
        <v>600</v>
      </c>
      <c r="I55" s="18" t="s">
        <v>303</v>
      </c>
      <c r="J55" s="73"/>
      <c r="K55" s="83"/>
      <c r="L55" s="74"/>
      <c r="M55" s="87"/>
      <c r="N55" s="85"/>
      <c r="O55" s="23"/>
    </row>
    <row r="56" spans="1:15" x14ac:dyDescent="0.25">
      <c r="A56" s="25">
        <v>9733</v>
      </c>
      <c r="B56" s="61">
        <v>400</v>
      </c>
      <c r="C56" s="26"/>
      <c r="D56" s="20"/>
      <c r="E56" s="82"/>
      <c r="F56" s="21" t="s">
        <v>25</v>
      </c>
      <c r="G56" s="17"/>
      <c r="H56" s="79"/>
      <c r="I56" s="18" t="s">
        <v>33</v>
      </c>
      <c r="J56" s="73"/>
      <c r="K56" s="83"/>
      <c r="L56" s="74"/>
      <c r="M56" s="87"/>
      <c r="N56" s="85"/>
      <c r="O56" s="23"/>
    </row>
    <row r="57" spans="1:15" x14ac:dyDescent="0.25">
      <c r="A57" s="25">
        <v>9734</v>
      </c>
      <c r="B57" s="61">
        <v>600</v>
      </c>
      <c r="C57" s="26" t="s">
        <v>335</v>
      </c>
      <c r="D57" s="20">
        <v>9787</v>
      </c>
      <c r="E57" s="82">
        <v>600</v>
      </c>
      <c r="F57" s="21" t="s">
        <v>303</v>
      </c>
      <c r="G57" s="17">
        <v>9827</v>
      </c>
      <c r="H57" s="79">
        <v>300</v>
      </c>
      <c r="I57" s="18"/>
      <c r="J57" s="73"/>
      <c r="K57" s="83"/>
      <c r="L57" s="74"/>
      <c r="M57" s="87"/>
      <c r="N57" s="85"/>
      <c r="O57" s="23"/>
    </row>
    <row r="58" spans="1:15" x14ac:dyDescent="0.25">
      <c r="A58" s="25"/>
      <c r="B58" s="61"/>
      <c r="C58" s="26" t="s">
        <v>189</v>
      </c>
      <c r="D58" s="20"/>
      <c r="E58" s="82"/>
      <c r="F58" s="21" t="s">
        <v>33</v>
      </c>
      <c r="G58" s="17"/>
      <c r="H58" s="79"/>
      <c r="I58" s="18"/>
      <c r="J58" s="73"/>
      <c r="K58" s="83"/>
      <c r="L58" s="74"/>
      <c r="M58" s="87"/>
      <c r="N58" s="85"/>
      <c r="O58" s="23"/>
    </row>
    <row r="59" spans="1:15" x14ac:dyDescent="0.25">
      <c r="A59" s="25">
        <v>9735</v>
      </c>
      <c r="B59" s="61">
        <v>400</v>
      </c>
      <c r="C59" s="26" t="s">
        <v>336</v>
      </c>
      <c r="D59" s="20">
        <v>9788</v>
      </c>
      <c r="E59" s="82">
        <v>400</v>
      </c>
      <c r="F59" s="21" t="s">
        <v>260</v>
      </c>
      <c r="G59" s="17"/>
      <c r="H59" s="79"/>
      <c r="I59" s="18"/>
      <c r="J59" s="73"/>
      <c r="K59" s="83"/>
      <c r="L59" s="74"/>
      <c r="M59" s="87"/>
      <c r="N59" s="85"/>
      <c r="O59" s="23"/>
    </row>
    <row r="60" spans="1:15" x14ac:dyDescent="0.25">
      <c r="A60" s="25"/>
      <c r="B60" s="61"/>
      <c r="C60" s="26" t="s">
        <v>128</v>
      </c>
      <c r="D60" s="20"/>
      <c r="E60" s="82"/>
      <c r="F60" s="21" t="s">
        <v>27</v>
      </c>
      <c r="G60" s="17"/>
      <c r="H60" s="79"/>
      <c r="I60" s="18"/>
      <c r="J60" s="73"/>
      <c r="K60" s="83"/>
      <c r="L60" s="74"/>
      <c r="M60" s="87"/>
      <c r="N60" s="85"/>
      <c r="O60" s="23"/>
    </row>
    <row r="61" spans="1:15" x14ac:dyDescent="0.25">
      <c r="A61" s="25">
        <v>9736</v>
      </c>
      <c r="B61" s="61">
        <v>400</v>
      </c>
      <c r="C61" s="26"/>
      <c r="D61" s="20">
        <v>9789</v>
      </c>
      <c r="E61" s="82">
        <v>2800</v>
      </c>
      <c r="F61" s="21" t="s">
        <v>343</v>
      </c>
      <c r="G61" s="17"/>
      <c r="H61" s="79"/>
      <c r="I61" s="18"/>
      <c r="J61" s="73"/>
      <c r="K61" s="83"/>
      <c r="L61" s="74"/>
      <c r="M61" s="87"/>
      <c r="N61" s="85"/>
      <c r="O61" s="23"/>
    </row>
    <row r="62" spans="1:15" x14ac:dyDescent="0.25">
      <c r="A62" s="25">
        <v>9737</v>
      </c>
      <c r="B62" s="61">
        <v>300</v>
      </c>
      <c r="C62" s="26"/>
      <c r="D62" s="20"/>
      <c r="E62" s="82"/>
      <c r="F62" s="21" t="s">
        <v>25</v>
      </c>
      <c r="G62" s="17"/>
      <c r="H62" s="79"/>
      <c r="I62" s="18"/>
      <c r="J62" s="73"/>
      <c r="K62" s="83"/>
      <c r="L62" s="74"/>
      <c r="M62" s="87"/>
      <c r="N62" s="85"/>
      <c r="O62" s="23"/>
    </row>
    <row r="63" spans="1:15" x14ac:dyDescent="0.25">
      <c r="A63" s="25">
        <v>9738</v>
      </c>
      <c r="B63" s="61">
        <v>200</v>
      </c>
      <c r="C63" s="26"/>
      <c r="D63" s="20">
        <v>9790</v>
      </c>
      <c r="E63" s="82">
        <v>250</v>
      </c>
      <c r="F63" s="21"/>
      <c r="G63" s="17"/>
      <c r="H63" s="79"/>
      <c r="I63" s="18"/>
      <c r="J63" s="73"/>
      <c r="K63" s="83"/>
      <c r="L63" s="74"/>
      <c r="M63" s="87"/>
      <c r="N63" s="85"/>
      <c r="O63" s="23"/>
    </row>
    <row r="64" spans="1:15" x14ac:dyDescent="0.25">
      <c r="A64" s="25">
        <v>9739</v>
      </c>
      <c r="B64" s="61">
        <v>400</v>
      </c>
      <c r="C64" s="26" t="s">
        <v>274</v>
      </c>
      <c r="D64" s="20">
        <v>9791</v>
      </c>
      <c r="E64" s="82">
        <v>300</v>
      </c>
      <c r="F64" s="21"/>
      <c r="G64" s="17"/>
      <c r="H64" s="79"/>
      <c r="I64" s="18"/>
      <c r="J64" s="73"/>
      <c r="K64" s="83"/>
      <c r="L64" s="74"/>
      <c r="M64" s="87"/>
      <c r="N64" s="85"/>
      <c r="O64" s="23"/>
    </row>
    <row r="65" spans="1:15" x14ac:dyDescent="0.25">
      <c r="A65" s="25">
        <v>9740</v>
      </c>
      <c r="B65" s="61">
        <v>400</v>
      </c>
      <c r="C65" s="26" t="s">
        <v>248</v>
      </c>
      <c r="D65" s="20"/>
      <c r="E65" s="82"/>
      <c r="F65" s="21"/>
      <c r="G65" s="17"/>
      <c r="H65" s="79"/>
      <c r="I65" s="18"/>
      <c r="J65" s="73"/>
      <c r="K65" s="83"/>
      <c r="L65" s="74"/>
      <c r="M65" s="87"/>
      <c r="N65" s="85"/>
      <c r="O65" s="23"/>
    </row>
    <row r="66" spans="1:15" x14ac:dyDescent="0.25">
      <c r="A66" s="25">
        <v>9741</v>
      </c>
      <c r="B66" s="61">
        <v>400</v>
      </c>
      <c r="C66" s="26"/>
      <c r="D66" s="20"/>
      <c r="E66" s="82"/>
      <c r="F66" s="21"/>
      <c r="G66" s="17"/>
      <c r="H66" s="79"/>
      <c r="I66" s="18"/>
      <c r="J66" s="73"/>
      <c r="K66" s="83"/>
      <c r="L66" s="74"/>
      <c r="M66" s="87"/>
      <c r="N66" s="85"/>
      <c r="O66" s="23"/>
    </row>
    <row r="67" spans="1:15" x14ac:dyDescent="0.25">
      <c r="A67" s="25">
        <v>9742</v>
      </c>
      <c r="B67" s="61">
        <v>150</v>
      </c>
      <c r="C67" s="26"/>
      <c r="D67" s="20"/>
      <c r="E67" s="82"/>
      <c r="F67" s="21"/>
      <c r="G67" s="17"/>
      <c r="H67" s="79"/>
      <c r="I67" s="18"/>
      <c r="J67" s="73"/>
      <c r="K67" s="83"/>
      <c r="L67" s="74"/>
      <c r="M67" s="87"/>
      <c r="N67" s="85"/>
      <c r="O67" s="23"/>
    </row>
    <row r="68" spans="1:15" x14ac:dyDescent="0.25">
      <c r="A68" s="25">
        <v>9743</v>
      </c>
      <c r="B68" s="61">
        <v>160</v>
      </c>
      <c r="C68" s="26" t="s">
        <v>23</v>
      </c>
      <c r="D68" s="20"/>
      <c r="E68" s="82"/>
      <c r="F68" s="21"/>
      <c r="G68" s="17"/>
      <c r="H68" s="79"/>
      <c r="I68" s="18"/>
      <c r="J68" s="73"/>
      <c r="K68" s="83"/>
      <c r="L68" s="74"/>
      <c r="M68" s="87"/>
      <c r="N68" s="85"/>
      <c r="O68" s="23"/>
    </row>
    <row r="69" spans="1:15" x14ac:dyDescent="0.25">
      <c r="A69" s="25"/>
      <c r="B69" s="61"/>
      <c r="C69" s="26" t="s">
        <v>337</v>
      </c>
      <c r="D69" s="20"/>
      <c r="E69" s="82"/>
      <c r="F69" s="21"/>
      <c r="G69" s="17"/>
      <c r="H69" s="79"/>
      <c r="I69" s="18"/>
      <c r="J69" s="73"/>
      <c r="K69" s="83"/>
      <c r="L69" s="74"/>
      <c r="M69" s="87"/>
      <c r="N69" s="85"/>
      <c r="O69" s="23"/>
    </row>
    <row r="70" spans="1:15" x14ac:dyDescent="0.25">
      <c r="A70" s="25">
        <v>9744</v>
      </c>
      <c r="B70" s="61">
        <v>400</v>
      </c>
      <c r="C70" s="26" t="s">
        <v>338</v>
      </c>
      <c r="D70" s="20"/>
      <c r="E70" s="82"/>
      <c r="F70" s="21"/>
      <c r="G70" s="17"/>
      <c r="H70" s="79"/>
      <c r="I70" s="18"/>
      <c r="J70" s="73"/>
      <c r="K70" s="83"/>
      <c r="L70" s="74"/>
      <c r="M70" s="87"/>
      <c r="N70" s="85"/>
      <c r="O70" s="23"/>
    </row>
    <row r="71" spans="1:15" x14ac:dyDescent="0.25">
      <c r="A71" s="25"/>
      <c r="B71" s="61"/>
      <c r="C71" s="26" t="s">
        <v>189</v>
      </c>
      <c r="D71" s="20"/>
      <c r="E71" s="82"/>
      <c r="F71" s="21"/>
      <c r="G71" s="17"/>
      <c r="H71" s="79"/>
      <c r="I71" s="18"/>
      <c r="J71" s="73"/>
      <c r="K71" s="83"/>
      <c r="L71" s="74"/>
      <c r="M71" s="87"/>
      <c r="N71" s="85"/>
      <c r="O71" s="23"/>
    </row>
    <row r="72" spans="1:15" x14ac:dyDescent="0.25">
      <c r="A72" s="25">
        <v>9745</v>
      </c>
      <c r="B72" s="61">
        <v>400</v>
      </c>
      <c r="C72" s="26"/>
      <c r="D72" s="20"/>
      <c r="E72" s="82"/>
      <c r="F72" s="21"/>
      <c r="G72" s="17"/>
      <c r="H72" s="79"/>
      <c r="I72" s="18"/>
      <c r="J72" s="73"/>
      <c r="K72" s="83"/>
      <c r="L72" s="74"/>
      <c r="M72" s="87"/>
      <c r="N72" s="85"/>
      <c r="O72" s="23"/>
    </row>
    <row r="73" spans="1:15" x14ac:dyDescent="0.25">
      <c r="A73" s="25">
        <v>9746</v>
      </c>
      <c r="B73" s="61">
        <v>200</v>
      </c>
      <c r="C73" s="26" t="s">
        <v>229</v>
      </c>
      <c r="D73" s="20"/>
      <c r="E73" s="82"/>
      <c r="F73" s="21"/>
      <c r="G73" s="17"/>
      <c r="H73" s="79"/>
      <c r="I73" s="18"/>
      <c r="J73" s="73"/>
      <c r="K73" s="83"/>
      <c r="L73" s="74"/>
      <c r="M73" s="87"/>
      <c r="N73" s="85"/>
      <c r="O73" s="23"/>
    </row>
    <row r="74" spans="1:15" x14ac:dyDescent="0.25">
      <c r="A74" s="25">
        <v>9747</v>
      </c>
      <c r="B74" s="61">
        <v>300</v>
      </c>
      <c r="C74" s="26"/>
      <c r="D74" s="20"/>
      <c r="E74" s="82"/>
      <c r="F74" s="21"/>
      <c r="G74" s="17"/>
      <c r="H74" s="79"/>
      <c r="I74" s="18"/>
      <c r="J74" s="73"/>
      <c r="K74" s="83"/>
      <c r="L74" s="74"/>
      <c r="M74" s="87"/>
      <c r="N74" s="85"/>
      <c r="O74" s="23"/>
    </row>
    <row r="75" spans="1:15" x14ac:dyDescent="0.25">
      <c r="A75" s="25">
        <v>9748</v>
      </c>
      <c r="B75" s="61">
        <v>160</v>
      </c>
      <c r="C75" s="26" t="s">
        <v>133</v>
      </c>
      <c r="D75" s="20"/>
      <c r="E75" s="82"/>
      <c r="F75" s="21"/>
      <c r="G75" s="17"/>
      <c r="H75" s="79"/>
      <c r="I75" s="18"/>
      <c r="J75" s="73"/>
      <c r="K75" s="83"/>
      <c r="L75" s="74"/>
      <c r="M75" s="87"/>
      <c r="N75" s="85"/>
      <c r="O75" s="23"/>
    </row>
    <row r="76" spans="1:15" x14ac:dyDescent="0.25">
      <c r="A76" s="25"/>
      <c r="B76" s="61"/>
      <c r="C76" s="26" t="s">
        <v>339</v>
      </c>
      <c r="D76" s="20"/>
      <c r="E76" s="82"/>
      <c r="F76" s="21"/>
      <c r="G76" s="17"/>
      <c r="H76" s="79"/>
      <c r="I76" s="18"/>
      <c r="J76" s="73"/>
      <c r="K76" s="83"/>
      <c r="L76" s="74"/>
      <c r="M76" s="87"/>
      <c r="N76" s="85"/>
      <c r="O76" s="23"/>
    </row>
    <row r="77" spans="1:15" x14ac:dyDescent="0.25">
      <c r="A77" s="25">
        <v>9749</v>
      </c>
      <c r="B77" s="61">
        <v>2800</v>
      </c>
      <c r="C77" s="26" t="s">
        <v>187</v>
      </c>
      <c r="D77" s="20"/>
      <c r="E77" s="82"/>
      <c r="F77" s="21"/>
      <c r="G77" s="17"/>
      <c r="H77" s="79"/>
      <c r="I77" s="18"/>
      <c r="J77" s="73"/>
      <c r="K77" s="83"/>
      <c r="L77" s="74"/>
      <c r="M77" s="87"/>
      <c r="N77" s="85"/>
      <c r="O77" s="23"/>
    </row>
    <row r="78" spans="1:15" x14ac:dyDescent="0.25">
      <c r="A78" s="25"/>
      <c r="B78" s="61"/>
      <c r="C78" s="26" t="s">
        <v>340</v>
      </c>
      <c r="D78" s="20"/>
      <c r="E78" s="82"/>
      <c r="F78" s="21"/>
      <c r="G78" s="17"/>
      <c r="H78" s="79"/>
      <c r="I78" s="18"/>
      <c r="J78" s="73"/>
      <c r="K78" s="83"/>
      <c r="L78" s="74"/>
      <c r="M78" s="87"/>
      <c r="N78" s="85"/>
      <c r="O78" s="23"/>
    </row>
    <row r="79" spans="1:15" x14ac:dyDescent="0.25">
      <c r="A79" s="25"/>
      <c r="B79" s="61"/>
      <c r="C79" s="26" t="s">
        <v>189</v>
      </c>
      <c r="D79" s="20"/>
      <c r="E79" s="82"/>
      <c r="F79" s="21"/>
      <c r="G79" s="17"/>
      <c r="H79" s="79"/>
      <c r="I79" s="18"/>
      <c r="J79" s="73"/>
      <c r="K79" s="83"/>
      <c r="L79" s="74"/>
      <c r="M79" s="87"/>
      <c r="N79" s="85"/>
      <c r="O79" s="23"/>
    </row>
    <row r="80" spans="1:15" x14ac:dyDescent="0.25">
      <c r="A80" s="25">
        <v>9750</v>
      </c>
      <c r="B80" s="61">
        <v>1200</v>
      </c>
      <c r="C80" s="26" t="s">
        <v>168</v>
      </c>
      <c r="D80" s="20"/>
      <c r="E80" s="82"/>
      <c r="F80" s="21"/>
      <c r="G80" s="17"/>
      <c r="H80" s="79"/>
      <c r="I80" s="18"/>
      <c r="J80" s="73"/>
      <c r="K80" s="83"/>
      <c r="L80" s="74"/>
      <c r="M80" s="87"/>
      <c r="N80" s="85"/>
      <c r="O80" s="23"/>
    </row>
    <row r="81" spans="1:15" x14ac:dyDescent="0.25">
      <c r="A81" s="25"/>
      <c r="B81" s="61"/>
      <c r="C81" s="26" t="s">
        <v>25</v>
      </c>
      <c r="D81" s="20"/>
      <c r="E81" s="82"/>
      <c r="F81" s="21"/>
      <c r="G81" s="17"/>
      <c r="H81" s="79"/>
      <c r="I81" s="18"/>
      <c r="J81" s="73"/>
      <c r="K81" s="83"/>
      <c r="L81" s="74"/>
      <c r="M81" s="87"/>
      <c r="N81" s="85"/>
      <c r="O81" s="23"/>
    </row>
    <row r="82" spans="1:15" x14ac:dyDescent="0.25">
      <c r="A82" s="25">
        <v>9751</v>
      </c>
      <c r="B82" s="61">
        <v>400</v>
      </c>
      <c r="C82" s="26"/>
      <c r="D82" s="20"/>
      <c r="E82" s="82"/>
      <c r="F82" s="21"/>
      <c r="G82" s="17"/>
      <c r="H82" s="79"/>
      <c r="I82" s="18"/>
      <c r="J82" s="73"/>
      <c r="K82" s="83"/>
      <c r="L82" s="74"/>
      <c r="M82" s="87"/>
      <c r="N82" s="85"/>
      <c r="O82" s="23"/>
    </row>
    <row r="83" spans="1:15" x14ac:dyDescent="0.25">
      <c r="A83" s="25">
        <v>9752</v>
      </c>
      <c r="B83" s="61">
        <v>400</v>
      </c>
      <c r="C83" s="26"/>
      <c r="D83" s="20"/>
      <c r="E83" s="82"/>
      <c r="F83" s="21"/>
      <c r="G83" s="17"/>
      <c r="H83" s="79"/>
      <c r="I83" s="18"/>
      <c r="J83" s="73"/>
      <c r="K83" s="83"/>
      <c r="L83" s="74"/>
      <c r="M83" s="87"/>
      <c r="N83" s="85"/>
      <c r="O83" s="23"/>
    </row>
    <row r="84" spans="1:15" x14ac:dyDescent="0.25">
      <c r="A84" s="25"/>
      <c r="B84" s="61"/>
      <c r="C84" s="26"/>
      <c r="D84" s="20"/>
      <c r="E84" s="82"/>
      <c r="F84" s="21"/>
      <c r="G84" s="17"/>
      <c r="H84" s="79"/>
      <c r="I84" s="18"/>
      <c r="J84" s="73"/>
      <c r="K84" s="83"/>
      <c r="L84" s="74"/>
      <c r="M84" s="87"/>
      <c r="N84" s="85"/>
      <c r="O84" s="23"/>
    </row>
    <row r="85" spans="1:15" x14ac:dyDescent="0.25">
      <c r="A85" s="25"/>
      <c r="B85" s="61"/>
      <c r="C85" s="26"/>
      <c r="D85" s="20"/>
      <c r="E85" s="82"/>
      <c r="F85" s="21"/>
      <c r="G85" s="17"/>
      <c r="H85" s="79"/>
      <c r="I85" s="18"/>
      <c r="J85" s="73"/>
      <c r="K85" s="83"/>
      <c r="L85" s="74"/>
      <c r="M85" s="87"/>
      <c r="N85" s="85"/>
      <c r="O85" s="23"/>
    </row>
    <row r="86" spans="1:15" x14ac:dyDescent="0.25">
      <c r="A86" s="25"/>
      <c r="B86" s="61"/>
      <c r="C86" s="26"/>
      <c r="D86" s="20"/>
      <c r="E86" s="82"/>
      <c r="F86" s="21"/>
      <c r="G86" s="17"/>
      <c r="H86" s="79"/>
      <c r="I86" s="18"/>
      <c r="J86" s="73"/>
      <c r="K86" s="83"/>
      <c r="L86" s="74"/>
      <c r="M86" s="87"/>
      <c r="N86" s="85"/>
      <c r="O86" s="23"/>
    </row>
    <row r="87" spans="1:15" x14ac:dyDescent="0.25">
      <c r="A87" s="25"/>
      <c r="B87" s="61"/>
      <c r="C87" s="26"/>
      <c r="D87" s="20"/>
      <c r="E87" s="82"/>
      <c r="F87" s="21"/>
      <c r="G87" s="17"/>
      <c r="H87" s="79"/>
      <c r="I87" s="18"/>
      <c r="J87" s="73"/>
      <c r="K87" s="83"/>
      <c r="L87" s="74"/>
      <c r="M87" s="87"/>
      <c r="N87" s="85"/>
      <c r="O87" s="23"/>
    </row>
    <row r="88" spans="1:15" x14ac:dyDescent="0.25">
      <c r="A88" s="25"/>
      <c r="B88" s="61"/>
      <c r="C88" s="26"/>
      <c r="D88" s="20"/>
      <c r="E88" s="82"/>
      <c r="F88" s="21"/>
      <c r="G88" s="17"/>
      <c r="H88" s="79"/>
      <c r="I88" s="18"/>
      <c r="J88" s="73"/>
      <c r="K88" s="83"/>
      <c r="L88" s="74"/>
      <c r="M88" s="87"/>
      <c r="N88" s="85"/>
      <c r="O88" s="23"/>
    </row>
    <row r="89" spans="1:15" x14ac:dyDescent="0.25">
      <c r="A89" s="25"/>
      <c r="B89" s="61"/>
      <c r="C89" s="26"/>
      <c r="D89" s="20"/>
      <c r="E89" s="82"/>
      <c r="F89" s="21"/>
      <c r="G89" s="17"/>
      <c r="H89" s="79"/>
      <c r="I89" s="18"/>
      <c r="J89" s="73"/>
      <c r="K89" s="83"/>
      <c r="L89" s="74"/>
      <c r="M89" s="87"/>
      <c r="N89" s="85"/>
      <c r="O89" s="23"/>
    </row>
    <row r="90" spans="1:15" x14ac:dyDescent="0.25">
      <c r="A90" s="37"/>
      <c r="B90" s="78"/>
      <c r="C90" s="70"/>
      <c r="D90" s="37"/>
      <c r="E90" s="70"/>
      <c r="F90" s="70"/>
      <c r="G90" s="37"/>
      <c r="H90" s="70"/>
      <c r="I90" s="70"/>
      <c r="J90" s="37"/>
      <c r="K90" s="70"/>
      <c r="L90" s="70"/>
      <c r="M90" s="70"/>
      <c r="N90" s="70"/>
      <c r="O90" s="70"/>
    </row>
    <row r="91" spans="1:15" x14ac:dyDescent="0.25">
      <c r="A91" s="37"/>
      <c r="B91" s="78"/>
      <c r="C91" s="70"/>
      <c r="D91" s="37"/>
      <c r="E91" s="70"/>
      <c r="F91" s="70"/>
      <c r="G91" s="37"/>
      <c r="H91" s="70"/>
      <c r="I91" s="70"/>
      <c r="J91" s="37"/>
      <c r="K91" s="70"/>
      <c r="L91" s="70"/>
      <c r="M91" s="70"/>
      <c r="N91" s="70"/>
      <c r="O91" s="70"/>
    </row>
    <row r="92" spans="1:15" x14ac:dyDescent="0.25">
      <c r="A92" s="37"/>
      <c r="B92" s="78"/>
      <c r="C92" s="70"/>
      <c r="D92" s="37"/>
      <c r="E92" s="70"/>
      <c r="F92" s="70"/>
      <c r="G92" s="37"/>
      <c r="H92" s="70"/>
      <c r="I92" s="70"/>
      <c r="J92" s="37"/>
      <c r="K92" s="70"/>
      <c r="L92" s="70"/>
      <c r="M92" s="70"/>
      <c r="N92" s="70"/>
      <c r="O92" s="70"/>
    </row>
    <row r="93" spans="1:15" x14ac:dyDescent="0.25">
      <c r="A93" s="37"/>
      <c r="B93" s="78"/>
      <c r="C93" s="70"/>
      <c r="D93" s="37"/>
      <c r="E93" s="70"/>
      <c r="F93" s="70"/>
      <c r="G93" s="37"/>
      <c r="H93" s="70"/>
      <c r="I93" s="70"/>
      <c r="J93" s="37"/>
      <c r="K93" s="70"/>
      <c r="L93" s="70"/>
      <c r="M93" s="70"/>
      <c r="N93" s="70"/>
      <c r="O93" s="70"/>
    </row>
    <row r="94" spans="1:15" x14ac:dyDescent="0.25">
      <c r="A94" s="37"/>
      <c r="B94" s="78"/>
      <c r="C94" s="70"/>
      <c r="D94" s="37"/>
      <c r="E94" s="70"/>
      <c r="F94" s="70"/>
      <c r="G94" s="37"/>
      <c r="H94" s="70"/>
      <c r="I94" s="70"/>
      <c r="J94" s="37"/>
      <c r="K94" s="70"/>
      <c r="L94" s="70"/>
      <c r="M94" s="70"/>
      <c r="N94" s="70"/>
      <c r="O94" s="70"/>
    </row>
    <row r="95" spans="1:15" x14ac:dyDescent="0.25">
      <c r="A95" s="37"/>
      <c r="B95" s="78"/>
      <c r="C95" s="70"/>
      <c r="D95" s="37"/>
      <c r="E95" s="70"/>
      <c r="F95" s="70"/>
      <c r="G95" s="37"/>
      <c r="H95" s="70"/>
      <c r="I95" s="70"/>
      <c r="J95" s="37"/>
      <c r="K95" s="70"/>
      <c r="L95" s="70"/>
      <c r="M95" s="70"/>
      <c r="N95" s="70"/>
      <c r="O95" s="70"/>
    </row>
    <row r="96" spans="1:15" x14ac:dyDescent="0.25">
      <c r="A96" s="37"/>
      <c r="B96" s="78"/>
      <c r="C96" s="70"/>
      <c r="D96" s="37"/>
      <c r="E96" s="70"/>
      <c r="F96" s="70"/>
      <c r="G96" s="37"/>
      <c r="H96" s="70"/>
      <c r="I96" s="70"/>
      <c r="J96" s="37"/>
      <c r="K96" s="70"/>
      <c r="L96" s="70"/>
      <c r="M96" s="70"/>
      <c r="N96" s="70"/>
      <c r="O96" s="70"/>
    </row>
    <row r="97" spans="1:15" x14ac:dyDescent="0.25">
      <c r="A97" s="37"/>
      <c r="B97" s="78"/>
      <c r="C97" s="70"/>
      <c r="D97" s="37"/>
      <c r="E97" s="70"/>
      <c r="F97" s="70"/>
      <c r="G97" s="37"/>
      <c r="H97" s="70"/>
      <c r="I97" s="70"/>
      <c r="J97" s="37"/>
      <c r="K97" s="70"/>
      <c r="L97" s="70"/>
      <c r="M97" s="70"/>
      <c r="N97" s="70"/>
      <c r="O97" s="70"/>
    </row>
    <row r="98" spans="1:15" x14ac:dyDescent="0.25">
      <c r="A98" s="37"/>
      <c r="B98" s="78"/>
      <c r="C98" s="70"/>
      <c r="D98" s="37"/>
      <c r="E98" s="70"/>
      <c r="F98" s="70"/>
      <c r="G98" s="37"/>
      <c r="H98" s="70"/>
      <c r="I98" s="70"/>
      <c r="J98" s="37"/>
      <c r="K98" s="70"/>
      <c r="L98" s="70"/>
      <c r="M98" s="70"/>
      <c r="N98" s="70"/>
      <c r="O98" s="70"/>
    </row>
    <row r="99" spans="1:15" x14ac:dyDescent="0.25">
      <c r="A99" s="37"/>
      <c r="B99" s="78"/>
      <c r="C99" s="70"/>
      <c r="D99" s="37"/>
      <c r="E99" s="70"/>
      <c r="F99" s="70"/>
      <c r="G99" s="37"/>
      <c r="H99" s="70"/>
      <c r="I99" s="70"/>
      <c r="J99" s="37"/>
      <c r="K99" s="70"/>
      <c r="L99" s="70"/>
      <c r="M99" s="70"/>
      <c r="N99" s="70"/>
      <c r="O99" s="70"/>
    </row>
    <row r="100" spans="1:15" x14ac:dyDescent="0.25">
      <c r="A100" s="37"/>
      <c r="B100" s="78"/>
      <c r="C100" s="70"/>
      <c r="D100" s="37"/>
      <c r="E100" s="70"/>
      <c r="F100" s="70"/>
      <c r="G100" s="37"/>
      <c r="H100" s="70"/>
      <c r="I100" s="70"/>
      <c r="J100" s="37"/>
      <c r="K100" s="70"/>
      <c r="L100" s="70"/>
      <c r="M100" s="70"/>
      <c r="N100" s="70"/>
      <c r="O100" s="70"/>
    </row>
    <row r="101" spans="1:15" x14ac:dyDescent="0.25">
      <c r="A101" s="37"/>
      <c r="B101" s="78"/>
      <c r="C101" s="70"/>
      <c r="D101" s="37"/>
      <c r="E101" s="70"/>
      <c r="F101" s="70"/>
      <c r="G101" s="37"/>
      <c r="H101" s="70"/>
      <c r="I101" s="70"/>
      <c r="J101" s="37"/>
      <c r="K101" s="70"/>
      <c r="L101" s="70"/>
      <c r="M101" s="70"/>
      <c r="N101" s="70"/>
      <c r="O101" s="70"/>
    </row>
    <row r="102" spans="1:15" x14ac:dyDescent="0.25">
      <c r="A102" s="37"/>
      <c r="B102" s="78"/>
      <c r="C102" s="70"/>
      <c r="D102" s="37"/>
      <c r="E102" s="70"/>
      <c r="F102" s="70"/>
      <c r="G102" s="37"/>
      <c r="H102" s="70"/>
      <c r="I102" s="70"/>
      <c r="J102" s="37"/>
      <c r="K102" s="70"/>
      <c r="L102" s="70"/>
      <c r="M102" s="70"/>
      <c r="N102" s="70"/>
      <c r="O102" s="70"/>
    </row>
    <row r="103" spans="1:15" x14ac:dyDescent="0.25">
      <c r="A103" s="37"/>
      <c r="B103" s="78"/>
      <c r="C103" s="70"/>
      <c r="D103" s="37"/>
      <c r="E103" s="70"/>
      <c r="F103" s="70"/>
      <c r="G103" s="37"/>
      <c r="H103" s="70"/>
      <c r="I103" s="70"/>
      <c r="J103" s="37"/>
      <c r="K103" s="70"/>
      <c r="L103" s="70"/>
      <c r="M103" s="70"/>
      <c r="N103" s="70"/>
      <c r="O103" s="70"/>
    </row>
    <row r="104" spans="1:15" x14ac:dyDescent="0.25">
      <c r="A104" s="37"/>
      <c r="B104" s="78"/>
      <c r="C104" s="70"/>
      <c r="D104" s="37"/>
      <c r="E104" s="70"/>
      <c r="F104" s="70"/>
      <c r="G104" s="37"/>
      <c r="H104" s="70"/>
      <c r="I104" s="70"/>
      <c r="J104" s="37"/>
      <c r="K104" s="70"/>
      <c r="L104" s="70"/>
      <c r="M104" s="70"/>
      <c r="N104" s="70"/>
      <c r="O104" s="70"/>
    </row>
    <row r="105" spans="1:15" x14ac:dyDescent="0.25">
      <c r="A105" s="37"/>
      <c r="B105" s="78"/>
      <c r="C105" s="70"/>
      <c r="D105" s="37"/>
      <c r="E105" s="70"/>
      <c r="F105" s="70"/>
      <c r="G105" s="37"/>
      <c r="H105" s="70"/>
      <c r="I105" s="70"/>
      <c r="J105" s="37"/>
      <c r="K105" s="70"/>
      <c r="L105" s="70"/>
      <c r="M105" s="70"/>
      <c r="N105" s="70"/>
      <c r="O105" s="70"/>
    </row>
    <row r="106" spans="1:15" x14ac:dyDescent="0.25">
      <c r="A106" s="37"/>
      <c r="B106" s="78"/>
      <c r="C106" s="70"/>
      <c r="D106" s="37"/>
      <c r="E106" s="70"/>
      <c r="F106" s="70"/>
      <c r="G106" s="37"/>
      <c r="H106" s="70"/>
      <c r="I106" s="70"/>
      <c r="J106" s="37"/>
      <c r="K106" s="70"/>
      <c r="L106" s="70"/>
      <c r="M106" s="70"/>
      <c r="N106" s="70"/>
      <c r="O106" s="70"/>
    </row>
    <row r="107" spans="1:15" x14ac:dyDescent="0.25">
      <c r="A107" s="37"/>
      <c r="B107" s="78"/>
      <c r="C107" s="70"/>
      <c r="D107" s="37"/>
      <c r="E107" s="70"/>
      <c r="F107" s="70"/>
      <c r="G107" s="37"/>
      <c r="H107" s="70"/>
      <c r="I107" s="70"/>
      <c r="J107" s="37"/>
      <c r="K107" s="70"/>
      <c r="L107" s="70"/>
      <c r="M107" s="70"/>
      <c r="N107" s="70"/>
      <c r="O107" s="70"/>
    </row>
    <row r="108" spans="1:15" x14ac:dyDescent="0.25">
      <c r="A108" s="37"/>
      <c r="B108" s="78"/>
      <c r="C108" s="70"/>
      <c r="D108" s="37"/>
      <c r="E108" s="70"/>
      <c r="F108" s="70"/>
      <c r="G108" s="37"/>
      <c r="H108" s="70"/>
      <c r="I108" s="70"/>
      <c r="J108" s="37"/>
      <c r="K108" s="70"/>
      <c r="L108" s="70"/>
      <c r="M108" s="70"/>
      <c r="N108" s="70"/>
      <c r="O108" s="70"/>
    </row>
    <row r="109" spans="1:15" x14ac:dyDescent="0.25">
      <c r="A109" s="37"/>
      <c r="B109" s="78"/>
      <c r="C109" s="70"/>
      <c r="D109" s="37"/>
      <c r="E109" s="70"/>
      <c r="F109" s="70"/>
      <c r="G109" s="37"/>
      <c r="H109" s="70"/>
      <c r="I109" s="70"/>
      <c r="J109" s="37"/>
      <c r="K109" s="70"/>
      <c r="L109" s="70"/>
      <c r="M109" s="70"/>
      <c r="N109" s="70"/>
      <c r="O109" s="70"/>
    </row>
    <row r="110" spans="1:15" x14ac:dyDescent="0.25">
      <c r="A110" s="37"/>
      <c r="B110" s="78"/>
      <c r="C110" s="70"/>
      <c r="D110" s="37"/>
      <c r="E110" s="70"/>
      <c r="F110" s="70"/>
      <c r="G110" s="37"/>
      <c r="H110" s="70"/>
      <c r="I110" s="70"/>
      <c r="J110" s="37"/>
      <c r="K110" s="70"/>
      <c r="L110" s="70"/>
      <c r="M110" s="70"/>
      <c r="N110" s="70"/>
      <c r="O110" s="70"/>
    </row>
    <row r="111" spans="1:15" x14ac:dyDescent="0.25">
      <c r="A111" s="37"/>
      <c r="B111" s="78"/>
      <c r="C111" s="70"/>
      <c r="D111" s="37"/>
      <c r="E111" s="70"/>
      <c r="F111" s="70"/>
      <c r="G111" s="37"/>
      <c r="H111" s="70"/>
      <c r="I111" s="70"/>
      <c r="J111" s="37"/>
      <c r="K111" s="70"/>
      <c r="L111" s="70"/>
      <c r="M111" s="70"/>
      <c r="N111" s="70"/>
      <c r="O111" s="70"/>
    </row>
    <row r="112" spans="1:15" x14ac:dyDescent="0.25">
      <c r="A112" s="37"/>
      <c r="B112" s="78"/>
      <c r="C112" s="70"/>
      <c r="D112" s="37"/>
      <c r="E112" s="70"/>
      <c r="F112" s="70"/>
      <c r="G112" s="37"/>
      <c r="H112" s="70"/>
      <c r="I112" s="70"/>
      <c r="J112" s="37"/>
      <c r="K112" s="70"/>
      <c r="L112" s="70"/>
      <c r="M112" s="70"/>
      <c r="N112" s="70"/>
      <c r="O112" s="70"/>
    </row>
    <row r="113" spans="1:15" x14ac:dyDescent="0.25">
      <c r="A113" s="37"/>
      <c r="B113" s="78"/>
      <c r="C113" s="70"/>
      <c r="D113" s="37"/>
      <c r="E113" s="70"/>
      <c r="F113" s="70"/>
      <c r="G113" s="37"/>
      <c r="H113" s="70"/>
      <c r="I113" s="70"/>
      <c r="J113" s="37"/>
      <c r="K113" s="70"/>
      <c r="L113" s="70"/>
      <c r="M113" s="70"/>
      <c r="N113" s="70"/>
      <c r="O113" s="70"/>
    </row>
    <row r="114" spans="1:15" x14ac:dyDescent="0.25">
      <c r="A114" s="37"/>
      <c r="B114" s="78"/>
      <c r="C114" s="70"/>
      <c r="D114" s="37"/>
      <c r="E114" s="70"/>
      <c r="F114" s="70"/>
      <c r="G114" s="37"/>
      <c r="H114" s="70"/>
      <c r="I114" s="70"/>
      <c r="J114" s="37"/>
      <c r="K114" s="70"/>
      <c r="L114" s="70"/>
      <c r="M114" s="70"/>
      <c r="N114" s="70"/>
      <c r="O114" s="70"/>
    </row>
    <row r="115" spans="1:15" x14ac:dyDescent="0.25">
      <c r="A115" s="37"/>
      <c r="B115" s="78"/>
      <c r="C115" s="70"/>
      <c r="D115" s="37"/>
      <c r="E115" s="70"/>
      <c r="F115" s="70"/>
      <c r="G115" s="37"/>
      <c r="H115" s="70"/>
      <c r="I115" s="70"/>
      <c r="J115" s="37"/>
      <c r="K115" s="70"/>
      <c r="L115" s="70"/>
      <c r="M115" s="70"/>
      <c r="N115" s="70"/>
      <c r="O115" s="70"/>
    </row>
    <row r="116" spans="1:15" x14ac:dyDescent="0.25">
      <c r="A116" s="37"/>
      <c r="B116" s="78"/>
      <c r="C116" s="70"/>
      <c r="D116" s="37"/>
      <c r="E116" s="70"/>
      <c r="F116" s="70"/>
      <c r="G116" s="37"/>
      <c r="H116" s="70"/>
      <c r="I116" s="70"/>
      <c r="J116" s="37"/>
      <c r="K116" s="70"/>
      <c r="L116" s="70"/>
      <c r="M116" s="70"/>
      <c r="N116" s="70"/>
      <c r="O116" s="70"/>
    </row>
    <row r="117" spans="1:15" x14ac:dyDescent="0.25">
      <c r="A117" s="37"/>
      <c r="B117" s="78"/>
      <c r="C117" s="70"/>
      <c r="D117" s="37"/>
      <c r="E117" s="70"/>
      <c r="F117" s="70"/>
      <c r="G117" s="37"/>
      <c r="H117" s="70"/>
      <c r="I117" s="70"/>
      <c r="J117" s="37"/>
      <c r="K117" s="70"/>
      <c r="L117" s="70"/>
      <c r="M117" s="70"/>
      <c r="N117" s="70"/>
      <c r="O117" s="70"/>
    </row>
    <row r="118" spans="1:15" x14ac:dyDescent="0.25">
      <c r="A118" s="37"/>
      <c r="B118" s="78"/>
      <c r="C118" s="70"/>
      <c r="D118" s="37"/>
      <c r="E118" s="70"/>
      <c r="F118" s="70"/>
      <c r="G118" s="37"/>
      <c r="H118" s="70"/>
      <c r="I118" s="70"/>
      <c r="J118" s="37"/>
      <c r="K118" s="70"/>
      <c r="L118" s="70"/>
      <c r="M118" s="70"/>
      <c r="N118" s="70"/>
      <c r="O118" s="70"/>
    </row>
    <row r="119" spans="1:15" x14ac:dyDescent="0.25">
      <c r="A119" s="37"/>
      <c r="B119" s="78"/>
      <c r="C119" s="70"/>
      <c r="D119" s="37"/>
      <c r="E119" s="70"/>
      <c r="F119" s="70"/>
      <c r="G119" s="37"/>
      <c r="H119" s="70"/>
      <c r="I119" s="70"/>
      <c r="J119" s="37"/>
      <c r="K119" s="70"/>
      <c r="L119" s="70"/>
      <c r="M119" s="70"/>
      <c r="N119" s="70"/>
      <c r="O119" s="70"/>
    </row>
    <row r="120" spans="1:15" x14ac:dyDescent="0.25">
      <c r="A120" s="37"/>
      <c r="B120" s="78"/>
      <c r="C120" s="70"/>
      <c r="D120" s="37"/>
      <c r="E120" s="70"/>
      <c r="F120" s="70"/>
      <c r="G120" s="37"/>
      <c r="H120" s="70"/>
      <c r="I120" s="70"/>
      <c r="J120" s="37"/>
      <c r="K120" s="70"/>
      <c r="L120" s="70"/>
      <c r="M120" s="70"/>
      <c r="N120" s="70"/>
      <c r="O120" s="70"/>
    </row>
    <row r="121" spans="1:15" x14ac:dyDescent="0.25">
      <c r="A121" s="37"/>
      <c r="B121" s="78"/>
      <c r="C121" s="70"/>
      <c r="D121" s="37"/>
      <c r="E121" s="70"/>
      <c r="F121" s="70"/>
      <c r="G121" s="37"/>
      <c r="H121" s="70"/>
      <c r="I121" s="70"/>
      <c r="J121" s="37"/>
      <c r="K121" s="70"/>
      <c r="L121" s="70"/>
      <c r="M121" s="70"/>
      <c r="N121" s="70"/>
      <c r="O121" s="70"/>
    </row>
    <row r="122" spans="1:15" x14ac:dyDescent="0.25">
      <c r="A122" s="37"/>
      <c r="B122" s="78"/>
      <c r="C122" s="70"/>
      <c r="D122" s="37"/>
      <c r="E122" s="70"/>
      <c r="F122" s="70"/>
      <c r="G122" s="37"/>
      <c r="H122" s="70"/>
      <c r="I122" s="70"/>
      <c r="J122" s="37"/>
      <c r="K122" s="70"/>
      <c r="L122" s="70"/>
      <c r="M122" s="70"/>
      <c r="N122" s="70"/>
      <c r="O122" s="70"/>
    </row>
    <row r="123" spans="1:15" x14ac:dyDescent="0.25">
      <c r="A123" s="37"/>
      <c r="B123" s="78"/>
      <c r="C123" s="70"/>
      <c r="D123" s="37"/>
      <c r="E123" s="70"/>
      <c r="F123" s="70"/>
      <c r="G123" s="37"/>
      <c r="H123" s="70"/>
      <c r="I123" s="70"/>
      <c r="J123" s="37"/>
      <c r="K123" s="70"/>
      <c r="L123" s="70"/>
      <c r="M123" s="70"/>
      <c r="N123" s="70"/>
      <c r="O123" s="70"/>
    </row>
    <row r="124" spans="1:15" x14ac:dyDescent="0.25">
      <c r="A124" s="37"/>
      <c r="B124" s="78"/>
      <c r="C124" s="70"/>
      <c r="D124" s="37"/>
      <c r="E124" s="70"/>
      <c r="F124" s="70"/>
      <c r="G124" s="37"/>
      <c r="H124" s="70"/>
      <c r="I124" s="70"/>
      <c r="J124" s="37"/>
      <c r="K124" s="70"/>
      <c r="L124" s="70"/>
      <c r="M124" s="70"/>
      <c r="N124" s="70"/>
      <c r="O124" s="70"/>
    </row>
    <row r="125" spans="1:15" x14ac:dyDescent="0.25">
      <c r="A125" s="37"/>
      <c r="B125" s="78"/>
      <c r="C125" s="70"/>
      <c r="D125" s="37"/>
      <c r="E125" s="70"/>
      <c r="F125" s="70"/>
      <c r="G125" s="37"/>
      <c r="H125" s="70"/>
      <c r="I125" s="70"/>
      <c r="J125" s="37"/>
      <c r="K125" s="70"/>
      <c r="L125" s="70"/>
      <c r="M125" s="70"/>
      <c r="N125" s="70"/>
      <c r="O125" s="70"/>
    </row>
    <row r="126" spans="1:15" x14ac:dyDescent="0.25">
      <c r="A126" s="37"/>
      <c r="B126" s="78"/>
      <c r="C126" s="70"/>
      <c r="D126" s="37"/>
      <c r="E126" s="70"/>
      <c r="F126" s="70"/>
      <c r="G126" s="37"/>
      <c r="H126" s="70"/>
      <c r="I126" s="70"/>
      <c r="J126" s="37"/>
      <c r="K126" s="70"/>
      <c r="L126" s="70"/>
      <c r="M126" s="70"/>
      <c r="N126" s="70"/>
      <c r="O126" s="70"/>
    </row>
    <row r="127" spans="1:15" x14ac:dyDescent="0.25">
      <c r="A127" s="37"/>
      <c r="B127" s="78"/>
      <c r="C127" s="70"/>
      <c r="D127" s="37"/>
      <c r="E127" s="70"/>
      <c r="F127" s="70"/>
      <c r="G127" s="37"/>
      <c r="H127" s="70"/>
      <c r="I127" s="70"/>
      <c r="J127" s="37"/>
      <c r="K127" s="70"/>
      <c r="L127" s="70"/>
      <c r="M127" s="70"/>
      <c r="N127" s="70"/>
      <c r="O127" s="70"/>
    </row>
    <row r="128" spans="1:15" x14ac:dyDescent="0.25">
      <c r="A128" s="37"/>
      <c r="B128" s="78"/>
      <c r="C128" s="70"/>
      <c r="D128" s="37"/>
      <c r="E128" s="70"/>
      <c r="F128" s="70"/>
      <c r="G128" s="37"/>
      <c r="H128" s="70"/>
      <c r="I128" s="70"/>
      <c r="J128" s="37"/>
      <c r="K128" s="70"/>
      <c r="L128" s="70"/>
      <c r="M128" s="70"/>
      <c r="N128" s="70"/>
      <c r="O128" s="70"/>
    </row>
    <row r="129" spans="1:15" x14ac:dyDescent="0.25">
      <c r="A129" s="37"/>
      <c r="B129" s="78"/>
      <c r="C129" s="70"/>
      <c r="D129" s="37"/>
      <c r="E129" s="70"/>
      <c r="F129" s="70"/>
      <c r="G129" s="37"/>
      <c r="H129" s="70"/>
      <c r="I129" s="70"/>
      <c r="J129" s="37"/>
      <c r="K129" s="70"/>
      <c r="L129" s="70"/>
      <c r="M129" s="70"/>
      <c r="N129" s="70"/>
      <c r="O129" s="70"/>
    </row>
    <row r="130" spans="1:15" x14ac:dyDescent="0.25">
      <c r="A130" s="37"/>
      <c r="B130" s="78"/>
      <c r="C130" s="70"/>
      <c r="D130" s="37"/>
      <c r="E130" s="70"/>
      <c r="F130" s="70"/>
      <c r="G130" s="37"/>
      <c r="H130" s="70"/>
      <c r="I130" s="70"/>
      <c r="J130" s="37"/>
      <c r="K130" s="70"/>
      <c r="L130" s="70"/>
      <c r="M130" s="70"/>
      <c r="N130" s="70"/>
      <c r="O130" s="70"/>
    </row>
    <row r="131" spans="1:15" x14ac:dyDescent="0.25">
      <c r="A131" s="37"/>
      <c r="B131" s="78"/>
      <c r="C131" s="70"/>
      <c r="D131" s="37"/>
      <c r="E131" s="70"/>
      <c r="F131" s="70"/>
      <c r="G131" s="37"/>
      <c r="H131" s="70"/>
      <c r="I131" s="70"/>
      <c r="J131" s="37"/>
      <c r="K131" s="70"/>
      <c r="L131" s="70"/>
      <c r="M131" s="70"/>
      <c r="N131" s="70"/>
      <c r="O131" s="70"/>
    </row>
    <row r="132" spans="1:15" x14ac:dyDescent="0.25">
      <c r="A132" s="37"/>
      <c r="B132" s="78"/>
      <c r="C132" s="70"/>
      <c r="D132" s="37"/>
      <c r="E132" s="70"/>
      <c r="F132" s="70"/>
      <c r="G132" s="37"/>
      <c r="H132" s="70"/>
      <c r="I132" s="70"/>
      <c r="J132" s="37"/>
      <c r="K132" s="70"/>
      <c r="L132" s="70"/>
      <c r="M132" s="70"/>
      <c r="N132" s="70"/>
      <c r="O132" s="70"/>
    </row>
    <row r="133" spans="1:15" x14ac:dyDescent="0.25">
      <c r="A133" s="37"/>
      <c r="B133" s="78"/>
      <c r="C133" s="70"/>
      <c r="D133" s="37"/>
      <c r="E133" s="70"/>
      <c r="F133" s="70"/>
      <c r="G133" s="37"/>
      <c r="H133" s="70"/>
      <c r="I133" s="70"/>
      <c r="J133" s="37"/>
      <c r="K133" s="70"/>
      <c r="L133" s="70"/>
      <c r="M133" s="70"/>
      <c r="N133" s="70"/>
      <c r="O133" s="70"/>
    </row>
    <row r="134" spans="1:15" x14ac:dyDescent="0.25">
      <c r="A134" s="37"/>
      <c r="B134" s="78"/>
      <c r="C134" s="70"/>
      <c r="D134" s="37"/>
      <c r="E134" s="70"/>
      <c r="F134" s="70"/>
      <c r="G134" s="37"/>
      <c r="H134" s="70"/>
      <c r="I134" s="70"/>
      <c r="J134" s="37"/>
      <c r="K134" s="70"/>
      <c r="L134" s="70"/>
      <c r="M134" s="70"/>
      <c r="N134" s="70"/>
      <c r="O134" s="70"/>
    </row>
    <row r="135" spans="1:15" x14ac:dyDescent="0.25">
      <c r="A135" s="37"/>
      <c r="B135" s="78"/>
      <c r="C135" s="70"/>
      <c r="D135" s="37"/>
      <c r="E135" s="70"/>
      <c r="F135" s="70"/>
      <c r="G135" s="37"/>
      <c r="H135" s="70"/>
      <c r="I135" s="70"/>
      <c r="J135" s="37"/>
      <c r="K135" s="70"/>
      <c r="L135" s="70"/>
      <c r="M135" s="70"/>
      <c r="N135" s="70"/>
      <c r="O135" s="70"/>
    </row>
    <row r="136" spans="1:15" x14ac:dyDescent="0.25">
      <c r="A136" s="37"/>
      <c r="B136" s="78"/>
      <c r="C136" s="70"/>
      <c r="D136" s="37"/>
      <c r="E136" s="70"/>
      <c r="F136" s="70"/>
      <c r="G136" s="37"/>
      <c r="H136" s="70"/>
      <c r="I136" s="70"/>
      <c r="J136" s="37"/>
      <c r="K136" s="70"/>
      <c r="L136" s="70"/>
      <c r="M136" s="70"/>
      <c r="N136" s="70"/>
      <c r="O136" s="70"/>
    </row>
    <row r="137" spans="1:15" x14ac:dyDescent="0.25">
      <c r="A137" s="37"/>
      <c r="B137" s="78"/>
      <c r="C137" s="70"/>
      <c r="D137" s="37"/>
      <c r="E137" s="70"/>
      <c r="F137" s="70"/>
      <c r="G137" s="37"/>
      <c r="H137" s="70"/>
      <c r="I137" s="70"/>
      <c r="J137" s="37"/>
      <c r="K137" s="70"/>
      <c r="L137" s="70"/>
      <c r="M137" s="70"/>
      <c r="N137" s="70"/>
      <c r="O137" s="70"/>
    </row>
    <row r="138" spans="1:15" x14ac:dyDescent="0.25">
      <c r="A138" s="37"/>
      <c r="B138" s="78"/>
      <c r="C138" s="70"/>
      <c r="D138" s="37"/>
      <c r="E138" s="70"/>
      <c r="F138" s="70"/>
      <c r="G138" s="37"/>
      <c r="H138" s="70"/>
      <c r="I138" s="70"/>
      <c r="J138" s="37"/>
      <c r="K138" s="70"/>
      <c r="L138" s="70"/>
      <c r="M138" s="70"/>
      <c r="N138" s="70"/>
      <c r="O138" s="70"/>
    </row>
    <row r="139" spans="1:15" x14ac:dyDescent="0.25">
      <c r="A139" s="37"/>
      <c r="B139" s="78"/>
      <c r="C139" s="70"/>
      <c r="D139" s="37"/>
      <c r="E139" s="70"/>
      <c r="F139" s="70"/>
      <c r="G139" s="37"/>
      <c r="H139" s="70"/>
      <c r="I139" s="70"/>
      <c r="J139" s="37"/>
      <c r="K139" s="70"/>
      <c r="L139" s="70"/>
      <c r="M139" s="70"/>
      <c r="N139" s="70"/>
      <c r="O139" s="70"/>
    </row>
    <row r="140" spans="1:15" x14ac:dyDescent="0.25">
      <c r="A140" s="37"/>
      <c r="B140" s="78"/>
      <c r="C140" s="70"/>
      <c r="D140" s="37"/>
      <c r="E140" s="70"/>
      <c r="F140" s="70"/>
      <c r="G140" s="37"/>
      <c r="H140" s="70"/>
      <c r="I140" s="70"/>
      <c r="J140" s="37"/>
      <c r="K140" s="70"/>
      <c r="L140" s="70"/>
      <c r="M140" s="70"/>
      <c r="N140" s="70"/>
      <c r="O140" s="70"/>
    </row>
    <row r="141" spans="1:15" x14ac:dyDescent="0.25">
      <c r="A141" s="37"/>
      <c r="B141" s="78"/>
      <c r="C141" s="70"/>
      <c r="D141" s="37"/>
      <c r="E141" s="70"/>
      <c r="F141" s="70"/>
      <c r="G141" s="37"/>
      <c r="H141" s="70"/>
      <c r="I141" s="70"/>
      <c r="J141" s="37"/>
      <c r="K141" s="70"/>
      <c r="L141" s="70"/>
      <c r="M141" s="70"/>
      <c r="N141" s="70"/>
      <c r="O141" s="70"/>
    </row>
    <row r="142" spans="1:15" x14ac:dyDescent="0.25">
      <c r="A142" s="37"/>
      <c r="B142" s="78"/>
      <c r="C142" s="70"/>
      <c r="D142" s="37"/>
      <c r="E142" s="70"/>
      <c r="F142" s="70"/>
      <c r="G142" s="37"/>
      <c r="H142" s="70"/>
      <c r="I142" s="70"/>
      <c r="J142" s="37"/>
      <c r="K142" s="70"/>
      <c r="L142" s="70"/>
      <c r="M142" s="70"/>
      <c r="N142" s="70"/>
      <c r="O142" s="70"/>
    </row>
    <row r="143" spans="1:15" x14ac:dyDescent="0.25">
      <c r="A143" s="37"/>
      <c r="B143" s="78"/>
      <c r="C143" s="70"/>
      <c r="D143" s="37"/>
      <c r="E143" s="70"/>
      <c r="F143" s="70"/>
      <c r="G143" s="37"/>
      <c r="H143" s="70"/>
      <c r="I143" s="70"/>
      <c r="J143" s="37"/>
      <c r="K143" s="70"/>
      <c r="L143" s="70"/>
      <c r="M143" s="70"/>
      <c r="N143" s="70"/>
      <c r="O143" s="70"/>
    </row>
    <row r="144" spans="1:15" x14ac:dyDescent="0.25">
      <c r="A144" s="37"/>
      <c r="B144" s="78"/>
      <c r="C144" s="70"/>
      <c r="D144" s="37"/>
      <c r="E144" s="70"/>
      <c r="F144" s="70"/>
      <c r="G144" s="37"/>
      <c r="H144" s="70"/>
      <c r="I144" s="70"/>
      <c r="J144" s="37"/>
      <c r="K144" s="70"/>
      <c r="L144" s="70"/>
      <c r="M144" s="70"/>
      <c r="N144" s="70"/>
      <c r="O144" s="70"/>
    </row>
    <row r="145" spans="1:15" x14ac:dyDescent="0.25">
      <c r="A145" s="37"/>
      <c r="B145" s="78"/>
      <c r="C145" s="70"/>
      <c r="D145" s="37"/>
      <c r="E145" s="70"/>
      <c r="F145" s="70"/>
      <c r="G145" s="37"/>
      <c r="H145" s="70"/>
      <c r="I145" s="70"/>
      <c r="J145" s="37"/>
      <c r="K145" s="70"/>
      <c r="L145" s="70"/>
      <c r="M145" s="70"/>
      <c r="N145" s="70"/>
      <c r="O145" s="70"/>
    </row>
    <row r="146" spans="1:15" x14ac:dyDescent="0.25">
      <c r="A146" s="37"/>
      <c r="B146" s="78"/>
      <c r="C146" s="70"/>
      <c r="D146" s="37"/>
      <c r="E146" s="70"/>
      <c r="F146" s="70"/>
      <c r="G146" s="37"/>
      <c r="H146" s="70"/>
      <c r="I146" s="70"/>
      <c r="J146" s="37"/>
      <c r="K146" s="70"/>
      <c r="L146" s="70"/>
      <c r="M146" s="70"/>
      <c r="N146" s="70"/>
      <c r="O146" s="70"/>
    </row>
    <row r="147" spans="1:15" x14ac:dyDescent="0.25">
      <c r="A147" s="37"/>
      <c r="B147" s="78"/>
      <c r="C147" s="70"/>
      <c r="D147" s="37"/>
      <c r="E147" s="70"/>
      <c r="F147" s="70"/>
      <c r="G147" s="37"/>
      <c r="H147" s="70"/>
      <c r="I147" s="70"/>
      <c r="J147" s="37"/>
      <c r="K147" s="70"/>
      <c r="L147" s="70"/>
      <c r="M147" s="70"/>
      <c r="N147" s="70"/>
      <c r="O147" s="70"/>
    </row>
    <row r="148" spans="1:15" x14ac:dyDescent="0.25">
      <c r="A148" s="37"/>
      <c r="B148" s="78"/>
      <c r="C148" s="70"/>
      <c r="D148" s="37"/>
      <c r="E148" s="70"/>
      <c r="F148" s="70"/>
      <c r="G148" s="37"/>
      <c r="H148" s="70"/>
      <c r="I148" s="70"/>
      <c r="J148" s="37"/>
      <c r="K148" s="70"/>
      <c r="L148" s="70"/>
      <c r="M148" s="70"/>
      <c r="N148" s="70"/>
      <c r="O148" s="70"/>
    </row>
    <row r="149" spans="1:15" x14ac:dyDescent="0.25">
      <c r="A149" s="37"/>
      <c r="B149" s="78"/>
      <c r="C149" s="70"/>
      <c r="D149" s="37"/>
      <c r="E149" s="70"/>
      <c r="F149" s="70"/>
      <c r="G149" s="37"/>
      <c r="H149" s="70"/>
      <c r="I149" s="70"/>
      <c r="J149" s="37"/>
      <c r="K149" s="70"/>
      <c r="L149" s="70"/>
      <c r="M149" s="70"/>
      <c r="N149" s="70"/>
      <c r="O149" s="70"/>
    </row>
    <row r="150" spans="1:15" x14ac:dyDescent="0.25">
      <c r="A150" s="37"/>
      <c r="B150" s="78"/>
      <c r="C150" s="70"/>
      <c r="D150" s="37"/>
      <c r="E150" s="70"/>
      <c r="F150" s="70"/>
      <c r="G150" s="37"/>
      <c r="H150" s="70"/>
      <c r="I150" s="70"/>
      <c r="J150" s="37"/>
      <c r="K150" s="70"/>
      <c r="L150" s="70"/>
      <c r="M150" s="70"/>
      <c r="N150" s="70"/>
      <c r="O150" s="70"/>
    </row>
    <row r="151" spans="1:15" x14ac:dyDescent="0.25">
      <c r="A151" s="37"/>
      <c r="B151" s="78"/>
      <c r="C151" s="70"/>
      <c r="D151" s="37"/>
      <c r="E151" s="70"/>
      <c r="F151" s="70"/>
      <c r="G151" s="37"/>
      <c r="H151" s="70"/>
      <c r="I151" s="70"/>
      <c r="J151" s="37"/>
      <c r="K151" s="70"/>
      <c r="L151" s="70"/>
      <c r="M151" s="70"/>
      <c r="N151" s="70"/>
      <c r="O151" s="70"/>
    </row>
    <row r="152" spans="1:15" x14ac:dyDescent="0.25">
      <c r="A152" s="37"/>
      <c r="B152" s="78"/>
      <c r="C152" s="70"/>
      <c r="D152" s="37"/>
      <c r="E152" s="70"/>
      <c r="F152" s="70"/>
      <c r="G152" s="37"/>
      <c r="H152" s="70"/>
      <c r="I152" s="70"/>
      <c r="J152" s="37"/>
      <c r="K152" s="70"/>
      <c r="L152" s="70"/>
      <c r="M152" s="70"/>
      <c r="N152" s="70"/>
      <c r="O152" s="70"/>
    </row>
    <row r="153" spans="1:15" x14ac:dyDescent="0.25">
      <c r="A153" s="37"/>
      <c r="B153" s="78"/>
      <c r="C153" s="70"/>
      <c r="D153" s="37"/>
      <c r="E153" s="70"/>
      <c r="F153" s="70"/>
      <c r="G153" s="37"/>
      <c r="H153" s="70"/>
      <c r="I153" s="70"/>
      <c r="J153" s="37"/>
      <c r="K153" s="70"/>
      <c r="L153" s="70"/>
      <c r="M153" s="70"/>
      <c r="N153" s="70"/>
      <c r="O153" s="70"/>
    </row>
    <row r="154" spans="1:15" x14ac:dyDescent="0.25">
      <c r="A154" s="37"/>
      <c r="B154" s="78"/>
      <c r="C154" s="70"/>
      <c r="D154" s="37"/>
      <c r="E154" s="70"/>
      <c r="F154" s="70"/>
      <c r="G154" s="37"/>
      <c r="H154" s="70"/>
      <c r="I154" s="70"/>
      <c r="J154" s="37"/>
      <c r="K154" s="70"/>
      <c r="L154" s="70"/>
      <c r="M154" s="70"/>
      <c r="N154" s="70"/>
      <c r="O154" s="70"/>
    </row>
    <row r="155" spans="1:15" x14ac:dyDescent="0.25">
      <c r="A155" s="37"/>
      <c r="B155" s="78"/>
      <c r="C155" s="70"/>
      <c r="D155" s="37"/>
      <c r="E155" s="70"/>
      <c r="F155" s="70"/>
      <c r="G155" s="37"/>
      <c r="H155" s="70"/>
      <c r="I155" s="70"/>
      <c r="J155" s="37"/>
      <c r="K155" s="70"/>
      <c r="L155" s="70"/>
      <c r="M155" s="70"/>
      <c r="N155" s="70"/>
      <c r="O155" s="70"/>
    </row>
    <row r="156" spans="1:15" x14ac:dyDescent="0.25">
      <c r="A156" s="37"/>
      <c r="B156" s="78"/>
      <c r="C156" s="70"/>
      <c r="D156" s="37"/>
      <c r="E156" s="70"/>
      <c r="F156" s="70"/>
      <c r="G156" s="37"/>
      <c r="H156" s="70"/>
      <c r="I156" s="70"/>
      <c r="J156" s="37"/>
      <c r="K156" s="70"/>
      <c r="L156" s="70"/>
      <c r="M156" s="70"/>
      <c r="N156" s="70"/>
      <c r="O156" s="70"/>
    </row>
    <row r="157" spans="1:15" x14ac:dyDescent="0.25">
      <c r="A157" s="37"/>
      <c r="B157" s="78"/>
      <c r="C157" s="70"/>
      <c r="D157" s="37"/>
      <c r="E157" s="70"/>
      <c r="F157" s="70"/>
      <c r="G157" s="37"/>
      <c r="H157" s="70"/>
      <c r="I157" s="70"/>
      <c r="J157" s="37"/>
      <c r="K157" s="70"/>
      <c r="L157" s="70"/>
      <c r="M157" s="70"/>
      <c r="N157" s="70"/>
      <c r="O157" s="70"/>
    </row>
    <row r="158" spans="1:15" x14ac:dyDescent="0.25">
      <c r="A158" s="37"/>
      <c r="B158" s="78"/>
      <c r="C158" s="70"/>
      <c r="D158" s="37"/>
      <c r="E158" s="70"/>
      <c r="F158" s="70"/>
      <c r="G158" s="37"/>
      <c r="H158" s="70"/>
      <c r="I158" s="70"/>
      <c r="J158" s="37"/>
      <c r="K158" s="70"/>
      <c r="L158" s="70"/>
      <c r="M158" s="70"/>
      <c r="N158" s="70"/>
      <c r="O158" s="70"/>
    </row>
    <row r="159" spans="1:15" x14ac:dyDescent="0.25">
      <c r="A159" s="37"/>
      <c r="B159" s="78"/>
      <c r="C159" s="70"/>
      <c r="D159" s="37"/>
      <c r="E159" s="70"/>
      <c r="F159" s="70"/>
      <c r="G159" s="37"/>
      <c r="H159" s="70"/>
      <c r="I159" s="70"/>
      <c r="J159" s="37"/>
      <c r="K159" s="70"/>
      <c r="L159" s="70"/>
      <c r="M159" s="70"/>
      <c r="N159" s="70"/>
      <c r="O159" s="70"/>
    </row>
    <row r="160" spans="1:15" x14ac:dyDescent="0.25">
      <c r="A160" s="37"/>
      <c r="B160" s="78"/>
      <c r="C160" s="70"/>
      <c r="D160" s="37"/>
      <c r="E160" s="70"/>
      <c r="F160" s="70"/>
      <c r="G160" s="37"/>
      <c r="H160" s="70"/>
      <c r="I160" s="70"/>
      <c r="J160" s="37"/>
      <c r="K160" s="70"/>
      <c r="L160" s="70"/>
      <c r="M160" s="70"/>
      <c r="N160" s="70"/>
      <c r="O160" s="70"/>
    </row>
    <row r="161" spans="1:15" x14ac:dyDescent="0.25">
      <c r="A161" s="37"/>
      <c r="B161" s="78"/>
      <c r="C161" s="70"/>
      <c r="D161" s="37"/>
      <c r="E161" s="70"/>
      <c r="F161" s="70"/>
      <c r="G161" s="37"/>
      <c r="H161" s="70"/>
      <c r="I161" s="70"/>
      <c r="J161" s="37"/>
      <c r="K161" s="70"/>
      <c r="L161" s="70"/>
      <c r="M161" s="70"/>
      <c r="N161" s="70"/>
      <c r="O161" s="70"/>
    </row>
    <row r="162" spans="1:15" x14ac:dyDescent="0.25">
      <c r="A162" s="37"/>
      <c r="B162" s="78"/>
      <c r="C162" s="70"/>
      <c r="D162" s="37"/>
      <c r="E162" s="70"/>
      <c r="F162" s="70"/>
      <c r="G162" s="37"/>
      <c r="H162" s="70"/>
      <c r="I162" s="70"/>
      <c r="J162" s="37"/>
      <c r="K162" s="70"/>
      <c r="L162" s="70"/>
      <c r="M162" s="70"/>
      <c r="N162" s="70"/>
      <c r="O162" s="70"/>
    </row>
    <row r="163" spans="1:15" x14ac:dyDescent="0.25">
      <c r="A163" s="37"/>
      <c r="B163" s="78"/>
      <c r="C163" s="70"/>
      <c r="D163" s="37"/>
      <c r="E163" s="70"/>
      <c r="F163" s="70"/>
      <c r="G163" s="37"/>
      <c r="H163" s="70"/>
      <c r="I163" s="70"/>
      <c r="J163" s="37"/>
      <c r="K163" s="70"/>
      <c r="L163" s="70"/>
      <c r="M163" s="70"/>
      <c r="N163" s="70"/>
      <c r="O163" s="70"/>
    </row>
    <row r="164" spans="1:15" x14ac:dyDescent="0.25">
      <c r="A164" s="37"/>
      <c r="B164" s="78"/>
      <c r="C164" s="70"/>
      <c r="D164" s="37"/>
      <c r="E164" s="70"/>
      <c r="F164" s="70"/>
      <c r="G164" s="37"/>
      <c r="H164" s="70"/>
      <c r="I164" s="70"/>
      <c r="J164" s="37"/>
      <c r="K164" s="70"/>
      <c r="L164" s="70"/>
      <c r="M164" s="70"/>
      <c r="N164" s="70"/>
      <c r="O164" s="70"/>
    </row>
    <row r="165" spans="1:15" x14ac:dyDescent="0.25">
      <c r="A165" s="37"/>
      <c r="B165" s="78"/>
      <c r="C165" s="70"/>
      <c r="D165" s="37"/>
      <c r="E165" s="70"/>
      <c r="F165" s="70"/>
      <c r="G165" s="37"/>
      <c r="H165" s="70"/>
      <c r="I165" s="70"/>
      <c r="J165" s="37"/>
      <c r="K165" s="70"/>
      <c r="L165" s="70"/>
      <c r="M165" s="70"/>
      <c r="N165" s="70"/>
      <c r="O165" s="70"/>
    </row>
    <row r="166" spans="1:15" x14ac:dyDescent="0.25">
      <c r="A166" s="37"/>
      <c r="B166" s="78"/>
      <c r="C166" s="70"/>
      <c r="D166" s="37"/>
      <c r="E166" s="70"/>
      <c r="F166" s="70"/>
      <c r="G166" s="37"/>
      <c r="H166" s="70"/>
      <c r="I166" s="70"/>
      <c r="J166" s="37"/>
      <c r="K166" s="70"/>
      <c r="L166" s="70"/>
      <c r="M166" s="70"/>
      <c r="N166" s="70"/>
      <c r="O166" s="70"/>
    </row>
    <row r="167" spans="1:15" x14ac:dyDescent="0.25">
      <c r="A167" s="37"/>
      <c r="B167" s="78"/>
      <c r="C167" s="70"/>
      <c r="D167" s="37"/>
      <c r="E167" s="70"/>
      <c r="F167" s="70"/>
      <c r="G167" s="37"/>
      <c r="H167" s="70"/>
      <c r="I167" s="70"/>
      <c r="J167" s="37"/>
      <c r="K167" s="70"/>
      <c r="L167" s="70"/>
      <c r="M167" s="70"/>
      <c r="N167" s="70"/>
      <c r="O167" s="70"/>
    </row>
    <row r="168" spans="1:15" x14ac:dyDescent="0.25">
      <c r="A168" s="37"/>
      <c r="B168" s="78"/>
      <c r="C168" s="70"/>
      <c r="D168" s="37"/>
      <c r="E168" s="70"/>
      <c r="F168" s="70"/>
      <c r="G168" s="37"/>
      <c r="H168" s="70"/>
      <c r="I168" s="70"/>
      <c r="J168" s="37"/>
      <c r="K168" s="70"/>
      <c r="L168" s="70"/>
      <c r="M168" s="70"/>
      <c r="N168" s="70"/>
      <c r="O168" s="70"/>
    </row>
    <row r="169" spans="1:15" x14ac:dyDescent="0.25">
      <c r="A169" s="37"/>
      <c r="B169" s="78"/>
      <c r="C169" s="70"/>
      <c r="D169" s="37"/>
      <c r="E169" s="70"/>
      <c r="F169" s="70"/>
      <c r="G169" s="37"/>
      <c r="H169" s="70"/>
      <c r="I169" s="70"/>
      <c r="J169" s="37"/>
      <c r="K169" s="70"/>
      <c r="L169" s="70"/>
      <c r="M169" s="70"/>
      <c r="N169" s="70"/>
      <c r="O169" s="70"/>
    </row>
    <row r="170" spans="1:15" x14ac:dyDescent="0.25">
      <c r="A170" s="37"/>
      <c r="B170" s="78"/>
      <c r="C170" s="70"/>
      <c r="D170" s="37"/>
      <c r="E170" s="70"/>
      <c r="F170" s="70"/>
      <c r="G170" s="37"/>
      <c r="H170" s="70"/>
      <c r="I170" s="70"/>
      <c r="J170" s="37"/>
      <c r="K170" s="70"/>
      <c r="L170" s="70"/>
      <c r="M170" s="70"/>
      <c r="N170" s="70"/>
      <c r="O170" s="70"/>
    </row>
    <row r="171" spans="1:15" x14ac:dyDescent="0.25">
      <c r="A171" s="37"/>
      <c r="B171" s="78"/>
      <c r="C171" s="70"/>
      <c r="D171" s="37"/>
      <c r="E171" s="70"/>
      <c r="F171" s="70"/>
      <c r="G171" s="37"/>
      <c r="H171" s="70"/>
      <c r="I171" s="70"/>
      <c r="J171" s="37"/>
      <c r="K171" s="70"/>
      <c r="L171" s="70"/>
      <c r="M171" s="70"/>
      <c r="N171" s="70"/>
      <c r="O171" s="70"/>
    </row>
    <row r="172" spans="1:15" x14ac:dyDescent="0.25">
      <c r="A172" s="37"/>
      <c r="B172" s="78"/>
      <c r="C172" s="70"/>
      <c r="D172" s="37"/>
      <c r="E172" s="70"/>
      <c r="F172" s="70"/>
      <c r="G172" s="37"/>
      <c r="H172" s="70"/>
      <c r="I172" s="70"/>
      <c r="J172" s="37"/>
      <c r="K172" s="70"/>
      <c r="L172" s="70"/>
      <c r="M172" s="70"/>
      <c r="N172" s="70"/>
      <c r="O172" s="70"/>
    </row>
    <row r="173" spans="1:15" x14ac:dyDescent="0.25">
      <c r="A173" s="37"/>
      <c r="B173" s="78"/>
      <c r="C173" s="70"/>
      <c r="D173" s="37"/>
      <c r="E173" s="70"/>
      <c r="F173" s="70"/>
      <c r="G173" s="37"/>
      <c r="H173" s="70"/>
      <c r="I173" s="70"/>
      <c r="J173" s="37"/>
      <c r="K173" s="70"/>
      <c r="L173" s="70"/>
      <c r="M173" s="70"/>
      <c r="N173" s="70"/>
      <c r="O173" s="70"/>
    </row>
    <row r="174" spans="1:15" x14ac:dyDescent="0.25">
      <c r="A174" s="37"/>
      <c r="B174" s="78"/>
      <c r="C174" s="70"/>
      <c r="D174" s="37"/>
      <c r="E174" s="70"/>
      <c r="F174" s="70"/>
      <c r="G174" s="37"/>
      <c r="H174" s="70"/>
      <c r="I174" s="70"/>
      <c r="J174" s="37"/>
      <c r="K174" s="70"/>
      <c r="L174" s="70"/>
      <c r="M174" s="70"/>
      <c r="N174" s="70"/>
      <c r="O174" s="70"/>
    </row>
    <row r="175" spans="1:15" x14ac:dyDescent="0.25">
      <c r="A175" s="37"/>
      <c r="B175" s="78"/>
      <c r="C175" s="70"/>
      <c r="D175" s="37"/>
      <c r="E175" s="70"/>
      <c r="F175" s="70"/>
      <c r="G175" s="37"/>
      <c r="H175" s="70"/>
      <c r="I175" s="70"/>
      <c r="J175" s="37"/>
      <c r="K175" s="70"/>
      <c r="L175" s="70"/>
      <c r="M175" s="70"/>
      <c r="N175" s="70"/>
      <c r="O175" s="70"/>
    </row>
    <row r="176" spans="1:15" x14ac:dyDescent="0.25">
      <c r="A176" s="37"/>
      <c r="B176" s="78"/>
      <c r="C176" s="70"/>
      <c r="D176" s="37"/>
      <c r="E176" s="70"/>
      <c r="F176" s="70"/>
      <c r="G176" s="37"/>
      <c r="H176" s="70"/>
      <c r="I176" s="70"/>
      <c r="J176" s="37"/>
      <c r="K176" s="70"/>
      <c r="L176" s="70"/>
      <c r="M176" s="70"/>
      <c r="N176" s="70"/>
      <c r="O176" s="70"/>
    </row>
    <row r="177" spans="1:15" x14ac:dyDescent="0.25">
      <c r="A177" s="37"/>
      <c r="B177" s="78"/>
      <c r="C177" s="70"/>
      <c r="D177" s="37"/>
      <c r="E177" s="70"/>
      <c r="F177" s="70"/>
      <c r="G177" s="37"/>
      <c r="H177" s="70"/>
      <c r="I177" s="70"/>
      <c r="J177" s="37"/>
      <c r="K177" s="70"/>
      <c r="L177" s="70"/>
      <c r="M177" s="70"/>
      <c r="N177" s="70"/>
      <c r="O177" s="70"/>
    </row>
    <row r="178" spans="1:15" x14ac:dyDescent="0.25">
      <c r="A178" s="37"/>
      <c r="B178" s="78"/>
      <c r="C178" s="70"/>
      <c r="D178" s="37"/>
      <c r="E178" s="70"/>
      <c r="F178" s="70"/>
      <c r="G178" s="37"/>
      <c r="H178" s="70"/>
      <c r="I178" s="70"/>
      <c r="J178" s="37"/>
      <c r="K178" s="70"/>
      <c r="L178" s="70"/>
      <c r="M178" s="70"/>
      <c r="N178" s="70"/>
      <c r="O178" s="70"/>
    </row>
    <row r="179" spans="1:15" x14ac:dyDescent="0.25">
      <c r="A179" s="37"/>
      <c r="B179" s="78"/>
      <c r="C179" s="70"/>
      <c r="D179" s="37"/>
      <c r="E179" s="70"/>
      <c r="F179" s="70"/>
      <c r="G179" s="37"/>
      <c r="H179" s="70"/>
      <c r="I179" s="70"/>
      <c r="J179" s="37"/>
      <c r="K179" s="70"/>
      <c r="L179" s="70"/>
      <c r="M179" s="70"/>
      <c r="N179" s="70"/>
      <c r="O179" s="70"/>
    </row>
    <row r="180" spans="1:15" x14ac:dyDescent="0.25">
      <c r="A180" s="37"/>
      <c r="B180" s="78"/>
      <c r="C180" s="70"/>
      <c r="D180" s="37"/>
      <c r="E180" s="70"/>
      <c r="F180" s="70"/>
      <c r="G180" s="37"/>
      <c r="H180" s="70"/>
      <c r="I180" s="70"/>
      <c r="J180" s="37"/>
      <c r="K180" s="70"/>
      <c r="L180" s="70"/>
      <c r="M180" s="70"/>
      <c r="N180" s="70"/>
      <c r="O180" s="70"/>
    </row>
    <row r="181" spans="1:15" x14ac:dyDescent="0.25">
      <c r="A181" s="37"/>
      <c r="B181" s="78"/>
      <c r="C181" s="70"/>
      <c r="D181" s="37"/>
      <c r="E181" s="70"/>
      <c r="F181" s="70"/>
      <c r="G181" s="37"/>
      <c r="H181" s="70"/>
      <c r="I181" s="70"/>
      <c r="J181" s="37"/>
      <c r="K181" s="70"/>
      <c r="L181" s="70"/>
      <c r="M181" s="70"/>
      <c r="N181" s="70"/>
      <c r="O181" s="70"/>
    </row>
    <row r="182" spans="1:15" x14ac:dyDescent="0.25">
      <c r="A182" s="37"/>
      <c r="B182" s="78"/>
      <c r="C182" s="70"/>
      <c r="D182" s="37"/>
      <c r="E182" s="70"/>
      <c r="F182" s="70"/>
      <c r="G182" s="37"/>
      <c r="H182" s="70"/>
      <c r="I182" s="70"/>
      <c r="J182" s="37"/>
      <c r="K182" s="70"/>
      <c r="L182" s="70"/>
      <c r="M182" s="70"/>
      <c r="N182" s="70"/>
      <c r="O182" s="70"/>
    </row>
    <row r="183" spans="1:15" x14ac:dyDescent="0.25">
      <c r="A183" s="37"/>
      <c r="B183" s="78"/>
      <c r="C183" s="70"/>
      <c r="D183" s="37"/>
      <c r="E183" s="70"/>
      <c r="F183" s="70"/>
      <c r="G183" s="37"/>
      <c r="H183" s="70"/>
      <c r="I183" s="70"/>
      <c r="J183" s="37"/>
      <c r="K183" s="70"/>
      <c r="L183" s="70"/>
      <c r="M183" s="70"/>
      <c r="N183" s="70"/>
      <c r="O183" s="70"/>
    </row>
    <row r="184" spans="1:15" x14ac:dyDescent="0.25">
      <c r="A184" s="37"/>
      <c r="B184" s="78"/>
      <c r="C184" s="70"/>
      <c r="D184" s="37"/>
      <c r="E184" s="70"/>
      <c r="F184" s="70"/>
      <c r="G184" s="37"/>
      <c r="H184" s="70"/>
      <c r="I184" s="70"/>
      <c r="J184" s="37"/>
      <c r="K184" s="70"/>
      <c r="L184" s="70"/>
      <c r="M184" s="70"/>
      <c r="N184" s="70"/>
      <c r="O184" s="70"/>
    </row>
    <row r="185" spans="1:15" x14ac:dyDescent="0.25">
      <c r="A185" s="37"/>
      <c r="B185" s="78"/>
      <c r="C185" s="70"/>
      <c r="D185" s="37"/>
      <c r="E185" s="70"/>
      <c r="F185" s="70"/>
      <c r="G185" s="37"/>
      <c r="H185" s="70"/>
      <c r="I185" s="70"/>
      <c r="J185" s="37"/>
      <c r="K185" s="70"/>
      <c r="L185" s="70"/>
      <c r="M185" s="70"/>
      <c r="N185" s="70"/>
      <c r="O185" s="70"/>
    </row>
    <row r="186" spans="1:15" x14ac:dyDescent="0.25">
      <c r="A186" s="37"/>
      <c r="B186" s="78"/>
      <c r="C186" s="70"/>
      <c r="D186" s="37"/>
      <c r="E186" s="70"/>
      <c r="F186" s="70"/>
      <c r="G186" s="37"/>
      <c r="H186" s="70"/>
      <c r="I186" s="70"/>
      <c r="J186" s="37"/>
      <c r="K186" s="70"/>
      <c r="L186" s="70"/>
      <c r="M186" s="70"/>
      <c r="N186" s="70"/>
      <c r="O186" s="70"/>
    </row>
    <row r="187" spans="1:15" x14ac:dyDescent="0.25">
      <c r="A187" s="37"/>
      <c r="B187" s="78"/>
      <c r="C187" s="70"/>
      <c r="D187" s="37"/>
      <c r="E187" s="70"/>
      <c r="F187" s="70"/>
      <c r="G187" s="37"/>
      <c r="H187" s="70"/>
      <c r="I187" s="70"/>
      <c r="J187" s="37"/>
      <c r="K187" s="70"/>
      <c r="L187" s="70"/>
      <c r="M187" s="70"/>
      <c r="N187" s="70"/>
      <c r="O187" s="70"/>
    </row>
    <row r="188" spans="1:15" x14ac:dyDescent="0.25">
      <c r="A188" s="37"/>
      <c r="B188" s="78"/>
      <c r="C188" s="70"/>
      <c r="D188" s="37"/>
      <c r="E188" s="70"/>
      <c r="F188" s="70"/>
      <c r="G188" s="37"/>
      <c r="H188" s="70"/>
      <c r="I188" s="70"/>
      <c r="J188" s="37"/>
      <c r="K188" s="70"/>
      <c r="L188" s="70"/>
      <c r="M188" s="70"/>
      <c r="N188" s="70"/>
      <c r="O188" s="70"/>
    </row>
    <row r="189" spans="1:15" x14ac:dyDescent="0.25">
      <c r="A189" s="37"/>
      <c r="B189" s="78"/>
      <c r="C189" s="70"/>
      <c r="D189" s="37"/>
      <c r="E189" s="70"/>
      <c r="F189" s="70"/>
      <c r="G189" s="37"/>
      <c r="H189" s="70"/>
      <c r="I189" s="70"/>
      <c r="J189" s="37"/>
      <c r="K189" s="70"/>
      <c r="L189" s="70"/>
      <c r="M189" s="70"/>
      <c r="N189" s="70"/>
      <c r="O189" s="70"/>
    </row>
    <row r="190" spans="1:15" x14ac:dyDescent="0.25">
      <c r="A190" s="37"/>
      <c r="B190" s="78"/>
      <c r="C190" s="70"/>
      <c r="D190" s="37"/>
      <c r="E190" s="70"/>
      <c r="F190" s="70"/>
      <c r="G190" s="37"/>
      <c r="H190" s="70"/>
      <c r="I190" s="70"/>
      <c r="J190" s="37"/>
      <c r="K190" s="70"/>
      <c r="L190" s="70"/>
      <c r="M190" s="70"/>
      <c r="N190" s="70"/>
      <c r="O190" s="70"/>
    </row>
    <row r="191" spans="1:15" x14ac:dyDescent="0.25">
      <c r="A191" s="37"/>
      <c r="B191" s="78"/>
      <c r="C191" s="70"/>
      <c r="D191" s="37"/>
      <c r="E191" s="70"/>
      <c r="F191" s="70"/>
      <c r="G191" s="37"/>
      <c r="H191" s="70"/>
      <c r="I191" s="70"/>
      <c r="J191" s="37"/>
      <c r="K191" s="70"/>
      <c r="L191" s="70"/>
      <c r="M191" s="70"/>
      <c r="N191" s="70"/>
      <c r="O191" s="70"/>
    </row>
    <row r="192" spans="1:15" x14ac:dyDescent="0.25">
      <c r="A192" s="37"/>
      <c r="B192" s="78"/>
      <c r="C192" s="70"/>
      <c r="D192" s="37"/>
      <c r="E192" s="70"/>
      <c r="F192" s="70"/>
      <c r="G192" s="37"/>
      <c r="H192" s="70"/>
      <c r="I192" s="70"/>
      <c r="J192" s="37"/>
      <c r="K192" s="70"/>
      <c r="L192" s="70"/>
      <c r="M192" s="70"/>
      <c r="N192" s="70"/>
      <c r="O192" s="70"/>
    </row>
    <row r="193" spans="1:15" x14ac:dyDescent="0.25">
      <c r="A193" s="37"/>
      <c r="B193" s="78"/>
      <c r="C193" s="70"/>
      <c r="D193" s="37"/>
      <c r="E193" s="70"/>
      <c r="F193" s="70"/>
      <c r="G193" s="37"/>
      <c r="H193" s="70"/>
      <c r="I193" s="70"/>
      <c r="J193" s="37"/>
      <c r="K193" s="70"/>
      <c r="L193" s="70"/>
      <c r="M193" s="70"/>
      <c r="N193" s="70"/>
      <c r="O193" s="70"/>
    </row>
    <row r="194" spans="1:15" x14ac:dyDescent="0.25">
      <c r="A194" s="37"/>
      <c r="B194" s="78"/>
      <c r="C194" s="70"/>
      <c r="D194" s="37"/>
      <c r="E194" s="70"/>
      <c r="F194" s="70"/>
      <c r="G194" s="37"/>
      <c r="H194" s="70"/>
      <c r="I194" s="70"/>
      <c r="J194" s="37"/>
      <c r="K194" s="70"/>
      <c r="L194" s="70"/>
      <c r="M194" s="70"/>
      <c r="N194" s="70"/>
      <c r="O194" s="70"/>
    </row>
    <row r="195" spans="1:15" x14ac:dyDescent="0.25">
      <c r="A195" s="37"/>
      <c r="B195" s="78"/>
      <c r="C195" s="70"/>
      <c r="D195" s="37"/>
      <c r="E195" s="70"/>
      <c r="F195" s="70"/>
      <c r="G195" s="37"/>
      <c r="H195" s="70"/>
      <c r="I195" s="70"/>
      <c r="J195" s="37"/>
      <c r="K195" s="70"/>
      <c r="L195" s="70"/>
      <c r="M195" s="70"/>
      <c r="N195" s="70"/>
      <c r="O195" s="70"/>
    </row>
    <row r="196" spans="1:15" x14ac:dyDescent="0.25">
      <c r="A196" s="37"/>
      <c r="B196" s="78"/>
      <c r="C196" s="70"/>
      <c r="D196" s="37"/>
      <c r="E196" s="70"/>
      <c r="F196" s="70"/>
      <c r="G196" s="37"/>
      <c r="H196" s="70"/>
      <c r="I196" s="70"/>
      <c r="J196" s="37"/>
      <c r="K196" s="70"/>
      <c r="L196" s="70"/>
      <c r="M196" s="70"/>
      <c r="N196" s="70"/>
      <c r="O196" s="70"/>
    </row>
    <row r="197" spans="1:15" x14ac:dyDescent="0.25">
      <c r="A197" s="37"/>
      <c r="B197" s="78"/>
      <c r="C197" s="70"/>
      <c r="D197" s="37"/>
      <c r="E197" s="70"/>
      <c r="F197" s="70"/>
      <c r="G197" s="37"/>
      <c r="H197" s="70"/>
      <c r="I197" s="70"/>
      <c r="J197" s="37"/>
      <c r="K197" s="70"/>
      <c r="L197" s="70"/>
      <c r="M197" s="70"/>
      <c r="N197" s="70"/>
      <c r="O197" s="70"/>
    </row>
    <row r="198" spans="1:15" x14ac:dyDescent="0.25">
      <c r="A198" s="37"/>
      <c r="B198" s="78"/>
      <c r="C198" s="70"/>
      <c r="D198" s="37"/>
      <c r="E198" s="70"/>
      <c r="F198" s="70"/>
      <c r="G198" s="37"/>
      <c r="H198" s="70"/>
      <c r="I198" s="70"/>
      <c r="J198" s="37"/>
      <c r="K198" s="70"/>
      <c r="L198" s="70"/>
      <c r="M198" s="70"/>
      <c r="N198" s="70"/>
      <c r="O198" s="70"/>
    </row>
    <row r="199" spans="1:15" x14ac:dyDescent="0.25">
      <c r="A199" s="37"/>
      <c r="B199" s="78"/>
      <c r="C199" s="70"/>
      <c r="D199" s="37"/>
      <c r="E199" s="70"/>
      <c r="F199" s="70"/>
      <c r="G199" s="37"/>
      <c r="H199" s="70"/>
      <c r="I199" s="70"/>
      <c r="J199" s="37"/>
      <c r="K199" s="70"/>
      <c r="L199" s="70"/>
      <c r="M199" s="70"/>
      <c r="N199" s="70"/>
      <c r="O199" s="70"/>
    </row>
    <row r="200" spans="1:15" x14ac:dyDescent="0.25">
      <c r="A200" s="37"/>
      <c r="B200" s="78"/>
      <c r="C200" s="70"/>
      <c r="D200" s="37"/>
      <c r="E200" s="70"/>
      <c r="F200" s="70"/>
      <c r="G200" s="37"/>
      <c r="H200" s="70"/>
      <c r="I200" s="70"/>
      <c r="J200" s="37"/>
      <c r="K200" s="70"/>
      <c r="L200" s="70"/>
      <c r="M200" s="70"/>
      <c r="N200" s="70"/>
      <c r="O200" s="70"/>
    </row>
    <row r="201" spans="1:15" x14ac:dyDescent="0.25">
      <c r="A201" s="37"/>
      <c r="B201" s="78"/>
      <c r="C201" s="70"/>
      <c r="D201" s="37"/>
      <c r="E201" s="70"/>
      <c r="F201" s="70"/>
      <c r="G201" s="37"/>
      <c r="H201" s="70"/>
      <c r="I201" s="70"/>
      <c r="J201" s="37"/>
      <c r="K201" s="70"/>
      <c r="L201" s="70"/>
      <c r="M201" s="70"/>
      <c r="N201" s="70"/>
      <c r="O201" s="70"/>
    </row>
    <row r="202" spans="1:15" x14ac:dyDescent="0.25">
      <c r="A202" s="37"/>
      <c r="B202" s="78"/>
      <c r="C202" s="70"/>
      <c r="D202" s="37"/>
      <c r="E202" s="70"/>
      <c r="F202" s="70"/>
      <c r="G202" s="37"/>
      <c r="H202" s="70"/>
      <c r="I202" s="70"/>
      <c r="J202" s="37"/>
      <c r="K202" s="70"/>
      <c r="L202" s="70"/>
      <c r="M202" s="70"/>
      <c r="N202" s="70"/>
      <c r="O202" s="70"/>
    </row>
    <row r="203" spans="1:15" x14ac:dyDescent="0.25">
      <c r="A203" s="37"/>
      <c r="B203" s="78"/>
      <c r="C203" s="70"/>
      <c r="D203" s="37"/>
      <c r="E203" s="70"/>
      <c r="F203" s="70"/>
      <c r="G203" s="37"/>
      <c r="H203" s="70"/>
      <c r="I203" s="70"/>
      <c r="J203" s="37"/>
      <c r="K203" s="70"/>
      <c r="L203" s="70"/>
      <c r="M203" s="70"/>
      <c r="N203" s="70"/>
      <c r="O203" s="70"/>
    </row>
    <row r="204" spans="1:15" x14ac:dyDescent="0.25">
      <c r="A204" s="37"/>
      <c r="B204" s="78"/>
      <c r="C204" s="70"/>
      <c r="D204" s="37"/>
      <c r="E204" s="70"/>
      <c r="F204" s="70"/>
      <c r="G204" s="37"/>
      <c r="H204" s="70"/>
      <c r="I204" s="70"/>
      <c r="J204" s="37"/>
      <c r="K204" s="70"/>
      <c r="L204" s="70"/>
      <c r="M204" s="70"/>
      <c r="N204" s="70"/>
      <c r="O204" s="70"/>
    </row>
    <row r="205" spans="1:15" x14ac:dyDescent="0.25">
      <c r="A205" s="37"/>
      <c r="B205" s="78"/>
      <c r="C205" s="70"/>
      <c r="D205" s="37"/>
      <c r="E205" s="70"/>
      <c r="F205" s="70"/>
      <c r="G205" s="37"/>
      <c r="H205" s="70"/>
      <c r="I205" s="70"/>
      <c r="J205" s="37"/>
      <c r="K205" s="70"/>
      <c r="L205" s="70"/>
      <c r="M205" s="70"/>
      <c r="N205" s="70"/>
      <c r="O205" s="70"/>
    </row>
    <row r="206" spans="1:15" x14ac:dyDescent="0.25">
      <c r="A206" s="37"/>
      <c r="B206" s="78"/>
      <c r="C206" s="70"/>
      <c r="D206" s="37"/>
      <c r="E206" s="70"/>
      <c r="F206" s="70"/>
      <c r="G206" s="37"/>
      <c r="H206" s="70"/>
      <c r="I206" s="70"/>
      <c r="J206" s="37"/>
      <c r="K206" s="70"/>
      <c r="L206" s="70"/>
      <c r="M206" s="70"/>
      <c r="N206" s="70"/>
      <c r="O206" s="70"/>
    </row>
    <row r="207" spans="1:15" x14ac:dyDescent="0.25">
      <c r="A207" s="37"/>
      <c r="B207" s="78"/>
      <c r="C207" s="70"/>
      <c r="D207" s="37"/>
      <c r="E207" s="70"/>
      <c r="F207" s="70"/>
      <c r="G207" s="37"/>
      <c r="H207" s="70"/>
      <c r="I207" s="70"/>
      <c r="J207" s="37"/>
      <c r="K207" s="70"/>
      <c r="L207" s="70"/>
      <c r="M207" s="70"/>
      <c r="N207" s="70"/>
      <c r="O207" s="70"/>
    </row>
    <row r="208" spans="1:15" x14ac:dyDescent="0.25">
      <c r="A208" s="37"/>
      <c r="B208" s="78"/>
      <c r="C208" s="70"/>
      <c r="D208" s="37"/>
      <c r="E208" s="70"/>
      <c r="F208" s="70"/>
      <c r="G208" s="37"/>
      <c r="H208" s="70"/>
      <c r="I208" s="70"/>
      <c r="J208" s="37"/>
      <c r="K208" s="70"/>
      <c r="L208" s="70"/>
      <c r="M208" s="70"/>
      <c r="N208" s="70"/>
      <c r="O208" s="70"/>
    </row>
    <row r="209" spans="1:15" x14ac:dyDescent="0.25">
      <c r="A209" s="37"/>
      <c r="B209" s="78"/>
      <c r="C209" s="70"/>
      <c r="D209" s="37"/>
      <c r="E209" s="70"/>
      <c r="F209" s="70"/>
      <c r="G209" s="37"/>
      <c r="H209" s="70"/>
      <c r="I209" s="70"/>
      <c r="J209" s="37"/>
      <c r="K209" s="70"/>
      <c r="L209" s="70"/>
      <c r="M209" s="70"/>
      <c r="N209" s="70"/>
      <c r="O209" s="70"/>
    </row>
    <row r="210" spans="1:15" x14ac:dyDescent="0.25">
      <c r="A210" s="37"/>
      <c r="B210" s="78"/>
      <c r="C210" s="70"/>
      <c r="D210" s="37"/>
      <c r="E210" s="70"/>
      <c r="F210" s="70"/>
      <c r="G210" s="37"/>
      <c r="H210" s="70"/>
      <c r="I210" s="70"/>
      <c r="J210" s="37"/>
      <c r="K210" s="70"/>
      <c r="L210" s="70"/>
      <c r="M210" s="70"/>
      <c r="N210" s="70"/>
      <c r="O210" s="70"/>
    </row>
    <row r="211" spans="1:15" x14ac:dyDescent="0.25">
      <c r="A211" s="37"/>
      <c r="B211" s="78"/>
      <c r="C211" s="70"/>
      <c r="D211" s="37"/>
      <c r="E211" s="70"/>
      <c r="F211" s="70"/>
      <c r="G211" s="37"/>
      <c r="H211" s="70"/>
      <c r="I211" s="70"/>
      <c r="J211" s="37"/>
      <c r="K211" s="70"/>
      <c r="L211" s="70"/>
      <c r="M211" s="70"/>
      <c r="N211" s="70"/>
      <c r="O211" s="70"/>
    </row>
    <row r="212" spans="1:15" x14ac:dyDescent="0.25">
      <c r="A212" s="37"/>
      <c r="B212" s="78"/>
      <c r="C212" s="70"/>
      <c r="D212" s="37"/>
      <c r="E212" s="70"/>
      <c r="F212" s="70"/>
      <c r="G212" s="37"/>
      <c r="H212" s="70"/>
      <c r="I212" s="70"/>
      <c r="J212" s="37"/>
      <c r="K212" s="70"/>
      <c r="L212" s="70"/>
      <c r="M212" s="70"/>
      <c r="N212" s="70"/>
      <c r="O212" s="70"/>
    </row>
    <row r="213" spans="1:15" x14ac:dyDescent="0.25">
      <c r="A213" s="37"/>
      <c r="B213" s="78"/>
      <c r="C213" s="70"/>
      <c r="D213" s="37"/>
      <c r="E213" s="70"/>
      <c r="F213" s="70"/>
      <c r="G213" s="37"/>
      <c r="H213" s="70"/>
      <c r="I213" s="70"/>
      <c r="J213" s="37"/>
      <c r="K213" s="70"/>
      <c r="L213" s="70"/>
      <c r="M213" s="70"/>
      <c r="N213" s="70"/>
      <c r="O213" s="70"/>
    </row>
    <row r="214" spans="1:15" x14ac:dyDescent="0.25">
      <c r="A214" s="37"/>
      <c r="B214" s="78"/>
      <c r="C214" s="70"/>
      <c r="D214" s="37"/>
      <c r="E214" s="70"/>
      <c r="F214" s="70"/>
      <c r="G214" s="37"/>
      <c r="H214" s="70"/>
      <c r="I214" s="70"/>
      <c r="J214" s="37"/>
      <c r="K214" s="70"/>
      <c r="L214" s="70"/>
      <c r="M214" s="70"/>
      <c r="N214" s="70"/>
      <c r="O214" s="70"/>
    </row>
    <row r="215" spans="1:15" x14ac:dyDescent="0.25">
      <c r="A215" s="37"/>
      <c r="B215" s="78"/>
      <c r="C215" s="70"/>
      <c r="D215" s="37"/>
      <c r="E215" s="70"/>
      <c r="F215" s="70"/>
      <c r="G215" s="37"/>
      <c r="H215" s="70"/>
      <c r="I215" s="70"/>
      <c r="J215" s="37"/>
      <c r="K215" s="70"/>
      <c r="L215" s="70"/>
      <c r="M215" s="70"/>
      <c r="N215" s="70"/>
      <c r="O215" s="70"/>
    </row>
    <row r="216" spans="1:15" x14ac:dyDescent="0.25">
      <c r="A216" s="37"/>
      <c r="B216" s="78"/>
      <c r="C216" s="70"/>
      <c r="D216" s="37"/>
      <c r="E216" s="70"/>
      <c r="F216" s="70"/>
      <c r="G216" s="37"/>
      <c r="H216" s="70"/>
      <c r="I216" s="70"/>
      <c r="J216" s="37"/>
      <c r="K216" s="70"/>
      <c r="L216" s="70"/>
      <c r="M216" s="70"/>
      <c r="N216" s="70"/>
      <c r="O216" s="70"/>
    </row>
    <row r="217" spans="1:15" x14ac:dyDescent="0.25">
      <c r="A217" s="37"/>
      <c r="B217" s="78"/>
      <c r="C217" s="70"/>
      <c r="D217" s="37"/>
      <c r="E217" s="70"/>
      <c r="F217" s="70"/>
      <c r="G217" s="37"/>
      <c r="H217" s="70"/>
      <c r="I217" s="70"/>
      <c r="J217" s="37"/>
      <c r="K217" s="70"/>
      <c r="L217" s="70"/>
      <c r="M217" s="70"/>
      <c r="N217" s="70"/>
      <c r="O217" s="70"/>
    </row>
    <row r="218" spans="1:15" x14ac:dyDescent="0.25">
      <c r="A218" s="37"/>
      <c r="B218" s="78"/>
      <c r="C218" s="70"/>
      <c r="D218" s="37"/>
      <c r="E218" s="70"/>
      <c r="F218" s="70"/>
      <c r="G218" s="37"/>
      <c r="H218" s="70"/>
      <c r="I218" s="70"/>
      <c r="J218" s="37"/>
      <c r="K218" s="70"/>
      <c r="L218" s="70"/>
      <c r="M218" s="70"/>
      <c r="N218" s="70"/>
      <c r="O218" s="70"/>
    </row>
    <row r="219" spans="1:15" x14ac:dyDescent="0.25">
      <c r="A219" s="37"/>
      <c r="B219" s="78"/>
      <c r="C219" s="70"/>
      <c r="D219" s="37"/>
      <c r="E219" s="70"/>
      <c r="F219" s="70"/>
      <c r="G219" s="37"/>
      <c r="H219" s="70"/>
      <c r="I219" s="70"/>
      <c r="J219" s="37"/>
      <c r="K219" s="70"/>
      <c r="L219" s="70"/>
      <c r="M219" s="70"/>
      <c r="N219" s="70"/>
      <c r="O219" s="70"/>
    </row>
    <row r="220" spans="1:15" x14ac:dyDescent="0.25">
      <c r="A220" s="37"/>
      <c r="B220" s="78"/>
      <c r="C220" s="70"/>
      <c r="D220" s="37"/>
      <c r="E220" s="70"/>
      <c r="F220" s="70"/>
      <c r="G220" s="37"/>
      <c r="H220" s="70"/>
      <c r="I220" s="70"/>
      <c r="J220" s="37"/>
      <c r="K220" s="70"/>
      <c r="L220" s="70"/>
      <c r="M220" s="70"/>
      <c r="N220" s="70"/>
      <c r="O220" s="70"/>
    </row>
    <row r="221" spans="1:15" x14ac:dyDescent="0.25">
      <c r="A221" s="37"/>
      <c r="B221" s="78"/>
      <c r="C221" s="70"/>
      <c r="D221" s="37"/>
      <c r="E221" s="70"/>
      <c r="F221" s="70"/>
      <c r="G221" s="37"/>
      <c r="H221" s="70"/>
      <c r="I221" s="70"/>
      <c r="J221" s="37"/>
      <c r="K221" s="70"/>
      <c r="L221" s="70"/>
      <c r="M221" s="70"/>
      <c r="N221" s="70"/>
      <c r="O221" s="70"/>
    </row>
    <row r="222" spans="1:15" x14ac:dyDescent="0.25">
      <c r="A222" s="37"/>
      <c r="B222" s="78"/>
      <c r="C222" s="70"/>
      <c r="D222" s="37"/>
      <c r="E222" s="70"/>
      <c r="F222" s="70"/>
      <c r="G222" s="37"/>
      <c r="H222" s="70"/>
      <c r="I222" s="70"/>
      <c r="J222" s="37"/>
      <c r="K222" s="70"/>
      <c r="L222" s="70"/>
      <c r="M222" s="70"/>
      <c r="N222" s="70"/>
      <c r="O222" s="70"/>
    </row>
    <row r="223" spans="1:15" x14ac:dyDescent="0.25">
      <c r="A223" s="37"/>
      <c r="B223" s="78"/>
      <c r="C223" s="70"/>
      <c r="D223" s="37"/>
      <c r="E223" s="70"/>
      <c r="F223" s="70"/>
      <c r="G223" s="37"/>
      <c r="H223" s="70"/>
      <c r="I223" s="70"/>
      <c r="J223" s="37"/>
      <c r="K223" s="70"/>
      <c r="L223" s="70"/>
      <c r="M223" s="70"/>
      <c r="N223" s="70"/>
      <c r="O223" s="70"/>
    </row>
    <row r="224" spans="1:15" x14ac:dyDescent="0.25">
      <c r="A224" s="37"/>
      <c r="B224" s="78"/>
      <c r="C224" s="70"/>
      <c r="D224" s="37"/>
      <c r="E224" s="70"/>
      <c r="F224" s="70"/>
      <c r="G224" s="37"/>
      <c r="H224" s="70"/>
      <c r="I224" s="70"/>
      <c r="J224" s="37"/>
      <c r="K224" s="70"/>
      <c r="L224" s="70"/>
      <c r="M224" s="70"/>
      <c r="N224" s="70"/>
      <c r="O224" s="70"/>
    </row>
    <row r="225" spans="1:15" x14ac:dyDescent="0.25">
      <c r="A225" s="37"/>
      <c r="B225" s="78"/>
      <c r="C225" s="70"/>
      <c r="D225" s="37"/>
      <c r="E225" s="70"/>
      <c r="F225" s="70"/>
      <c r="G225" s="37"/>
      <c r="H225" s="70"/>
      <c r="I225" s="70"/>
      <c r="J225" s="37"/>
      <c r="K225" s="70"/>
      <c r="L225" s="70"/>
      <c r="M225" s="70"/>
      <c r="N225" s="70"/>
      <c r="O225" s="70"/>
    </row>
    <row r="226" spans="1:15" x14ac:dyDescent="0.25">
      <c r="A226" s="37"/>
      <c r="B226" s="78"/>
      <c r="C226" s="70"/>
      <c r="D226" s="37"/>
      <c r="E226" s="70"/>
      <c r="F226" s="70"/>
      <c r="G226" s="37"/>
      <c r="H226" s="70"/>
      <c r="I226" s="70"/>
      <c r="J226" s="37"/>
      <c r="K226" s="70"/>
      <c r="L226" s="70"/>
      <c r="M226" s="70"/>
      <c r="N226" s="70"/>
      <c r="O226" s="70"/>
    </row>
    <row r="227" spans="1:15" x14ac:dyDescent="0.25">
      <c r="A227" s="37"/>
      <c r="B227" s="78"/>
      <c r="C227" s="70"/>
      <c r="D227" s="37"/>
      <c r="E227" s="70"/>
      <c r="F227" s="70"/>
      <c r="G227" s="37"/>
      <c r="H227" s="70"/>
      <c r="I227" s="70"/>
      <c r="J227" s="37"/>
      <c r="K227" s="70"/>
      <c r="L227" s="70"/>
      <c r="M227" s="70"/>
      <c r="N227" s="70"/>
      <c r="O227" s="70"/>
    </row>
    <row r="228" spans="1:15" x14ac:dyDescent="0.25">
      <c r="A228" s="37"/>
      <c r="B228" s="78"/>
      <c r="C228" s="70"/>
      <c r="D228" s="37"/>
      <c r="E228" s="70"/>
      <c r="F228" s="70"/>
      <c r="G228" s="37"/>
      <c r="H228" s="70"/>
      <c r="I228" s="70"/>
      <c r="J228" s="37"/>
      <c r="K228" s="70"/>
      <c r="L228" s="70"/>
      <c r="M228" s="70"/>
      <c r="N228" s="70"/>
      <c r="O228" s="70"/>
    </row>
    <row r="229" spans="1:15" x14ac:dyDescent="0.25">
      <c r="A229" s="37"/>
      <c r="B229" s="78"/>
      <c r="C229" s="70"/>
      <c r="D229" s="37"/>
      <c r="E229" s="70"/>
      <c r="F229" s="70"/>
      <c r="G229" s="37"/>
      <c r="H229" s="70"/>
      <c r="I229" s="70"/>
      <c r="J229" s="37"/>
      <c r="K229" s="70"/>
      <c r="L229" s="70"/>
      <c r="M229" s="70"/>
      <c r="N229" s="70"/>
      <c r="O229" s="70"/>
    </row>
    <row r="230" spans="1:15" x14ac:dyDescent="0.25">
      <c r="A230" s="37"/>
      <c r="B230" s="78"/>
      <c r="C230" s="70"/>
      <c r="D230" s="37"/>
      <c r="E230" s="70"/>
      <c r="F230" s="70"/>
      <c r="G230" s="37"/>
      <c r="H230" s="70"/>
      <c r="I230" s="70"/>
      <c r="J230" s="37"/>
      <c r="K230" s="70"/>
      <c r="L230" s="70"/>
      <c r="M230" s="70"/>
      <c r="N230" s="70"/>
      <c r="O230" s="70"/>
    </row>
    <row r="231" spans="1:15" x14ac:dyDescent="0.25">
      <c r="A231" s="37"/>
      <c r="B231" s="78"/>
      <c r="C231" s="70"/>
      <c r="D231" s="37"/>
      <c r="E231" s="70"/>
      <c r="F231" s="70"/>
      <c r="G231" s="37"/>
      <c r="H231" s="70"/>
      <c r="I231" s="70"/>
      <c r="J231" s="37"/>
      <c r="K231" s="70"/>
      <c r="L231" s="70"/>
      <c r="M231" s="70"/>
      <c r="N231" s="70"/>
      <c r="O231" s="70"/>
    </row>
    <row r="232" spans="1:15" x14ac:dyDescent="0.25">
      <c r="A232" s="37"/>
      <c r="B232" s="78"/>
      <c r="C232" s="70"/>
      <c r="D232" s="37"/>
      <c r="E232" s="70"/>
      <c r="F232" s="70"/>
      <c r="G232" s="37"/>
      <c r="H232" s="70"/>
      <c r="I232" s="70"/>
      <c r="J232" s="37"/>
      <c r="K232" s="70"/>
      <c r="L232" s="70"/>
      <c r="M232" s="70"/>
      <c r="N232" s="70"/>
      <c r="O232" s="70"/>
    </row>
    <row r="233" spans="1:15" x14ac:dyDescent="0.25">
      <c r="A233" s="37"/>
      <c r="B233" s="78"/>
      <c r="C233" s="70"/>
      <c r="D233" s="37"/>
      <c r="E233" s="70"/>
      <c r="F233" s="70"/>
      <c r="G233" s="37"/>
      <c r="H233" s="70"/>
      <c r="I233" s="70"/>
      <c r="J233" s="37"/>
      <c r="K233" s="70"/>
      <c r="L233" s="70"/>
      <c r="M233" s="70"/>
      <c r="N233" s="70"/>
      <c r="O233" s="70"/>
    </row>
    <row r="234" spans="1:15" x14ac:dyDescent="0.25">
      <c r="A234" s="37"/>
      <c r="B234" s="78"/>
      <c r="C234" s="70"/>
      <c r="D234" s="37"/>
      <c r="E234" s="70"/>
      <c r="F234" s="70"/>
      <c r="G234" s="37"/>
      <c r="H234" s="70"/>
      <c r="I234" s="70"/>
      <c r="J234" s="37"/>
      <c r="K234" s="70"/>
      <c r="L234" s="70"/>
      <c r="M234" s="70"/>
      <c r="N234" s="70"/>
      <c r="O234" s="70"/>
    </row>
    <row r="235" spans="1:15" x14ac:dyDescent="0.25">
      <c r="A235" s="37"/>
      <c r="B235" s="78"/>
      <c r="C235" s="70"/>
      <c r="D235" s="37"/>
      <c r="E235" s="70"/>
      <c r="F235" s="70"/>
      <c r="G235" s="37"/>
      <c r="H235" s="70"/>
      <c r="I235" s="70"/>
      <c r="J235" s="37"/>
      <c r="K235" s="70"/>
      <c r="L235" s="70"/>
      <c r="M235" s="70"/>
      <c r="N235" s="70"/>
      <c r="O235" s="70"/>
    </row>
    <row r="236" spans="1:15" x14ac:dyDescent="0.25">
      <c r="A236" s="37"/>
      <c r="B236" s="78"/>
      <c r="C236" s="70"/>
      <c r="D236" s="37"/>
      <c r="E236" s="70"/>
      <c r="F236" s="70"/>
      <c r="G236" s="37"/>
      <c r="H236" s="70"/>
      <c r="I236" s="70"/>
      <c r="J236" s="37"/>
      <c r="K236" s="70"/>
      <c r="L236" s="70"/>
      <c r="M236" s="70"/>
      <c r="N236" s="70"/>
      <c r="O236" s="70"/>
    </row>
    <row r="237" spans="1:15" x14ac:dyDescent="0.25">
      <c r="A237" s="37"/>
      <c r="B237" s="78"/>
      <c r="C237" s="70"/>
      <c r="D237" s="37"/>
      <c r="E237" s="70"/>
      <c r="F237" s="70"/>
      <c r="G237" s="37"/>
      <c r="H237" s="70"/>
      <c r="I237" s="70"/>
      <c r="J237" s="37"/>
      <c r="K237" s="70"/>
      <c r="L237" s="70"/>
      <c r="M237" s="70"/>
      <c r="N237" s="70"/>
      <c r="O237" s="70"/>
    </row>
    <row r="238" spans="1:15" x14ac:dyDescent="0.25">
      <c r="A238" s="37"/>
      <c r="B238" s="78"/>
      <c r="C238" s="70"/>
      <c r="D238" s="37"/>
      <c r="E238" s="70"/>
      <c r="F238" s="70"/>
      <c r="G238" s="37"/>
      <c r="H238" s="70"/>
      <c r="I238" s="70"/>
      <c r="J238" s="37"/>
      <c r="K238" s="70"/>
      <c r="L238" s="70"/>
      <c r="M238" s="70"/>
      <c r="N238" s="70"/>
      <c r="O238" s="70"/>
    </row>
    <row r="239" spans="1:15" x14ac:dyDescent="0.25">
      <c r="A239" s="37"/>
      <c r="B239" s="78"/>
      <c r="C239" s="70"/>
      <c r="D239" s="37"/>
      <c r="E239" s="70"/>
      <c r="F239" s="70"/>
      <c r="G239" s="37"/>
      <c r="H239" s="70"/>
      <c r="I239" s="70"/>
      <c r="J239" s="37"/>
      <c r="K239" s="70"/>
      <c r="L239" s="70"/>
      <c r="M239" s="70"/>
      <c r="N239" s="70"/>
      <c r="O239" s="70"/>
    </row>
    <row r="240" spans="1:15" x14ac:dyDescent="0.25">
      <c r="A240" s="37"/>
      <c r="B240" s="78"/>
      <c r="C240" s="70"/>
      <c r="D240" s="37"/>
      <c r="E240" s="70"/>
      <c r="F240" s="70"/>
      <c r="G240" s="37"/>
      <c r="H240" s="70"/>
      <c r="I240" s="70"/>
      <c r="J240" s="37"/>
      <c r="K240" s="70"/>
      <c r="L240" s="70"/>
      <c r="M240" s="70"/>
      <c r="N240" s="70"/>
      <c r="O240" s="70"/>
    </row>
    <row r="241" spans="1:15" x14ac:dyDescent="0.25">
      <c r="A241" s="37"/>
      <c r="B241" s="78"/>
      <c r="C241" s="70"/>
      <c r="D241" s="37"/>
      <c r="E241" s="70"/>
      <c r="F241" s="70"/>
      <c r="G241" s="37"/>
      <c r="H241" s="70"/>
      <c r="I241" s="70"/>
      <c r="J241" s="37"/>
      <c r="K241" s="70"/>
      <c r="L241" s="70"/>
      <c r="M241" s="70"/>
      <c r="N241" s="70"/>
      <c r="O241" s="70"/>
    </row>
    <row r="242" spans="1:15" x14ac:dyDescent="0.25">
      <c r="A242" s="37"/>
      <c r="B242" s="78"/>
      <c r="C242" s="70"/>
      <c r="D242" s="37"/>
      <c r="E242" s="70"/>
      <c r="F242" s="70"/>
      <c r="G242" s="37"/>
      <c r="H242" s="70"/>
      <c r="I242" s="70"/>
      <c r="J242" s="37"/>
      <c r="K242" s="70"/>
      <c r="L242" s="70"/>
      <c r="M242" s="70"/>
      <c r="N242" s="70"/>
      <c r="O242" s="70"/>
    </row>
    <row r="243" spans="1:15" x14ac:dyDescent="0.25">
      <c r="A243" s="37"/>
      <c r="B243" s="78"/>
      <c r="C243" s="70"/>
      <c r="D243" s="37"/>
      <c r="E243" s="70"/>
      <c r="F243" s="70"/>
      <c r="G243" s="37"/>
      <c r="H243" s="70"/>
      <c r="I243" s="70"/>
      <c r="J243" s="37"/>
      <c r="K243" s="70"/>
      <c r="L243" s="70"/>
      <c r="M243" s="70"/>
      <c r="N243" s="70"/>
      <c r="O243" s="70"/>
    </row>
    <row r="244" spans="1:15" x14ac:dyDescent="0.25">
      <c r="A244" s="37"/>
      <c r="B244" s="78"/>
      <c r="C244" s="70"/>
      <c r="D244" s="37"/>
      <c r="E244" s="70"/>
      <c r="F244" s="70"/>
      <c r="G244" s="37"/>
      <c r="H244" s="70"/>
      <c r="I244" s="70"/>
      <c r="J244" s="37"/>
      <c r="K244" s="70"/>
      <c r="L244" s="70"/>
      <c r="M244" s="70"/>
      <c r="N244" s="70"/>
      <c r="O244" s="70"/>
    </row>
    <row r="245" spans="1:15" x14ac:dyDescent="0.25">
      <c r="A245" s="37"/>
      <c r="B245" s="78"/>
      <c r="C245" s="70"/>
      <c r="D245" s="37"/>
      <c r="E245" s="70"/>
      <c r="F245" s="70"/>
      <c r="G245" s="37"/>
      <c r="H245" s="70"/>
      <c r="I245" s="70"/>
      <c r="J245" s="37"/>
      <c r="K245" s="70"/>
      <c r="L245" s="70"/>
      <c r="M245" s="70"/>
      <c r="N245" s="70"/>
      <c r="O245" s="70"/>
    </row>
    <row r="246" spans="1:15" x14ac:dyDescent="0.25">
      <c r="A246" s="37"/>
      <c r="B246" s="78"/>
      <c r="C246" s="70"/>
      <c r="D246" s="37"/>
      <c r="E246" s="70"/>
      <c r="F246" s="70"/>
      <c r="G246" s="37"/>
      <c r="H246" s="70"/>
      <c r="I246" s="70"/>
      <c r="J246" s="37"/>
      <c r="K246" s="70"/>
      <c r="L246" s="70"/>
      <c r="M246" s="70"/>
      <c r="N246" s="70"/>
      <c r="O246" s="70"/>
    </row>
    <row r="247" spans="1:15" x14ac:dyDescent="0.25">
      <c r="A247" s="37"/>
      <c r="B247" s="78"/>
      <c r="C247" s="70"/>
      <c r="D247" s="37"/>
      <c r="E247" s="70"/>
      <c r="F247" s="70"/>
      <c r="G247" s="37"/>
      <c r="H247" s="70"/>
      <c r="I247" s="70"/>
      <c r="J247" s="37"/>
      <c r="K247" s="70"/>
      <c r="L247" s="70"/>
      <c r="M247" s="70"/>
      <c r="N247" s="70"/>
      <c r="O247" s="70"/>
    </row>
    <row r="248" spans="1:15" x14ac:dyDescent="0.25">
      <c r="A248" s="37"/>
      <c r="B248" s="78"/>
      <c r="C248" s="70"/>
      <c r="D248" s="37"/>
      <c r="E248" s="70"/>
      <c r="F248" s="70"/>
      <c r="G248" s="37"/>
      <c r="H248" s="70"/>
      <c r="I248" s="70"/>
      <c r="J248" s="37"/>
      <c r="K248" s="70"/>
      <c r="L248" s="70"/>
      <c r="M248" s="70"/>
      <c r="N248" s="70"/>
      <c r="O248" s="70"/>
    </row>
    <row r="249" spans="1:15" x14ac:dyDescent="0.25">
      <c r="A249" s="37"/>
      <c r="B249" s="78"/>
      <c r="C249" s="70"/>
      <c r="D249" s="37"/>
      <c r="E249" s="70"/>
      <c r="F249" s="70"/>
      <c r="G249" s="37"/>
      <c r="H249" s="70"/>
      <c r="I249" s="70"/>
      <c r="J249" s="37"/>
      <c r="K249" s="70"/>
      <c r="L249" s="70"/>
      <c r="M249" s="70"/>
      <c r="N249" s="70"/>
      <c r="O249" s="70"/>
    </row>
    <row r="250" spans="1:15" x14ac:dyDescent="0.25">
      <c r="A250" s="37"/>
      <c r="B250" s="78"/>
      <c r="C250" s="70"/>
      <c r="D250" s="37"/>
      <c r="E250" s="70"/>
      <c r="F250" s="70"/>
      <c r="G250" s="37"/>
      <c r="H250" s="70"/>
      <c r="I250" s="70"/>
      <c r="J250" s="37"/>
      <c r="K250" s="70"/>
      <c r="L250" s="70"/>
      <c r="M250" s="70"/>
      <c r="N250" s="70"/>
      <c r="O250" s="70"/>
    </row>
    <row r="251" spans="1:15" x14ac:dyDescent="0.25">
      <c r="A251" s="37"/>
      <c r="B251" s="78"/>
      <c r="C251" s="70"/>
      <c r="D251" s="37"/>
      <c r="E251" s="70"/>
      <c r="F251" s="70"/>
      <c r="G251" s="37"/>
      <c r="H251" s="70"/>
      <c r="I251" s="70"/>
      <c r="J251" s="37"/>
      <c r="K251" s="70"/>
      <c r="L251" s="70"/>
      <c r="M251" s="70"/>
      <c r="N251" s="70"/>
      <c r="O251" s="70"/>
    </row>
    <row r="252" spans="1:15" x14ac:dyDescent="0.25">
      <c r="A252" s="37"/>
      <c r="B252" s="78"/>
      <c r="C252" s="70"/>
      <c r="D252" s="37"/>
      <c r="E252" s="70"/>
      <c r="F252" s="70"/>
      <c r="G252" s="37"/>
      <c r="H252" s="70"/>
      <c r="I252" s="70"/>
      <c r="J252" s="37"/>
      <c r="K252" s="70"/>
      <c r="L252" s="70"/>
      <c r="M252" s="70"/>
      <c r="N252" s="70"/>
      <c r="O252" s="70"/>
    </row>
    <row r="253" spans="1:15" x14ac:dyDescent="0.25">
      <c r="A253" s="37"/>
      <c r="B253" s="78"/>
      <c r="C253" s="70"/>
      <c r="D253" s="37"/>
      <c r="E253" s="70"/>
      <c r="F253" s="70"/>
      <c r="G253" s="37"/>
      <c r="H253" s="70"/>
      <c r="I253" s="70"/>
      <c r="J253" s="37"/>
      <c r="K253" s="70"/>
      <c r="L253" s="70"/>
      <c r="M253" s="70"/>
      <c r="N253" s="70"/>
      <c r="O253" s="70"/>
    </row>
    <row r="254" spans="1:15" x14ac:dyDescent="0.25">
      <c r="A254" s="37"/>
      <c r="B254" s="78"/>
      <c r="C254" s="70"/>
      <c r="D254" s="37"/>
      <c r="E254" s="70"/>
      <c r="F254" s="70"/>
      <c r="G254" s="37"/>
      <c r="H254" s="70"/>
      <c r="I254" s="70"/>
      <c r="J254" s="37"/>
      <c r="K254" s="70"/>
      <c r="L254" s="70"/>
      <c r="M254" s="70"/>
      <c r="N254" s="70"/>
      <c r="O254" s="70"/>
    </row>
    <row r="255" spans="1:15" x14ac:dyDescent="0.25">
      <c r="A255" s="37"/>
      <c r="B255" s="78"/>
      <c r="C255" s="70"/>
      <c r="D255" s="37"/>
      <c r="E255" s="70"/>
      <c r="F255" s="70"/>
      <c r="G255" s="37"/>
      <c r="H255" s="70"/>
      <c r="I255" s="70"/>
      <c r="J255" s="37"/>
      <c r="K255" s="70"/>
      <c r="L255" s="70"/>
      <c r="M255" s="70"/>
      <c r="N255" s="70"/>
      <c r="O255" s="70"/>
    </row>
    <row r="256" spans="1:15" x14ac:dyDescent="0.25">
      <c r="A256" s="37"/>
      <c r="B256" s="78"/>
      <c r="C256" s="70"/>
      <c r="D256" s="37"/>
      <c r="E256" s="70"/>
      <c r="F256" s="70"/>
      <c r="G256" s="37"/>
      <c r="H256" s="70"/>
      <c r="I256" s="70"/>
      <c r="J256" s="37"/>
      <c r="K256" s="70"/>
      <c r="L256" s="70"/>
      <c r="M256" s="70"/>
      <c r="N256" s="70"/>
      <c r="O256" s="70"/>
    </row>
    <row r="257" spans="1:15" x14ac:dyDescent="0.25">
      <c r="A257" s="37"/>
      <c r="B257" s="78"/>
      <c r="C257" s="70"/>
      <c r="D257" s="37"/>
      <c r="E257" s="70"/>
      <c r="F257" s="70"/>
      <c r="G257" s="37"/>
      <c r="H257" s="70"/>
      <c r="I257" s="70"/>
      <c r="J257" s="37"/>
      <c r="K257" s="70"/>
      <c r="L257" s="70"/>
      <c r="M257" s="70"/>
      <c r="N257" s="70"/>
      <c r="O257" s="70"/>
    </row>
    <row r="258" spans="1:15" x14ac:dyDescent="0.25">
      <c r="A258" s="37"/>
      <c r="B258" s="78"/>
      <c r="C258" s="70"/>
      <c r="D258" s="37"/>
      <c r="E258" s="70"/>
      <c r="F258" s="70"/>
      <c r="G258" s="37"/>
      <c r="H258" s="70"/>
      <c r="I258" s="70"/>
      <c r="J258" s="37"/>
      <c r="K258" s="70"/>
      <c r="L258" s="70"/>
      <c r="M258" s="70"/>
      <c r="N258" s="70"/>
      <c r="O258" s="70"/>
    </row>
    <row r="259" spans="1:15" x14ac:dyDescent="0.25">
      <c r="A259" s="37"/>
      <c r="B259" s="78"/>
      <c r="C259" s="70"/>
      <c r="D259" s="37"/>
      <c r="E259" s="70"/>
      <c r="F259" s="70"/>
      <c r="G259" s="37"/>
      <c r="H259" s="70"/>
      <c r="I259" s="70"/>
      <c r="J259" s="37"/>
      <c r="K259" s="70"/>
      <c r="L259" s="70"/>
      <c r="M259" s="70"/>
      <c r="N259" s="70"/>
      <c r="O259" s="70"/>
    </row>
    <row r="260" spans="1:15" x14ac:dyDescent="0.25">
      <c r="A260" s="37"/>
      <c r="B260" s="78"/>
      <c r="C260" s="70"/>
      <c r="D260" s="37"/>
      <c r="E260" s="70"/>
      <c r="F260" s="70"/>
      <c r="G260" s="37"/>
      <c r="H260" s="70"/>
      <c r="I260" s="70"/>
      <c r="J260" s="37"/>
      <c r="K260" s="70"/>
      <c r="L260" s="70"/>
      <c r="M260" s="70"/>
      <c r="N260" s="70"/>
      <c r="O260" s="70"/>
    </row>
    <row r="261" spans="1:15" x14ac:dyDescent="0.25">
      <c r="A261" s="37"/>
      <c r="B261" s="78"/>
      <c r="C261" s="70"/>
      <c r="D261" s="37"/>
      <c r="E261" s="70"/>
      <c r="F261" s="70"/>
      <c r="G261" s="37"/>
      <c r="H261" s="70"/>
      <c r="I261" s="70"/>
      <c r="J261" s="37"/>
      <c r="K261" s="70"/>
      <c r="L261" s="70"/>
      <c r="M261" s="70"/>
      <c r="N261" s="70"/>
      <c r="O261" s="70"/>
    </row>
    <row r="262" spans="1:15" x14ac:dyDescent="0.25">
      <c r="A262" s="37"/>
      <c r="B262" s="78"/>
      <c r="C262" s="70"/>
      <c r="D262" s="37"/>
      <c r="E262" s="70"/>
      <c r="F262" s="70"/>
      <c r="G262" s="37"/>
      <c r="H262" s="70"/>
      <c r="I262" s="70"/>
      <c r="J262" s="37"/>
      <c r="K262" s="70"/>
      <c r="L262" s="70"/>
      <c r="M262" s="70"/>
      <c r="N262" s="70"/>
      <c r="O262" s="70"/>
    </row>
    <row r="263" spans="1:15" x14ac:dyDescent="0.25">
      <c r="A263" s="37"/>
      <c r="B263" s="78"/>
      <c r="C263" s="70"/>
      <c r="D263" s="37"/>
      <c r="E263" s="70"/>
      <c r="F263" s="70"/>
      <c r="G263" s="37"/>
      <c r="H263" s="70"/>
      <c r="I263" s="70"/>
      <c r="J263" s="37"/>
      <c r="K263" s="70"/>
      <c r="L263" s="70"/>
      <c r="M263" s="70"/>
      <c r="N263" s="70"/>
      <c r="O263" s="70"/>
    </row>
    <row r="264" spans="1:15" x14ac:dyDescent="0.25">
      <c r="A264" s="37"/>
      <c r="B264" s="78"/>
      <c r="C264" s="70"/>
      <c r="D264" s="37"/>
      <c r="E264" s="70"/>
      <c r="F264" s="70"/>
      <c r="G264" s="37"/>
      <c r="H264" s="70"/>
      <c r="I264" s="70"/>
      <c r="J264" s="37"/>
      <c r="K264" s="70"/>
      <c r="L264" s="70"/>
      <c r="M264" s="70"/>
      <c r="N264" s="70"/>
      <c r="O264" s="70"/>
    </row>
    <row r="265" spans="1:15" x14ac:dyDescent="0.25">
      <c r="A265" s="37"/>
      <c r="B265" s="78"/>
      <c r="C265" s="70"/>
      <c r="D265" s="37"/>
      <c r="E265" s="70"/>
      <c r="F265" s="70"/>
      <c r="G265" s="37"/>
      <c r="H265" s="70"/>
      <c r="I265" s="70"/>
      <c r="J265" s="37"/>
      <c r="K265" s="70"/>
      <c r="L265" s="70"/>
      <c r="M265" s="70"/>
      <c r="N265" s="70"/>
      <c r="O265" s="70"/>
    </row>
    <row r="266" spans="1:15" x14ac:dyDescent="0.25">
      <c r="A266" s="37"/>
      <c r="B266" s="78"/>
      <c r="C266" s="70"/>
      <c r="D266" s="37"/>
      <c r="E266" s="70"/>
      <c r="F266" s="70"/>
      <c r="G266" s="37"/>
      <c r="H266" s="70"/>
      <c r="I266" s="70"/>
      <c r="J266" s="37"/>
      <c r="K266" s="70"/>
      <c r="L266" s="70"/>
      <c r="M266" s="70"/>
      <c r="N266" s="70"/>
      <c r="O266" s="70"/>
    </row>
    <row r="267" spans="1:15" x14ac:dyDescent="0.25">
      <c r="A267" s="37"/>
      <c r="B267" s="78"/>
      <c r="C267" s="70"/>
      <c r="D267" s="37"/>
      <c r="E267" s="70"/>
      <c r="F267" s="70"/>
      <c r="G267" s="37"/>
      <c r="H267" s="70"/>
      <c r="I267" s="70"/>
      <c r="J267" s="37"/>
      <c r="K267" s="70"/>
      <c r="L267" s="70"/>
      <c r="M267" s="70"/>
      <c r="N267" s="70"/>
      <c r="O267" s="70"/>
    </row>
    <row r="268" spans="1:15" x14ac:dyDescent="0.25">
      <c r="A268" s="37"/>
      <c r="B268" s="78"/>
      <c r="C268" s="70"/>
      <c r="D268" s="37"/>
      <c r="E268" s="70"/>
      <c r="F268" s="70"/>
      <c r="G268" s="37"/>
      <c r="H268" s="70"/>
      <c r="I268" s="70"/>
      <c r="J268" s="37"/>
      <c r="K268" s="70"/>
      <c r="L268" s="70"/>
      <c r="M268" s="70"/>
      <c r="N268" s="70"/>
      <c r="O268" s="70"/>
    </row>
    <row r="269" spans="1:15" x14ac:dyDescent="0.25">
      <c r="A269" s="37"/>
      <c r="B269" s="78"/>
      <c r="C269" s="70"/>
      <c r="D269" s="37"/>
      <c r="E269" s="70"/>
      <c r="F269" s="70"/>
      <c r="G269" s="37"/>
      <c r="H269" s="70"/>
      <c r="I269" s="70"/>
      <c r="J269" s="37"/>
      <c r="K269" s="70"/>
      <c r="L269" s="70"/>
      <c r="M269" s="70"/>
      <c r="N269" s="70"/>
      <c r="O269" s="70"/>
    </row>
    <row r="270" spans="1:15" x14ac:dyDescent="0.25">
      <c r="A270" s="37"/>
      <c r="B270" s="78"/>
      <c r="C270" s="70"/>
      <c r="D270" s="37"/>
      <c r="E270" s="70"/>
      <c r="F270" s="70"/>
      <c r="G270" s="37"/>
      <c r="H270" s="70"/>
      <c r="I270" s="70"/>
      <c r="J270" s="37"/>
      <c r="K270" s="70"/>
      <c r="L270" s="70"/>
      <c r="M270" s="70"/>
      <c r="N270" s="70"/>
      <c r="O270" s="70"/>
    </row>
    <row r="271" spans="1:15" x14ac:dyDescent="0.25">
      <c r="A271" s="37"/>
      <c r="B271" s="78"/>
      <c r="C271" s="70"/>
      <c r="D271" s="37"/>
      <c r="E271" s="70"/>
      <c r="F271" s="70"/>
      <c r="G271" s="37"/>
      <c r="H271" s="70"/>
      <c r="I271" s="70"/>
      <c r="J271" s="37"/>
      <c r="K271" s="70"/>
      <c r="L271" s="70"/>
      <c r="M271" s="70"/>
      <c r="N271" s="70"/>
      <c r="O271" s="70"/>
    </row>
    <row r="272" spans="1:15" x14ac:dyDescent="0.25">
      <c r="A272" s="37"/>
      <c r="B272" s="78"/>
      <c r="C272" s="70"/>
      <c r="D272" s="37"/>
      <c r="E272" s="70"/>
      <c r="F272" s="70"/>
      <c r="G272" s="37"/>
      <c r="H272" s="70"/>
      <c r="I272" s="70"/>
      <c r="J272" s="37"/>
      <c r="K272" s="70"/>
      <c r="L272" s="70"/>
      <c r="M272" s="70"/>
      <c r="N272" s="70"/>
      <c r="O272" s="70"/>
    </row>
    <row r="273" spans="1:15" x14ac:dyDescent="0.25">
      <c r="A273" s="37"/>
      <c r="B273" s="78"/>
      <c r="C273" s="70"/>
      <c r="D273" s="37"/>
      <c r="E273" s="70"/>
      <c r="F273" s="70"/>
      <c r="G273" s="37"/>
      <c r="H273" s="70"/>
      <c r="I273" s="70"/>
      <c r="J273" s="37"/>
      <c r="K273" s="70"/>
      <c r="L273" s="70"/>
      <c r="M273" s="70"/>
      <c r="N273" s="70"/>
      <c r="O273" s="70"/>
    </row>
    <row r="274" spans="1:15" x14ac:dyDescent="0.25">
      <c r="A274" s="37"/>
      <c r="B274" s="78"/>
      <c r="C274" s="70"/>
      <c r="D274" s="37"/>
      <c r="E274" s="70"/>
      <c r="F274" s="70"/>
      <c r="G274" s="37"/>
      <c r="H274" s="70"/>
      <c r="I274" s="70"/>
      <c r="J274" s="37"/>
      <c r="K274" s="70"/>
      <c r="L274" s="70"/>
      <c r="M274" s="70"/>
      <c r="N274" s="70"/>
      <c r="O274" s="70"/>
    </row>
    <row r="275" spans="1:15" x14ac:dyDescent="0.25">
      <c r="A275" s="37"/>
      <c r="B275" s="78"/>
      <c r="C275" s="70"/>
      <c r="D275" s="37"/>
      <c r="E275" s="70"/>
      <c r="F275" s="70"/>
      <c r="G275" s="37"/>
      <c r="H275" s="70"/>
      <c r="I275" s="70"/>
      <c r="J275" s="37"/>
      <c r="K275" s="70"/>
      <c r="L275" s="70"/>
      <c r="M275" s="70"/>
      <c r="N275" s="70"/>
      <c r="O275" s="70"/>
    </row>
    <row r="276" spans="1:15" x14ac:dyDescent="0.25">
      <c r="A276" s="37"/>
      <c r="B276" s="78"/>
      <c r="C276" s="70"/>
      <c r="D276" s="37"/>
      <c r="E276" s="70"/>
      <c r="F276" s="70"/>
      <c r="G276" s="37"/>
      <c r="H276" s="70"/>
      <c r="I276" s="70"/>
      <c r="J276" s="37"/>
      <c r="K276" s="70"/>
      <c r="L276" s="70"/>
      <c r="M276" s="70"/>
      <c r="N276" s="70"/>
      <c r="O276" s="70"/>
    </row>
    <row r="277" spans="1:15" x14ac:dyDescent="0.25">
      <c r="A277" s="37"/>
      <c r="B277" s="78"/>
      <c r="C277" s="70"/>
      <c r="D277" s="37"/>
      <c r="E277" s="70"/>
      <c r="F277" s="70"/>
      <c r="G277" s="37"/>
      <c r="H277" s="70"/>
      <c r="I277" s="70"/>
      <c r="J277" s="37"/>
      <c r="K277" s="70"/>
      <c r="L277" s="70"/>
      <c r="M277" s="70"/>
      <c r="N277" s="70"/>
      <c r="O277" s="70"/>
    </row>
    <row r="278" spans="1:15" x14ac:dyDescent="0.25">
      <c r="A278" s="37"/>
      <c r="B278" s="78"/>
      <c r="C278" s="70"/>
      <c r="D278" s="37"/>
      <c r="E278" s="70"/>
      <c r="F278" s="70"/>
      <c r="G278" s="37"/>
      <c r="H278" s="70"/>
      <c r="I278" s="70"/>
      <c r="J278" s="37"/>
      <c r="K278" s="70"/>
      <c r="L278" s="70"/>
      <c r="M278" s="70"/>
      <c r="N278" s="70"/>
      <c r="O278" s="70"/>
    </row>
    <row r="279" spans="1:15" x14ac:dyDescent="0.25">
      <c r="A279" s="37"/>
      <c r="B279" s="78"/>
      <c r="C279" s="70"/>
      <c r="D279" s="37"/>
      <c r="E279" s="70"/>
      <c r="F279" s="70"/>
      <c r="G279" s="37"/>
      <c r="H279" s="70"/>
      <c r="I279" s="70"/>
      <c r="J279" s="37"/>
      <c r="K279" s="70"/>
      <c r="L279" s="70"/>
      <c r="M279" s="70"/>
      <c r="N279" s="70"/>
      <c r="O279" s="70"/>
    </row>
    <row r="280" spans="1:15" x14ac:dyDescent="0.25">
      <c r="A280" s="37"/>
      <c r="B280" s="78"/>
      <c r="C280" s="70"/>
      <c r="D280" s="37"/>
      <c r="E280" s="70"/>
      <c r="F280" s="70"/>
      <c r="G280" s="37"/>
      <c r="H280" s="70"/>
      <c r="I280" s="70"/>
      <c r="J280" s="37"/>
      <c r="K280" s="70"/>
      <c r="L280" s="70"/>
      <c r="M280" s="70"/>
      <c r="N280" s="70"/>
      <c r="O280" s="70"/>
    </row>
    <row r="281" spans="1:15" x14ac:dyDescent="0.25">
      <c r="A281" s="37"/>
      <c r="B281" s="78"/>
      <c r="C281" s="70"/>
      <c r="D281" s="37"/>
      <c r="E281" s="70"/>
      <c r="F281" s="70"/>
      <c r="G281" s="37"/>
      <c r="H281" s="70"/>
      <c r="I281" s="70"/>
      <c r="J281" s="37"/>
      <c r="K281" s="70"/>
      <c r="L281" s="70"/>
      <c r="M281" s="70"/>
      <c r="N281" s="70"/>
      <c r="O281" s="70"/>
    </row>
    <row r="282" spans="1:15" x14ac:dyDescent="0.25">
      <c r="A282" s="37"/>
      <c r="B282" s="78"/>
      <c r="C282" s="70"/>
      <c r="D282" s="37"/>
      <c r="E282" s="70"/>
      <c r="F282" s="70"/>
      <c r="G282" s="37"/>
      <c r="H282" s="70"/>
      <c r="I282" s="70"/>
      <c r="J282" s="37"/>
      <c r="K282" s="70"/>
      <c r="L282" s="70"/>
      <c r="M282" s="70"/>
      <c r="N282" s="70"/>
      <c r="O282" s="70"/>
    </row>
    <row r="283" spans="1:15" x14ac:dyDescent="0.25">
      <c r="A283" s="37"/>
      <c r="B283" s="78"/>
      <c r="C283" s="70"/>
      <c r="D283" s="37"/>
      <c r="E283" s="70"/>
      <c r="F283" s="70"/>
      <c r="G283" s="37"/>
      <c r="H283" s="70"/>
      <c r="I283" s="70"/>
      <c r="J283" s="37"/>
      <c r="K283" s="70"/>
      <c r="L283" s="70"/>
      <c r="M283" s="70"/>
      <c r="N283" s="70"/>
      <c r="O283" s="70"/>
    </row>
    <row r="284" spans="1:15" x14ac:dyDescent="0.25">
      <c r="A284" s="37"/>
      <c r="B284" s="78"/>
      <c r="C284" s="70"/>
      <c r="D284" s="37"/>
      <c r="E284" s="70"/>
      <c r="F284" s="70"/>
      <c r="G284" s="37"/>
      <c r="H284" s="70"/>
      <c r="I284" s="70"/>
      <c r="J284" s="37"/>
      <c r="K284" s="70"/>
      <c r="L284" s="70"/>
      <c r="M284" s="70"/>
      <c r="N284" s="70"/>
      <c r="O284" s="70"/>
    </row>
    <row r="285" spans="1:15" x14ac:dyDescent="0.25">
      <c r="A285" s="37"/>
      <c r="B285" s="78"/>
      <c r="C285" s="70"/>
      <c r="D285" s="37"/>
      <c r="E285" s="70"/>
      <c r="F285" s="70"/>
      <c r="G285" s="37"/>
      <c r="H285" s="70"/>
      <c r="I285" s="70"/>
      <c r="J285" s="37"/>
      <c r="K285" s="70"/>
      <c r="L285" s="70"/>
      <c r="M285" s="70"/>
      <c r="N285" s="70"/>
      <c r="O285" s="70"/>
    </row>
    <row r="286" spans="1:15" x14ac:dyDescent="0.25">
      <c r="A286" s="37"/>
      <c r="B286" s="78"/>
      <c r="C286" s="70"/>
      <c r="D286" s="37"/>
      <c r="E286" s="70"/>
      <c r="F286" s="70"/>
      <c r="G286" s="37"/>
      <c r="H286" s="70"/>
      <c r="I286" s="70"/>
      <c r="J286" s="37"/>
      <c r="K286" s="70"/>
      <c r="L286" s="70"/>
      <c r="M286" s="70"/>
      <c r="N286" s="70"/>
      <c r="O286" s="70"/>
    </row>
    <row r="287" spans="1:15" x14ac:dyDescent="0.25">
      <c r="A287" s="37"/>
      <c r="B287" s="78"/>
      <c r="C287" s="70"/>
      <c r="D287" s="37"/>
      <c r="E287" s="70"/>
      <c r="F287" s="70"/>
      <c r="G287" s="37"/>
      <c r="H287" s="70"/>
      <c r="I287" s="70"/>
      <c r="J287" s="37"/>
      <c r="K287" s="70"/>
      <c r="L287" s="70"/>
      <c r="M287" s="70"/>
      <c r="N287" s="70"/>
      <c r="O287" s="70"/>
    </row>
    <row r="288" spans="1:15" x14ac:dyDescent="0.25">
      <c r="A288" s="37"/>
      <c r="B288" s="78"/>
      <c r="C288" s="70"/>
      <c r="D288" s="37"/>
      <c r="E288" s="70"/>
      <c r="F288" s="70"/>
      <c r="G288" s="37"/>
      <c r="H288" s="70"/>
      <c r="I288" s="70"/>
      <c r="J288" s="37"/>
      <c r="K288" s="70"/>
      <c r="L288" s="70"/>
      <c r="M288" s="70"/>
      <c r="N288" s="70"/>
      <c r="O288" s="70"/>
    </row>
    <row r="289" spans="1:15" x14ac:dyDescent="0.25">
      <c r="A289" s="37"/>
      <c r="B289" s="78"/>
      <c r="C289" s="70"/>
      <c r="D289" s="37"/>
      <c r="E289" s="70"/>
      <c r="F289" s="70"/>
      <c r="G289" s="37"/>
      <c r="H289" s="70"/>
      <c r="I289" s="70"/>
      <c r="J289" s="37"/>
      <c r="K289" s="70"/>
      <c r="L289" s="70"/>
      <c r="M289" s="70"/>
      <c r="N289" s="70"/>
      <c r="O289" s="70"/>
    </row>
    <row r="290" spans="1:15" x14ac:dyDescent="0.25">
      <c r="A290" s="37"/>
      <c r="B290" s="78"/>
      <c r="C290" s="70"/>
      <c r="D290" s="37"/>
      <c r="E290" s="70"/>
      <c r="F290" s="70"/>
      <c r="G290" s="37"/>
      <c r="H290" s="70"/>
      <c r="I290" s="70"/>
      <c r="J290" s="37"/>
      <c r="K290" s="70"/>
      <c r="L290" s="70"/>
      <c r="M290" s="70"/>
      <c r="N290" s="70"/>
      <c r="O290" s="70"/>
    </row>
    <row r="291" spans="1:15" x14ac:dyDescent="0.25">
      <c r="A291" s="37"/>
      <c r="B291" s="78"/>
      <c r="C291" s="70"/>
      <c r="D291" s="37"/>
      <c r="E291" s="70"/>
      <c r="F291" s="70"/>
      <c r="G291" s="37"/>
      <c r="H291" s="70"/>
      <c r="I291" s="70"/>
      <c r="J291" s="37"/>
      <c r="K291" s="70"/>
      <c r="L291" s="70"/>
      <c r="M291" s="70"/>
      <c r="N291" s="70"/>
      <c r="O291" s="70"/>
    </row>
    <row r="292" spans="1:15" x14ac:dyDescent="0.25">
      <c r="A292" s="37"/>
      <c r="B292" s="78"/>
      <c r="C292" s="70"/>
      <c r="D292" s="37"/>
      <c r="E292" s="70"/>
      <c r="F292" s="70"/>
      <c r="G292" s="37"/>
      <c r="H292" s="70"/>
      <c r="I292" s="70"/>
      <c r="J292" s="37"/>
      <c r="K292" s="70"/>
      <c r="L292" s="70"/>
      <c r="M292" s="70"/>
      <c r="N292" s="70"/>
      <c r="O292" s="70"/>
    </row>
    <row r="293" spans="1:15" x14ac:dyDescent="0.25">
      <c r="A293" s="37"/>
      <c r="B293" s="78"/>
      <c r="C293" s="70"/>
      <c r="D293" s="37"/>
      <c r="E293" s="70"/>
      <c r="F293" s="70"/>
      <c r="G293" s="37"/>
      <c r="H293" s="70"/>
      <c r="I293" s="70"/>
      <c r="J293" s="37"/>
      <c r="K293" s="70"/>
      <c r="L293" s="70"/>
      <c r="M293" s="70"/>
      <c r="N293" s="70"/>
      <c r="O293" s="70"/>
    </row>
    <row r="294" spans="1:15" x14ac:dyDescent="0.25">
      <c r="A294" s="37"/>
      <c r="B294" s="78"/>
      <c r="C294" s="70"/>
      <c r="D294" s="37"/>
      <c r="E294" s="70"/>
      <c r="F294" s="70"/>
      <c r="G294" s="37"/>
      <c r="H294" s="70"/>
      <c r="I294" s="70"/>
      <c r="J294" s="37"/>
      <c r="K294" s="70"/>
      <c r="L294" s="70"/>
      <c r="M294" s="70"/>
      <c r="N294" s="70"/>
      <c r="O294" s="70"/>
    </row>
    <row r="295" spans="1:15" x14ac:dyDescent="0.25">
      <c r="A295" s="37"/>
      <c r="B295" s="78"/>
      <c r="C295" s="70"/>
      <c r="D295" s="37"/>
      <c r="E295" s="70"/>
      <c r="F295" s="70"/>
      <c r="G295" s="37"/>
      <c r="H295" s="70"/>
      <c r="I295" s="70"/>
      <c r="J295" s="37"/>
      <c r="K295" s="70"/>
      <c r="L295" s="70"/>
      <c r="M295" s="70"/>
      <c r="N295" s="70"/>
      <c r="O295" s="70"/>
    </row>
    <row r="296" spans="1:15" x14ac:dyDescent="0.25">
      <c r="A296" s="37"/>
      <c r="B296" s="78"/>
      <c r="C296" s="70"/>
      <c r="D296" s="37"/>
      <c r="E296" s="70"/>
      <c r="F296" s="70"/>
      <c r="G296" s="37"/>
      <c r="H296" s="70"/>
      <c r="I296" s="70"/>
      <c r="J296" s="37"/>
      <c r="K296" s="70"/>
      <c r="L296" s="70"/>
      <c r="M296" s="70"/>
      <c r="N296" s="70"/>
      <c r="O296" s="70"/>
    </row>
    <row r="297" spans="1:15" x14ac:dyDescent="0.25">
      <c r="A297" s="37"/>
      <c r="B297" s="78"/>
      <c r="C297" s="70"/>
      <c r="D297" s="37"/>
      <c r="E297" s="70"/>
      <c r="F297" s="70"/>
      <c r="G297" s="37"/>
      <c r="H297" s="70"/>
      <c r="I297" s="70"/>
      <c r="J297" s="37"/>
      <c r="K297" s="70"/>
      <c r="L297" s="70"/>
      <c r="M297" s="70"/>
      <c r="N297" s="70"/>
      <c r="O297" s="70"/>
    </row>
    <row r="298" spans="1:15" x14ac:dyDescent="0.25">
      <c r="A298" s="37"/>
      <c r="B298" s="78"/>
      <c r="C298" s="70"/>
      <c r="D298" s="37"/>
      <c r="E298" s="70"/>
      <c r="F298" s="70"/>
      <c r="G298" s="37"/>
      <c r="H298" s="70"/>
      <c r="I298" s="70"/>
      <c r="J298" s="37"/>
      <c r="K298" s="70"/>
      <c r="L298" s="70"/>
      <c r="M298" s="70"/>
      <c r="N298" s="70"/>
      <c r="O298" s="70"/>
    </row>
    <row r="299" spans="1:15" x14ac:dyDescent="0.25">
      <c r="A299" s="37"/>
      <c r="B299" s="78"/>
      <c r="C299" s="70"/>
      <c r="D299" s="37"/>
      <c r="E299" s="70"/>
      <c r="F299" s="70"/>
      <c r="G299" s="37"/>
      <c r="H299" s="70"/>
      <c r="I299" s="70"/>
      <c r="J299" s="37"/>
      <c r="K299" s="70"/>
      <c r="L299" s="70"/>
      <c r="M299" s="70"/>
      <c r="N299" s="70"/>
      <c r="O299" s="70"/>
    </row>
    <row r="300" spans="1:15" x14ac:dyDescent="0.25">
      <c r="A300" s="37"/>
      <c r="B300" s="78"/>
      <c r="C300" s="70"/>
      <c r="D300" s="37"/>
      <c r="E300" s="70"/>
      <c r="F300" s="70"/>
      <c r="G300" s="37"/>
      <c r="H300" s="70"/>
      <c r="I300" s="70"/>
      <c r="J300" s="37"/>
      <c r="K300" s="70"/>
      <c r="L300" s="70"/>
      <c r="M300" s="70"/>
      <c r="N300" s="70"/>
      <c r="O300" s="70"/>
    </row>
    <row r="301" spans="1:15" x14ac:dyDescent="0.25">
      <c r="A301" s="37"/>
      <c r="B301" s="78"/>
      <c r="C301" s="70"/>
      <c r="D301" s="37"/>
      <c r="E301" s="70"/>
      <c r="F301" s="70"/>
      <c r="G301" s="37"/>
      <c r="H301" s="70"/>
      <c r="I301" s="70"/>
      <c r="J301" s="37"/>
      <c r="K301" s="70"/>
      <c r="L301" s="70"/>
      <c r="M301" s="70"/>
      <c r="N301" s="70"/>
      <c r="O301" s="70"/>
    </row>
    <row r="302" spans="1:15" x14ac:dyDescent="0.25">
      <c r="A302" s="37"/>
      <c r="B302" s="78"/>
      <c r="C302" s="70"/>
      <c r="D302" s="37"/>
      <c r="E302" s="70"/>
      <c r="F302" s="70"/>
      <c r="G302" s="37"/>
      <c r="H302" s="70"/>
      <c r="I302" s="70"/>
      <c r="J302" s="37"/>
      <c r="K302" s="70"/>
      <c r="L302" s="70"/>
      <c r="M302" s="70"/>
      <c r="N302" s="70"/>
      <c r="O302" s="70"/>
    </row>
    <row r="303" spans="1:15" x14ac:dyDescent="0.25">
      <c r="A303" s="37"/>
      <c r="B303" s="78"/>
      <c r="C303" s="70"/>
      <c r="D303" s="37"/>
      <c r="E303" s="70"/>
      <c r="F303" s="70"/>
      <c r="G303" s="37"/>
      <c r="H303" s="70"/>
      <c r="I303" s="70"/>
      <c r="J303" s="37"/>
      <c r="K303" s="70"/>
      <c r="L303" s="70"/>
      <c r="M303" s="70"/>
      <c r="N303" s="70"/>
      <c r="O303" s="70"/>
    </row>
    <row r="304" spans="1:15" x14ac:dyDescent="0.25">
      <c r="A304" s="37"/>
      <c r="B304" s="78"/>
      <c r="C304" s="70"/>
      <c r="D304" s="37"/>
      <c r="E304" s="70"/>
      <c r="F304" s="70"/>
      <c r="G304" s="37"/>
      <c r="H304" s="70"/>
      <c r="I304" s="70"/>
      <c r="J304" s="37"/>
      <c r="K304" s="70"/>
      <c r="L304" s="70"/>
      <c r="M304" s="70"/>
      <c r="N304" s="70"/>
      <c r="O304" s="70"/>
    </row>
    <row r="305" spans="1:15" x14ac:dyDescent="0.25">
      <c r="A305" s="37"/>
      <c r="B305" s="78"/>
      <c r="C305" s="70"/>
      <c r="D305" s="37"/>
      <c r="E305" s="70"/>
      <c r="F305" s="70"/>
      <c r="G305" s="37"/>
      <c r="H305" s="70"/>
      <c r="I305" s="70"/>
      <c r="J305" s="37"/>
      <c r="K305" s="70"/>
      <c r="L305" s="70"/>
      <c r="M305" s="70"/>
      <c r="N305" s="70"/>
      <c r="O305" s="70"/>
    </row>
    <row r="306" spans="1:15" x14ac:dyDescent="0.25">
      <c r="A306" s="37"/>
      <c r="B306" s="78"/>
      <c r="C306" s="70"/>
      <c r="D306" s="37"/>
      <c r="E306" s="70"/>
      <c r="F306" s="70"/>
      <c r="G306" s="37"/>
      <c r="H306" s="70"/>
      <c r="I306" s="70"/>
      <c r="J306" s="37"/>
      <c r="K306" s="70"/>
      <c r="L306" s="70"/>
      <c r="M306" s="70"/>
      <c r="N306" s="70"/>
      <c r="O306" s="70"/>
    </row>
    <row r="307" spans="1:15" x14ac:dyDescent="0.25">
      <c r="A307" s="37"/>
      <c r="B307" s="78"/>
      <c r="C307" s="70"/>
      <c r="D307" s="37"/>
      <c r="E307" s="70"/>
      <c r="F307" s="70"/>
      <c r="G307" s="37"/>
      <c r="H307" s="70"/>
      <c r="I307" s="70"/>
      <c r="J307" s="37"/>
      <c r="K307" s="70"/>
      <c r="L307" s="70"/>
      <c r="M307" s="70"/>
      <c r="N307" s="70"/>
      <c r="O307" s="70"/>
    </row>
    <row r="308" spans="1:15" x14ac:dyDescent="0.25">
      <c r="A308" s="37"/>
      <c r="B308" s="78"/>
      <c r="C308" s="70"/>
      <c r="D308" s="37"/>
      <c r="E308" s="70"/>
      <c r="F308" s="70"/>
      <c r="G308" s="37"/>
      <c r="H308" s="70"/>
      <c r="I308" s="70"/>
      <c r="J308" s="37"/>
      <c r="K308" s="70"/>
      <c r="L308" s="70"/>
      <c r="M308" s="70"/>
      <c r="N308" s="70"/>
      <c r="O308" s="70"/>
    </row>
    <row r="309" spans="1:15" x14ac:dyDescent="0.25">
      <c r="A309" s="37"/>
      <c r="B309" s="78"/>
      <c r="C309" s="70"/>
      <c r="D309" s="37"/>
      <c r="E309" s="70"/>
      <c r="F309" s="70"/>
      <c r="G309" s="37"/>
      <c r="H309" s="70"/>
      <c r="I309" s="70"/>
      <c r="J309" s="37"/>
      <c r="K309" s="70"/>
      <c r="L309" s="70"/>
      <c r="M309" s="70"/>
      <c r="N309" s="70"/>
      <c r="O309" s="70"/>
    </row>
    <row r="310" spans="1:15" x14ac:dyDescent="0.25">
      <c r="A310" s="37"/>
      <c r="B310" s="78"/>
      <c r="C310" s="70"/>
      <c r="D310" s="37"/>
      <c r="E310" s="70"/>
      <c r="F310" s="70"/>
      <c r="G310" s="37"/>
      <c r="H310" s="70"/>
      <c r="I310" s="70"/>
      <c r="J310" s="37"/>
      <c r="K310" s="70"/>
      <c r="L310" s="70"/>
      <c r="M310" s="70"/>
      <c r="N310" s="70"/>
      <c r="O310" s="70"/>
    </row>
    <row r="311" spans="1:15" x14ac:dyDescent="0.25">
      <c r="A311" s="37"/>
      <c r="B311" s="78"/>
      <c r="C311" s="70"/>
      <c r="D311" s="37"/>
      <c r="E311" s="70"/>
      <c r="F311" s="70"/>
      <c r="G311" s="37"/>
      <c r="H311" s="70"/>
      <c r="I311" s="70"/>
      <c r="J311" s="37"/>
      <c r="K311" s="70"/>
      <c r="L311" s="70"/>
      <c r="M311" s="70"/>
      <c r="N311" s="70"/>
      <c r="O311" s="70"/>
    </row>
    <row r="312" spans="1:15" x14ac:dyDescent="0.25">
      <c r="A312" s="37"/>
      <c r="B312" s="78"/>
      <c r="C312" s="70"/>
      <c r="D312" s="37"/>
      <c r="E312" s="70"/>
      <c r="F312" s="70"/>
      <c r="G312" s="37"/>
      <c r="H312" s="70"/>
      <c r="I312" s="70"/>
      <c r="J312" s="37"/>
      <c r="K312" s="70"/>
      <c r="L312" s="70"/>
      <c r="M312" s="70"/>
      <c r="N312" s="70"/>
      <c r="O312" s="70"/>
    </row>
    <row r="313" spans="1:15" x14ac:dyDescent="0.25">
      <c r="A313" s="37"/>
      <c r="B313" s="78"/>
      <c r="C313" s="70"/>
      <c r="D313" s="37"/>
      <c r="E313" s="70"/>
      <c r="F313" s="70"/>
      <c r="G313" s="37"/>
      <c r="H313" s="70"/>
      <c r="I313" s="70"/>
      <c r="J313" s="37"/>
      <c r="K313" s="70"/>
      <c r="L313" s="70"/>
      <c r="M313" s="70"/>
      <c r="N313" s="70"/>
      <c r="O313" s="70"/>
    </row>
    <row r="314" spans="1:15" x14ac:dyDescent="0.25">
      <c r="A314" s="37"/>
      <c r="B314" s="78"/>
      <c r="C314" s="70"/>
      <c r="D314" s="37"/>
      <c r="E314" s="70"/>
      <c r="F314" s="70"/>
      <c r="G314" s="37"/>
      <c r="H314" s="70"/>
      <c r="I314" s="70"/>
      <c r="J314" s="37"/>
      <c r="K314" s="70"/>
      <c r="L314" s="70"/>
      <c r="M314" s="70"/>
      <c r="N314" s="70"/>
      <c r="O314" s="70"/>
    </row>
    <row r="315" spans="1:15" x14ac:dyDescent="0.25">
      <c r="A315" s="37"/>
      <c r="B315" s="78"/>
      <c r="C315" s="70"/>
      <c r="D315" s="37"/>
      <c r="E315" s="70"/>
      <c r="F315" s="70"/>
      <c r="G315" s="37"/>
      <c r="H315" s="70"/>
      <c r="I315" s="70"/>
      <c r="J315" s="37"/>
      <c r="K315" s="70"/>
      <c r="L315" s="70"/>
      <c r="M315" s="70"/>
      <c r="N315" s="70"/>
      <c r="O315" s="70"/>
    </row>
    <row r="316" spans="1:15" x14ac:dyDescent="0.25">
      <c r="A316" s="37"/>
      <c r="B316" s="78"/>
      <c r="C316" s="70"/>
      <c r="D316" s="37"/>
      <c r="E316" s="70"/>
      <c r="F316" s="70"/>
      <c r="G316" s="37"/>
      <c r="H316" s="70"/>
      <c r="I316" s="70"/>
      <c r="J316" s="37"/>
      <c r="K316" s="70"/>
      <c r="L316" s="70"/>
      <c r="M316" s="70"/>
      <c r="N316" s="70"/>
      <c r="O316" s="70"/>
    </row>
    <row r="317" spans="1:15" x14ac:dyDescent="0.25">
      <c r="A317" s="37"/>
      <c r="B317" s="78"/>
      <c r="C317" s="70"/>
      <c r="D317" s="37"/>
      <c r="E317" s="70"/>
      <c r="F317" s="70"/>
      <c r="G317" s="37"/>
      <c r="H317" s="70"/>
      <c r="I317" s="70"/>
      <c r="J317" s="37"/>
      <c r="K317" s="70"/>
      <c r="L317" s="70"/>
      <c r="M317" s="70"/>
      <c r="N317" s="70"/>
      <c r="O317" s="70"/>
    </row>
    <row r="318" spans="1:15" x14ac:dyDescent="0.25">
      <c r="A318" s="37"/>
      <c r="B318" s="78"/>
      <c r="C318" s="70"/>
      <c r="D318" s="37"/>
      <c r="E318" s="70"/>
      <c r="F318" s="70"/>
      <c r="G318" s="37"/>
      <c r="H318" s="70"/>
      <c r="I318" s="70"/>
      <c r="J318" s="37"/>
      <c r="K318" s="70"/>
      <c r="L318" s="70"/>
      <c r="M318" s="70"/>
      <c r="N318" s="70"/>
      <c r="O318" s="70"/>
    </row>
    <row r="319" spans="1:15" x14ac:dyDescent="0.25">
      <c r="A319" s="37"/>
      <c r="B319" s="78"/>
      <c r="C319" s="70"/>
      <c r="D319" s="37"/>
      <c r="E319" s="70"/>
      <c r="F319" s="70"/>
      <c r="G319" s="37"/>
      <c r="H319" s="70"/>
      <c r="I319" s="70"/>
      <c r="J319" s="37"/>
      <c r="K319" s="70"/>
      <c r="L319" s="70"/>
      <c r="M319" s="70"/>
      <c r="N319" s="70"/>
      <c r="O319" s="70"/>
    </row>
    <row r="320" spans="1:15" x14ac:dyDescent="0.25">
      <c r="A320" s="37"/>
      <c r="B320" s="78"/>
      <c r="C320" s="70"/>
      <c r="D320" s="37"/>
      <c r="E320" s="70"/>
      <c r="F320" s="70"/>
      <c r="G320" s="37"/>
      <c r="H320" s="70"/>
      <c r="I320" s="70"/>
      <c r="J320" s="37"/>
      <c r="K320" s="70"/>
      <c r="L320" s="70"/>
      <c r="M320" s="70"/>
      <c r="N320" s="70"/>
      <c r="O320" s="70"/>
    </row>
    <row r="321" spans="1:15" x14ac:dyDescent="0.25">
      <c r="A321" s="37"/>
      <c r="B321" s="78"/>
      <c r="C321" s="70"/>
      <c r="D321" s="37"/>
      <c r="E321" s="70"/>
      <c r="F321" s="70"/>
      <c r="G321" s="37"/>
      <c r="H321" s="70"/>
      <c r="I321" s="70"/>
      <c r="J321" s="37"/>
      <c r="K321" s="70"/>
      <c r="L321" s="70"/>
      <c r="M321" s="70"/>
      <c r="N321" s="70"/>
      <c r="O321" s="70"/>
    </row>
    <row r="322" spans="1:15" x14ac:dyDescent="0.25">
      <c r="A322" s="37"/>
      <c r="B322" s="78"/>
      <c r="C322" s="70"/>
      <c r="D322" s="37"/>
      <c r="E322" s="70"/>
      <c r="F322" s="70"/>
      <c r="G322" s="37"/>
      <c r="H322" s="70"/>
      <c r="I322" s="70"/>
      <c r="J322" s="37"/>
      <c r="K322" s="70"/>
      <c r="L322" s="70"/>
      <c r="M322" s="70"/>
      <c r="N322" s="70"/>
      <c r="O322" s="70"/>
    </row>
    <row r="323" spans="1:15" x14ac:dyDescent="0.25">
      <c r="A323" s="37"/>
      <c r="B323" s="78"/>
      <c r="C323" s="70"/>
      <c r="D323" s="37"/>
      <c r="E323" s="70"/>
      <c r="F323" s="70"/>
      <c r="G323" s="37"/>
      <c r="H323" s="70"/>
      <c r="I323" s="70"/>
      <c r="J323" s="37"/>
      <c r="K323" s="70"/>
      <c r="L323" s="70"/>
      <c r="M323" s="70"/>
      <c r="N323" s="70"/>
      <c r="O323" s="70"/>
    </row>
    <row r="324" spans="1:15" x14ac:dyDescent="0.25">
      <c r="A324" s="37"/>
      <c r="B324" s="78"/>
      <c r="C324" s="70"/>
      <c r="D324" s="37"/>
      <c r="E324" s="70"/>
      <c r="F324" s="70"/>
      <c r="G324" s="37"/>
      <c r="H324" s="70"/>
      <c r="I324" s="70"/>
      <c r="J324" s="37"/>
      <c r="K324" s="70"/>
      <c r="L324" s="70"/>
      <c r="M324" s="70"/>
      <c r="N324" s="70"/>
      <c r="O324" s="70"/>
    </row>
    <row r="325" spans="1:15" x14ac:dyDescent="0.25">
      <c r="A325" s="37"/>
      <c r="B325" s="78"/>
      <c r="C325" s="70"/>
      <c r="D325" s="37"/>
      <c r="E325" s="70"/>
      <c r="F325" s="70"/>
      <c r="G325" s="37"/>
      <c r="H325" s="70"/>
      <c r="I325" s="70"/>
      <c r="J325" s="37"/>
      <c r="K325" s="70"/>
      <c r="L325" s="70"/>
      <c r="M325" s="70"/>
      <c r="N325" s="70"/>
      <c r="O325" s="70"/>
    </row>
    <row r="326" spans="1:15" x14ac:dyDescent="0.25">
      <c r="A326" s="37"/>
      <c r="B326" s="78"/>
      <c r="C326" s="70"/>
      <c r="D326" s="37"/>
      <c r="E326" s="70"/>
      <c r="F326" s="70"/>
      <c r="G326" s="37"/>
      <c r="H326" s="70"/>
      <c r="I326" s="70"/>
      <c r="J326" s="37"/>
      <c r="K326" s="70"/>
      <c r="L326" s="70"/>
      <c r="M326" s="70"/>
      <c r="N326" s="70"/>
      <c r="O326" s="70"/>
    </row>
    <row r="327" spans="1:15" x14ac:dyDescent="0.25">
      <c r="A327" s="37"/>
      <c r="B327" s="78"/>
      <c r="C327" s="70"/>
      <c r="D327" s="37"/>
      <c r="E327" s="70"/>
      <c r="F327" s="70"/>
      <c r="G327" s="37"/>
      <c r="H327" s="70"/>
      <c r="I327" s="70"/>
      <c r="J327" s="37"/>
      <c r="K327" s="70"/>
      <c r="L327" s="70"/>
      <c r="M327" s="70"/>
      <c r="N327" s="70"/>
      <c r="O327" s="70"/>
    </row>
    <row r="328" spans="1:15" x14ac:dyDescent="0.25">
      <c r="A328" s="37"/>
      <c r="B328" s="78"/>
      <c r="C328" s="70"/>
      <c r="D328" s="37"/>
      <c r="E328" s="70"/>
      <c r="F328" s="70"/>
      <c r="G328" s="37"/>
      <c r="H328" s="70"/>
      <c r="I328" s="70"/>
      <c r="J328" s="37"/>
      <c r="K328" s="70"/>
      <c r="L328" s="70"/>
      <c r="M328" s="70"/>
      <c r="N328" s="70"/>
      <c r="O328" s="70"/>
    </row>
    <row r="329" spans="1:15" x14ac:dyDescent="0.25">
      <c r="A329" s="37"/>
      <c r="B329" s="78"/>
      <c r="C329" s="70"/>
      <c r="D329" s="37"/>
      <c r="E329" s="70"/>
      <c r="F329" s="70"/>
      <c r="G329" s="37"/>
      <c r="H329" s="70"/>
      <c r="I329" s="70"/>
      <c r="J329" s="37"/>
      <c r="K329" s="70"/>
      <c r="L329" s="70"/>
      <c r="M329" s="70"/>
      <c r="N329" s="70"/>
      <c r="O329" s="70"/>
    </row>
    <row r="330" spans="1:15" x14ac:dyDescent="0.25">
      <c r="A330" s="37"/>
      <c r="B330" s="78"/>
      <c r="C330" s="70"/>
      <c r="D330" s="37"/>
      <c r="E330" s="70"/>
      <c r="F330" s="70"/>
      <c r="G330" s="37"/>
      <c r="H330" s="70"/>
      <c r="I330" s="70"/>
      <c r="J330" s="37"/>
      <c r="K330" s="70"/>
      <c r="L330" s="70"/>
      <c r="M330" s="70"/>
      <c r="N330" s="70"/>
      <c r="O330" s="70"/>
    </row>
    <row r="331" spans="1:15" x14ac:dyDescent="0.25">
      <c r="A331" s="37"/>
      <c r="B331" s="78"/>
      <c r="C331" s="70"/>
      <c r="D331" s="37"/>
      <c r="E331" s="70"/>
      <c r="F331" s="70"/>
      <c r="G331" s="37"/>
      <c r="H331" s="70"/>
      <c r="I331" s="70"/>
      <c r="J331" s="37"/>
      <c r="K331" s="70"/>
      <c r="L331" s="70"/>
      <c r="M331" s="70"/>
      <c r="N331" s="70"/>
      <c r="O331" s="70"/>
    </row>
    <row r="332" spans="1:15" x14ac:dyDescent="0.25">
      <c r="A332" s="37"/>
      <c r="B332" s="78"/>
      <c r="C332" s="70"/>
      <c r="D332" s="37"/>
      <c r="E332" s="70"/>
      <c r="F332" s="70"/>
      <c r="G332" s="37"/>
      <c r="H332" s="70"/>
      <c r="I332" s="70"/>
      <c r="J332" s="37"/>
      <c r="K332" s="70"/>
      <c r="L332" s="70"/>
      <c r="M332" s="70"/>
      <c r="N332" s="70"/>
      <c r="O332" s="70"/>
    </row>
    <row r="333" spans="1:15" x14ac:dyDescent="0.25">
      <c r="A333" s="37"/>
      <c r="B333" s="78"/>
      <c r="C333" s="70"/>
      <c r="D333" s="37"/>
      <c r="E333" s="70"/>
      <c r="F333" s="70"/>
      <c r="G333" s="37"/>
      <c r="H333" s="70"/>
      <c r="I333" s="70"/>
      <c r="J333" s="37"/>
      <c r="K333" s="70"/>
      <c r="L333" s="70"/>
      <c r="M333" s="70"/>
      <c r="N333" s="70"/>
      <c r="O333" s="70"/>
    </row>
    <row r="334" spans="1:15" x14ac:dyDescent="0.25">
      <c r="A334" s="37"/>
      <c r="B334" s="78"/>
      <c r="C334" s="70"/>
      <c r="D334" s="37"/>
      <c r="E334" s="70"/>
      <c r="F334" s="70"/>
      <c r="G334" s="37"/>
      <c r="H334" s="70"/>
      <c r="I334" s="70"/>
      <c r="J334" s="37"/>
      <c r="K334" s="70"/>
      <c r="L334" s="70"/>
      <c r="M334" s="70"/>
      <c r="N334" s="70"/>
      <c r="O334" s="70"/>
    </row>
    <row r="335" spans="1:15" x14ac:dyDescent="0.25">
      <c r="A335" s="37"/>
      <c r="B335" s="78"/>
      <c r="C335" s="70"/>
      <c r="D335" s="37"/>
      <c r="E335" s="70"/>
      <c r="F335" s="70"/>
      <c r="G335" s="37"/>
      <c r="H335" s="70"/>
      <c r="I335" s="70"/>
      <c r="J335" s="37"/>
      <c r="K335" s="70"/>
      <c r="L335" s="70"/>
      <c r="M335" s="70"/>
      <c r="N335" s="70"/>
      <c r="O335" s="70"/>
    </row>
    <row r="336" spans="1:15" x14ac:dyDescent="0.25">
      <c r="A336" s="37"/>
      <c r="B336" s="78"/>
      <c r="C336" s="70"/>
      <c r="D336" s="37"/>
      <c r="E336" s="70"/>
      <c r="F336" s="70"/>
      <c r="G336" s="37"/>
      <c r="H336" s="70"/>
      <c r="I336" s="70"/>
      <c r="J336" s="37"/>
      <c r="K336" s="70"/>
      <c r="L336" s="70"/>
      <c r="M336" s="70"/>
      <c r="N336" s="70"/>
      <c r="O336" s="70"/>
    </row>
    <row r="337" spans="1:15" x14ac:dyDescent="0.25">
      <c r="A337" s="37"/>
      <c r="B337" s="78"/>
      <c r="C337" s="70"/>
      <c r="D337" s="37"/>
      <c r="E337" s="70"/>
      <c r="F337" s="70"/>
      <c r="G337" s="37"/>
      <c r="H337" s="70"/>
      <c r="I337" s="70"/>
      <c r="J337" s="37"/>
      <c r="K337" s="70"/>
      <c r="L337" s="70"/>
      <c r="M337" s="70"/>
      <c r="N337" s="70"/>
      <c r="O337" s="70"/>
    </row>
    <row r="338" spans="1:15" x14ac:dyDescent="0.25">
      <c r="A338" s="37"/>
      <c r="B338" s="78"/>
      <c r="C338" s="70"/>
      <c r="D338" s="37"/>
      <c r="E338" s="70"/>
      <c r="F338" s="70"/>
      <c r="G338" s="37"/>
      <c r="H338" s="70"/>
      <c r="I338" s="70"/>
      <c r="J338" s="37"/>
      <c r="K338" s="70"/>
      <c r="L338" s="70"/>
      <c r="M338" s="70"/>
      <c r="N338" s="70"/>
      <c r="O338" s="70"/>
    </row>
    <row r="339" spans="1:15" x14ac:dyDescent="0.25">
      <c r="A339" s="37"/>
      <c r="B339" s="78"/>
      <c r="C339" s="70"/>
      <c r="D339" s="37"/>
      <c r="E339" s="70"/>
      <c r="F339" s="70"/>
      <c r="G339" s="37"/>
      <c r="H339" s="70"/>
      <c r="I339" s="70"/>
      <c r="J339" s="37"/>
      <c r="K339" s="70"/>
      <c r="L339" s="70"/>
      <c r="M339" s="70"/>
      <c r="N339" s="70"/>
      <c r="O339" s="70"/>
    </row>
    <row r="340" spans="1:15" x14ac:dyDescent="0.25">
      <c r="A340" s="37"/>
      <c r="B340" s="78"/>
      <c r="C340" s="70"/>
      <c r="D340" s="37"/>
      <c r="E340" s="70"/>
      <c r="F340" s="70"/>
      <c r="G340" s="37"/>
      <c r="H340" s="70"/>
      <c r="I340" s="70"/>
      <c r="J340" s="37"/>
      <c r="K340" s="70"/>
      <c r="L340" s="70"/>
      <c r="M340" s="70"/>
      <c r="N340" s="70"/>
      <c r="O340" s="70"/>
    </row>
    <row r="341" spans="1:15" x14ac:dyDescent="0.25">
      <c r="A341" s="37"/>
      <c r="B341" s="78"/>
      <c r="C341" s="70"/>
      <c r="D341" s="37"/>
      <c r="E341" s="70"/>
      <c r="F341" s="70"/>
      <c r="G341" s="37"/>
      <c r="H341" s="70"/>
      <c r="I341" s="70"/>
      <c r="J341" s="37"/>
      <c r="K341" s="70"/>
      <c r="L341" s="70"/>
      <c r="M341" s="70"/>
      <c r="N341" s="70"/>
      <c r="O341" s="70"/>
    </row>
    <row r="342" spans="1:15" x14ac:dyDescent="0.25">
      <c r="A342" s="37"/>
      <c r="B342" s="78"/>
      <c r="C342" s="70"/>
      <c r="D342" s="37"/>
      <c r="E342" s="70"/>
      <c r="F342" s="70"/>
      <c r="G342" s="37"/>
      <c r="H342" s="70"/>
      <c r="I342" s="70"/>
      <c r="J342" s="37"/>
      <c r="K342" s="70"/>
      <c r="L342" s="70"/>
      <c r="M342" s="70"/>
      <c r="N342" s="70"/>
      <c r="O342" s="70"/>
    </row>
    <row r="343" spans="1:15" x14ac:dyDescent="0.25">
      <c r="A343" s="37"/>
      <c r="B343" s="78"/>
      <c r="C343" s="70"/>
      <c r="D343" s="37"/>
      <c r="E343" s="70"/>
      <c r="F343" s="70"/>
      <c r="G343" s="37"/>
      <c r="H343" s="70"/>
      <c r="I343" s="70"/>
      <c r="J343" s="37"/>
      <c r="K343" s="70"/>
      <c r="L343" s="70"/>
      <c r="M343" s="70"/>
      <c r="N343" s="70"/>
      <c r="O343" s="70"/>
    </row>
    <row r="344" spans="1:15" x14ac:dyDescent="0.25">
      <c r="A344" s="37"/>
      <c r="B344" s="78"/>
      <c r="C344" s="70"/>
      <c r="D344" s="37"/>
      <c r="E344" s="70"/>
      <c r="F344" s="70"/>
      <c r="G344" s="37"/>
      <c r="H344" s="70"/>
      <c r="I344" s="70"/>
      <c r="J344" s="37"/>
      <c r="K344" s="70"/>
      <c r="L344" s="70"/>
      <c r="M344" s="70"/>
      <c r="N344" s="70"/>
      <c r="O344" s="70"/>
    </row>
    <row r="345" spans="1:15" x14ac:dyDescent="0.25">
      <c r="A345" s="37"/>
      <c r="B345" s="78"/>
      <c r="C345" s="70"/>
      <c r="D345" s="37"/>
      <c r="E345" s="70"/>
      <c r="F345" s="70"/>
      <c r="G345" s="37"/>
      <c r="H345" s="70"/>
      <c r="I345" s="70"/>
      <c r="J345" s="37"/>
      <c r="K345" s="70"/>
      <c r="L345" s="70"/>
      <c r="M345" s="70"/>
      <c r="N345" s="70"/>
      <c r="O345" s="70"/>
    </row>
    <row r="346" spans="1:15" x14ac:dyDescent="0.25">
      <c r="A346" s="37"/>
      <c r="B346" s="78"/>
      <c r="C346" s="70"/>
      <c r="D346" s="37"/>
      <c r="E346" s="70"/>
      <c r="F346" s="70"/>
      <c r="G346" s="37"/>
      <c r="H346" s="70"/>
      <c r="I346" s="70"/>
      <c r="J346" s="37"/>
      <c r="K346" s="70"/>
      <c r="L346" s="70"/>
      <c r="M346" s="70"/>
      <c r="N346" s="70"/>
      <c r="O346" s="70"/>
    </row>
    <row r="347" spans="1:15" x14ac:dyDescent="0.25">
      <c r="A347" s="37"/>
      <c r="B347" s="78"/>
      <c r="C347" s="70"/>
      <c r="D347" s="37"/>
      <c r="E347" s="70"/>
      <c r="F347" s="70"/>
      <c r="G347" s="37"/>
      <c r="H347" s="70"/>
      <c r="I347" s="70"/>
      <c r="J347" s="37"/>
      <c r="K347" s="70"/>
      <c r="L347" s="70"/>
      <c r="M347" s="70"/>
      <c r="N347" s="70"/>
      <c r="O347" s="70"/>
    </row>
    <row r="348" spans="1:15" x14ac:dyDescent="0.25">
      <c r="A348" s="37"/>
      <c r="B348" s="78"/>
      <c r="C348" s="70"/>
      <c r="D348" s="37"/>
      <c r="E348" s="70"/>
      <c r="F348" s="70"/>
      <c r="G348" s="37"/>
      <c r="H348" s="70"/>
      <c r="I348" s="70"/>
      <c r="J348" s="37"/>
      <c r="K348" s="70"/>
      <c r="L348" s="70"/>
      <c r="M348" s="70"/>
      <c r="N348" s="70"/>
      <c r="O348" s="70"/>
    </row>
    <row r="349" spans="1:15" x14ac:dyDescent="0.25">
      <c r="A349" s="37"/>
      <c r="B349" s="78"/>
      <c r="C349" s="70"/>
      <c r="D349" s="37"/>
      <c r="E349" s="70"/>
      <c r="F349" s="70"/>
      <c r="G349" s="37"/>
      <c r="H349" s="70"/>
      <c r="I349" s="70"/>
      <c r="J349" s="37"/>
      <c r="K349" s="70"/>
      <c r="L349" s="70"/>
      <c r="M349" s="70"/>
      <c r="N349" s="70"/>
      <c r="O349" s="70"/>
    </row>
    <row r="350" spans="1:15" x14ac:dyDescent="0.25">
      <c r="A350" s="37"/>
      <c r="B350" s="78"/>
      <c r="C350" s="70"/>
      <c r="D350" s="37"/>
      <c r="E350" s="70"/>
      <c r="F350" s="70"/>
      <c r="G350" s="37"/>
      <c r="H350" s="70"/>
      <c r="I350" s="70"/>
      <c r="J350" s="37"/>
      <c r="K350" s="70"/>
      <c r="L350" s="70"/>
      <c r="M350" s="70"/>
      <c r="N350" s="70"/>
      <c r="O350" s="70"/>
    </row>
    <row r="351" spans="1:15" x14ac:dyDescent="0.25">
      <c r="A351" s="37"/>
      <c r="B351" s="78"/>
      <c r="C351" s="70"/>
      <c r="D351" s="37"/>
      <c r="E351" s="70"/>
      <c r="F351" s="70"/>
      <c r="G351" s="37"/>
      <c r="H351" s="70"/>
      <c r="I351" s="70"/>
      <c r="J351" s="37"/>
      <c r="K351" s="70"/>
      <c r="L351" s="70"/>
      <c r="M351" s="70"/>
      <c r="N351" s="70"/>
      <c r="O351" s="70"/>
    </row>
    <row r="352" spans="1:15" x14ac:dyDescent="0.25">
      <c r="A352" s="37"/>
      <c r="B352" s="78"/>
      <c r="C352" s="70"/>
      <c r="D352" s="37"/>
      <c r="E352" s="70"/>
      <c r="F352" s="70"/>
      <c r="G352" s="37"/>
      <c r="H352" s="70"/>
      <c r="I352" s="70"/>
      <c r="J352" s="37"/>
      <c r="K352" s="70"/>
      <c r="L352" s="70"/>
      <c r="M352" s="70"/>
      <c r="N352" s="70"/>
      <c r="O352" s="70"/>
    </row>
    <row r="353" spans="1:15" x14ac:dyDescent="0.25">
      <c r="A353" s="37"/>
      <c r="B353" s="78"/>
      <c r="C353" s="70"/>
      <c r="D353" s="37"/>
      <c r="E353" s="70"/>
      <c r="F353" s="70"/>
      <c r="G353" s="37"/>
      <c r="H353" s="70"/>
      <c r="I353" s="70"/>
      <c r="J353" s="37"/>
      <c r="K353" s="70"/>
      <c r="L353" s="70"/>
      <c r="M353" s="70"/>
      <c r="N353" s="70"/>
      <c r="O353" s="70"/>
    </row>
    <row r="354" spans="1:15" x14ac:dyDescent="0.25">
      <c r="A354" s="37"/>
      <c r="B354" s="78"/>
      <c r="C354" s="70"/>
      <c r="D354" s="37"/>
      <c r="E354" s="70"/>
      <c r="F354" s="70"/>
      <c r="G354" s="37"/>
      <c r="H354" s="70"/>
      <c r="I354" s="70"/>
      <c r="J354" s="37"/>
      <c r="K354" s="70"/>
      <c r="L354" s="70"/>
      <c r="M354" s="70"/>
      <c r="N354" s="70"/>
      <c r="O354" s="70"/>
    </row>
    <row r="355" spans="1:15" x14ac:dyDescent="0.25">
      <c r="A355" s="37"/>
      <c r="B355" s="78"/>
      <c r="C355" s="70"/>
      <c r="D355" s="37"/>
      <c r="E355" s="70"/>
      <c r="F355" s="70"/>
      <c r="G355" s="37"/>
      <c r="H355" s="70"/>
      <c r="I355" s="70"/>
      <c r="J355" s="37"/>
      <c r="K355" s="70"/>
      <c r="L355" s="70"/>
      <c r="M355" s="70"/>
      <c r="N355" s="70"/>
      <c r="O355" s="70"/>
    </row>
    <row r="356" spans="1:15" x14ac:dyDescent="0.25">
      <c r="A356" s="37"/>
      <c r="B356" s="78"/>
      <c r="C356" s="70"/>
      <c r="D356" s="37"/>
      <c r="E356" s="70"/>
      <c r="F356" s="70"/>
      <c r="G356" s="37"/>
      <c r="H356" s="70"/>
      <c r="I356" s="70"/>
      <c r="J356" s="37"/>
      <c r="K356" s="70"/>
      <c r="L356" s="70"/>
      <c r="M356" s="70"/>
      <c r="N356" s="70"/>
      <c r="O356" s="70"/>
    </row>
    <row r="357" spans="1:15" x14ac:dyDescent="0.25">
      <c r="A357" s="37"/>
      <c r="B357" s="78"/>
      <c r="C357" s="70"/>
      <c r="D357" s="37"/>
      <c r="E357" s="70"/>
      <c r="F357" s="70"/>
      <c r="G357" s="37"/>
      <c r="H357" s="70"/>
      <c r="I357" s="70"/>
      <c r="J357" s="37"/>
      <c r="K357" s="70"/>
      <c r="L357" s="70"/>
      <c r="M357" s="70"/>
      <c r="N357" s="70"/>
      <c r="O357" s="70"/>
    </row>
    <row r="358" spans="1:15" x14ac:dyDescent="0.25">
      <c r="A358" s="37"/>
      <c r="B358" s="78"/>
      <c r="C358" s="70"/>
      <c r="D358" s="37"/>
      <c r="E358" s="70"/>
      <c r="F358" s="70"/>
      <c r="G358" s="37"/>
      <c r="H358" s="70"/>
      <c r="I358" s="70"/>
      <c r="J358" s="37"/>
      <c r="K358" s="70"/>
      <c r="L358" s="70"/>
      <c r="M358" s="70"/>
      <c r="N358" s="70"/>
      <c r="O358" s="70"/>
    </row>
    <row r="359" spans="1:15" x14ac:dyDescent="0.25">
      <c r="A359" s="37"/>
      <c r="B359" s="78"/>
      <c r="C359" s="70"/>
      <c r="D359" s="37"/>
      <c r="E359" s="70"/>
      <c r="F359" s="70"/>
      <c r="G359" s="37"/>
      <c r="H359" s="70"/>
      <c r="I359" s="70"/>
      <c r="J359" s="37"/>
      <c r="K359" s="70"/>
      <c r="L359" s="70"/>
      <c r="M359" s="70"/>
      <c r="N359" s="70"/>
      <c r="O359" s="70"/>
    </row>
    <row r="360" spans="1:15" x14ac:dyDescent="0.25">
      <c r="A360" s="37"/>
      <c r="B360" s="78"/>
      <c r="C360" s="70"/>
      <c r="D360" s="37"/>
      <c r="E360" s="70"/>
      <c r="F360" s="70"/>
      <c r="G360" s="37"/>
      <c r="H360" s="70"/>
      <c r="I360" s="70"/>
      <c r="J360" s="37"/>
      <c r="K360" s="70"/>
      <c r="L360" s="70"/>
      <c r="M360" s="70"/>
      <c r="N360" s="70"/>
      <c r="O360" s="70"/>
    </row>
    <row r="361" spans="1:15" x14ac:dyDescent="0.25">
      <c r="A361" s="37"/>
      <c r="B361" s="78"/>
      <c r="C361" s="70"/>
      <c r="D361" s="37"/>
      <c r="E361" s="70"/>
      <c r="F361" s="70"/>
      <c r="G361" s="37"/>
      <c r="H361" s="70"/>
      <c r="I361" s="70"/>
      <c r="J361" s="37"/>
      <c r="K361" s="70"/>
      <c r="L361" s="70"/>
      <c r="M361" s="70"/>
      <c r="N361" s="70"/>
      <c r="O361" s="70"/>
    </row>
    <row r="362" spans="1:15" x14ac:dyDescent="0.25">
      <c r="A362" s="37"/>
      <c r="B362" s="78"/>
      <c r="C362" s="70"/>
      <c r="D362" s="37"/>
      <c r="E362" s="70"/>
      <c r="F362" s="70"/>
      <c r="G362" s="37"/>
      <c r="H362" s="70"/>
      <c r="I362" s="70"/>
      <c r="J362" s="37"/>
      <c r="K362" s="70"/>
      <c r="L362" s="70"/>
      <c r="M362" s="70"/>
      <c r="N362" s="70"/>
      <c r="O362" s="70"/>
    </row>
    <row r="363" spans="1:15" x14ac:dyDescent="0.25">
      <c r="A363" s="37"/>
      <c r="B363" s="78"/>
      <c r="C363" s="70"/>
      <c r="D363" s="37"/>
      <c r="E363" s="70"/>
      <c r="F363" s="70"/>
      <c r="G363" s="37"/>
      <c r="H363" s="70"/>
      <c r="I363" s="70"/>
      <c r="J363" s="37"/>
      <c r="K363" s="70"/>
      <c r="L363" s="70"/>
      <c r="M363" s="70"/>
      <c r="N363" s="70"/>
      <c r="O363" s="70"/>
    </row>
    <row r="364" spans="1:15" x14ac:dyDescent="0.25">
      <c r="A364" s="37"/>
      <c r="B364" s="78"/>
      <c r="C364" s="70"/>
      <c r="D364" s="37"/>
      <c r="E364" s="70"/>
      <c r="F364" s="70"/>
      <c r="G364" s="37"/>
      <c r="H364" s="70"/>
      <c r="I364" s="70"/>
      <c r="J364" s="37"/>
      <c r="K364" s="70"/>
      <c r="L364" s="70"/>
      <c r="M364" s="70"/>
      <c r="N364" s="70"/>
      <c r="O364" s="70"/>
    </row>
    <row r="365" spans="1:15" x14ac:dyDescent="0.25">
      <c r="A365" s="37"/>
      <c r="B365" s="78"/>
      <c r="C365" s="70"/>
      <c r="D365" s="37"/>
      <c r="E365" s="70"/>
      <c r="F365" s="70"/>
      <c r="G365" s="37"/>
      <c r="H365" s="70"/>
      <c r="I365" s="70"/>
      <c r="J365" s="37"/>
      <c r="K365" s="70"/>
      <c r="L365" s="70"/>
      <c r="M365" s="70"/>
      <c r="N365" s="70"/>
      <c r="O365" s="70"/>
    </row>
    <row r="366" spans="1:15" x14ac:dyDescent="0.25">
      <c r="A366" s="37"/>
      <c r="B366" s="78"/>
      <c r="C366" s="70"/>
      <c r="D366" s="37"/>
      <c r="E366" s="70"/>
      <c r="F366" s="70"/>
      <c r="G366" s="37"/>
      <c r="H366" s="70"/>
      <c r="I366" s="70"/>
      <c r="J366" s="37"/>
      <c r="K366" s="70"/>
      <c r="L366" s="70"/>
      <c r="M366" s="70"/>
      <c r="N366" s="70"/>
      <c r="O366" s="70"/>
    </row>
    <row r="367" spans="1:15" x14ac:dyDescent="0.25">
      <c r="A367" s="37"/>
      <c r="B367" s="78"/>
      <c r="C367" s="70"/>
      <c r="D367" s="37"/>
      <c r="E367" s="70"/>
      <c r="F367" s="70"/>
      <c r="G367" s="37"/>
      <c r="H367" s="70"/>
      <c r="I367" s="70"/>
      <c r="J367" s="37"/>
      <c r="K367" s="70"/>
      <c r="L367" s="70"/>
      <c r="M367" s="70"/>
      <c r="N367" s="70"/>
      <c r="O367" s="70"/>
    </row>
    <row r="368" spans="1:15" x14ac:dyDescent="0.25">
      <c r="A368" s="37"/>
      <c r="B368" s="78"/>
      <c r="C368" s="70"/>
      <c r="D368" s="37"/>
      <c r="E368" s="70"/>
      <c r="F368" s="70"/>
      <c r="G368" s="37"/>
      <c r="H368" s="70"/>
      <c r="I368" s="70"/>
      <c r="J368" s="37"/>
      <c r="K368" s="70"/>
      <c r="L368" s="70"/>
      <c r="M368" s="70"/>
      <c r="N368" s="70"/>
      <c r="O368" s="70"/>
    </row>
    <row r="369" spans="1:15" x14ac:dyDescent="0.25">
      <c r="A369" s="37"/>
      <c r="B369" s="78"/>
      <c r="C369" s="70"/>
      <c r="D369" s="37"/>
      <c r="E369" s="70"/>
      <c r="F369" s="70"/>
      <c r="G369" s="37"/>
      <c r="H369" s="70"/>
      <c r="I369" s="70"/>
      <c r="J369" s="37"/>
      <c r="K369" s="70"/>
      <c r="L369" s="70"/>
      <c r="M369" s="70"/>
      <c r="N369" s="70"/>
      <c r="O369" s="70"/>
    </row>
    <row r="370" spans="1:15" x14ac:dyDescent="0.25">
      <c r="A370" s="37"/>
      <c r="B370" s="78"/>
      <c r="C370" s="70"/>
      <c r="D370" s="37"/>
      <c r="E370" s="70"/>
      <c r="F370" s="70"/>
      <c r="G370" s="37"/>
      <c r="H370" s="70"/>
      <c r="I370" s="70"/>
      <c r="J370" s="37"/>
      <c r="K370" s="70"/>
      <c r="L370" s="70"/>
      <c r="M370" s="70"/>
      <c r="N370" s="70"/>
      <c r="O370" s="70"/>
    </row>
    <row r="371" spans="1:15" x14ac:dyDescent="0.25">
      <c r="A371" s="37"/>
      <c r="B371" s="78"/>
      <c r="C371" s="70"/>
      <c r="D371" s="37"/>
      <c r="E371" s="70"/>
      <c r="F371" s="70"/>
      <c r="G371" s="37"/>
      <c r="H371" s="70"/>
      <c r="I371" s="70"/>
      <c r="J371" s="37"/>
      <c r="K371" s="70"/>
      <c r="L371" s="70"/>
      <c r="M371" s="70"/>
      <c r="N371" s="70"/>
      <c r="O371" s="70"/>
    </row>
    <row r="372" spans="1:15" x14ac:dyDescent="0.25">
      <c r="A372" s="37"/>
      <c r="B372" s="78"/>
      <c r="C372" s="70"/>
      <c r="D372" s="37"/>
      <c r="E372" s="70"/>
      <c r="F372" s="70"/>
      <c r="G372" s="37"/>
      <c r="H372" s="70"/>
      <c r="I372" s="70"/>
      <c r="J372" s="37"/>
      <c r="K372" s="70"/>
      <c r="L372" s="70"/>
      <c r="M372" s="70"/>
      <c r="N372" s="70"/>
      <c r="O372" s="70"/>
    </row>
    <row r="373" spans="1:15" x14ac:dyDescent="0.25">
      <c r="A373" s="37"/>
      <c r="B373" s="78"/>
      <c r="C373" s="70"/>
      <c r="D373" s="37"/>
      <c r="E373" s="70"/>
      <c r="F373" s="70"/>
      <c r="G373" s="37"/>
      <c r="H373" s="70"/>
      <c r="I373" s="70"/>
      <c r="J373" s="37"/>
      <c r="K373" s="70"/>
      <c r="L373" s="70"/>
      <c r="M373" s="70"/>
      <c r="N373" s="70"/>
      <c r="O373" s="70"/>
    </row>
    <row r="374" spans="1:15" x14ac:dyDescent="0.25">
      <c r="A374" s="37"/>
      <c r="B374" s="78"/>
      <c r="C374" s="70"/>
      <c r="D374" s="37"/>
      <c r="E374" s="70"/>
      <c r="F374" s="70"/>
      <c r="G374" s="37"/>
      <c r="H374" s="70"/>
      <c r="I374" s="70"/>
      <c r="J374" s="37"/>
      <c r="K374" s="70"/>
      <c r="L374" s="70"/>
      <c r="M374" s="70"/>
      <c r="N374" s="70"/>
      <c r="O374" s="70"/>
    </row>
    <row r="375" spans="1:15" x14ac:dyDescent="0.25">
      <c r="A375" s="37"/>
      <c r="B375" s="78"/>
      <c r="C375" s="70"/>
      <c r="D375" s="37"/>
      <c r="E375" s="70"/>
      <c r="F375" s="70"/>
      <c r="G375" s="37"/>
      <c r="H375" s="70"/>
      <c r="I375" s="70"/>
      <c r="J375" s="37"/>
      <c r="K375" s="70"/>
      <c r="L375" s="70"/>
      <c r="M375" s="70"/>
      <c r="N375" s="70"/>
      <c r="O375" s="70"/>
    </row>
    <row r="376" spans="1:15" x14ac:dyDescent="0.25">
      <c r="A376" s="37"/>
      <c r="B376" s="78"/>
      <c r="C376" s="70"/>
      <c r="D376" s="37"/>
      <c r="E376" s="70"/>
      <c r="F376" s="70"/>
      <c r="G376" s="37"/>
      <c r="H376" s="70"/>
      <c r="I376" s="70"/>
      <c r="J376" s="37"/>
      <c r="K376" s="70"/>
      <c r="L376" s="70"/>
      <c r="M376" s="70"/>
      <c r="N376" s="70"/>
      <c r="O376" s="70"/>
    </row>
    <row r="377" spans="1:15" x14ac:dyDescent="0.25">
      <c r="A377" s="37"/>
      <c r="B377" s="78"/>
      <c r="C377" s="70"/>
      <c r="D377" s="37"/>
      <c r="E377" s="70"/>
      <c r="F377" s="70"/>
      <c r="G377" s="37"/>
      <c r="H377" s="70"/>
      <c r="I377" s="70"/>
      <c r="J377" s="37"/>
      <c r="K377" s="70"/>
      <c r="L377" s="70"/>
      <c r="M377" s="70"/>
      <c r="N377" s="70"/>
      <c r="O377" s="70"/>
    </row>
    <row r="378" spans="1:15" x14ac:dyDescent="0.25">
      <c r="A378" s="37"/>
      <c r="B378" s="78"/>
      <c r="C378" s="70"/>
      <c r="D378" s="37"/>
      <c r="E378" s="70"/>
      <c r="F378" s="70"/>
      <c r="G378" s="37"/>
      <c r="H378" s="70"/>
      <c r="I378" s="70"/>
      <c r="J378" s="37"/>
      <c r="K378" s="70"/>
      <c r="L378" s="70"/>
      <c r="M378" s="70"/>
      <c r="N378" s="70"/>
      <c r="O378" s="70"/>
    </row>
    <row r="379" spans="1:15" x14ac:dyDescent="0.25">
      <c r="A379" s="37"/>
      <c r="B379" s="78"/>
      <c r="C379" s="70"/>
      <c r="D379" s="37"/>
      <c r="E379" s="70"/>
      <c r="F379" s="70"/>
      <c r="G379" s="37"/>
      <c r="H379" s="70"/>
      <c r="I379" s="70"/>
      <c r="J379" s="37"/>
      <c r="K379" s="70"/>
      <c r="L379" s="70"/>
      <c r="M379" s="70"/>
      <c r="N379" s="70"/>
      <c r="O379" s="70"/>
    </row>
    <row r="380" spans="1:15" x14ac:dyDescent="0.25">
      <c r="A380" s="37"/>
      <c r="B380" s="78"/>
      <c r="C380" s="70"/>
      <c r="D380" s="37"/>
      <c r="E380" s="70"/>
      <c r="F380" s="70"/>
      <c r="G380" s="37"/>
      <c r="H380" s="70"/>
      <c r="I380" s="70"/>
      <c r="J380" s="37"/>
      <c r="K380" s="70"/>
      <c r="L380" s="70"/>
      <c r="M380" s="70"/>
      <c r="N380" s="70"/>
      <c r="O380" s="70"/>
    </row>
    <row r="381" spans="1:15" x14ac:dyDescent="0.25">
      <c r="A381" s="37"/>
      <c r="B381" s="78"/>
      <c r="C381" s="70"/>
      <c r="D381" s="37"/>
      <c r="E381" s="70"/>
      <c r="F381" s="70"/>
      <c r="G381" s="37"/>
      <c r="H381" s="70"/>
      <c r="I381" s="70"/>
      <c r="J381" s="37"/>
      <c r="K381" s="70"/>
      <c r="L381" s="70"/>
      <c r="M381" s="70"/>
      <c r="N381" s="70"/>
      <c r="O381" s="70"/>
    </row>
    <row r="382" spans="1:15" x14ac:dyDescent="0.25">
      <c r="A382" s="37"/>
      <c r="B382" s="78"/>
      <c r="C382" s="70"/>
      <c r="D382" s="37"/>
      <c r="E382" s="70"/>
      <c r="F382" s="70"/>
      <c r="G382" s="37"/>
      <c r="H382" s="70"/>
      <c r="I382" s="70"/>
      <c r="J382" s="37"/>
      <c r="K382" s="70"/>
      <c r="L382" s="70"/>
      <c r="M382" s="70"/>
      <c r="N382" s="70"/>
      <c r="O382" s="70"/>
    </row>
    <row r="383" spans="1:15" x14ac:dyDescent="0.25">
      <c r="A383" s="37"/>
      <c r="B383" s="78"/>
      <c r="C383" s="70"/>
      <c r="D383" s="37"/>
      <c r="E383" s="70"/>
      <c r="F383" s="70"/>
      <c r="G383" s="37"/>
      <c r="H383" s="70"/>
      <c r="I383" s="70"/>
      <c r="J383" s="37"/>
      <c r="K383" s="70"/>
      <c r="L383" s="70"/>
      <c r="M383" s="70"/>
      <c r="N383" s="70"/>
      <c r="O383" s="70"/>
    </row>
    <row r="384" spans="1:15" x14ac:dyDescent="0.25">
      <c r="A384" s="37"/>
      <c r="B384" s="78"/>
      <c r="C384" s="70"/>
      <c r="D384" s="37"/>
      <c r="E384" s="70"/>
      <c r="F384" s="70"/>
      <c r="G384" s="37"/>
      <c r="H384" s="70"/>
      <c r="I384" s="70"/>
      <c r="J384" s="37"/>
      <c r="K384" s="70"/>
      <c r="L384" s="70"/>
      <c r="M384" s="70"/>
      <c r="N384" s="70"/>
      <c r="O384" s="70"/>
    </row>
    <row r="385" spans="1:15" x14ac:dyDescent="0.25">
      <c r="A385" s="37"/>
      <c r="B385" s="78"/>
      <c r="C385" s="70"/>
      <c r="D385" s="37"/>
      <c r="E385" s="70"/>
      <c r="F385" s="70"/>
      <c r="G385" s="37"/>
      <c r="H385" s="70"/>
      <c r="I385" s="70"/>
      <c r="J385" s="37"/>
      <c r="K385" s="70"/>
      <c r="L385" s="70"/>
      <c r="M385" s="70"/>
      <c r="N385" s="70"/>
      <c r="O385" s="70"/>
    </row>
    <row r="386" spans="1:15" x14ac:dyDescent="0.25">
      <c r="A386" s="37"/>
      <c r="B386" s="78"/>
      <c r="C386" s="70"/>
      <c r="D386" s="37"/>
      <c r="E386" s="70"/>
      <c r="F386" s="70"/>
      <c r="G386" s="37"/>
      <c r="H386" s="70"/>
      <c r="I386" s="70"/>
      <c r="J386" s="37"/>
      <c r="K386" s="70"/>
      <c r="L386" s="70"/>
      <c r="M386" s="70"/>
      <c r="N386" s="70"/>
      <c r="O386" s="70"/>
    </row>
    <row r="387" spans="1:15" x14ac:dyDescent="0.25">
      <c r="A387" s="37"/>
      <c r="B387" s="78"/>
      <c r="C387" s="70"/>
      <c r="D387" s="37"/>
      <c r="E387" s="70"/>
      <c r="F387" s="70"/>
      <c r="G387" s="37"/>
      <c r="H387" s="70"/>
      <c r="I387" s="70"/>
      <c r="J387" s="37"/>
      <c r="K387" s="70"/>
      <c r="L387" s="70"/>
      <c r="M387" s="70"/>
      <c r="N387" s="70"/>
      <c r="O387" s="70"/>
    </row>
    <row r="388" spans="1:15" x14ac:dyDescent="0.25">
      <c r="A388" s="37"/>
      <c r="B388" s="78"/>
      <c r="C388" s="70"/>
      <c r="D388" s="37"/>
      <c r="E388" s="70"/>
      <c r="F388" s="70"/>
      <c r="G388" s="37"/>
      <c r="H388" s="70"/>
      <c r="I388" s="70"/>
      <c r="J388" s="37"/>
      <c r="K388" s="70"/>
      <c r="L388" s="70"/>
      <c r="M388" s="70"/>
      <c r="N388" s="70"/>
      <c r="O388" s="70"/>
    </row>
    <row r="389" spans="1:15" x14ac:dyDescent="0.25">
      <c r="A389" s="37"/>
      <c r="B389" s="78"/>
      <c r="C389" s="70"/>
      <c r="D389" s="37"/>
      <c r="E389" s="70"/>
      <c r="F389" s="70"/>
      <c r="G389" s="37"/>
      <c r="H389" s="70"/>
      <c r="I389" s="70"/>
      <c r="J389" s="37"/>
      <c r="K389" s="70"/>
      <c r="L389" s="70"/>
      <c r="M389" s="70"/>
      <c r="N389" s="70"/>
      <c r="O389" s="70"/>
    </row>
    <row r="390" spans="1:15" x14ac:dyDescent="0.25">
      <c r="A390" s="37"/>
      <c r="B390" s="78"/>
      <c r="C390" s="70"/>
      <c r="D390" s="37"/>
      <c r="E390" s="70"/>
      <c r="F390" s="70"/>
      <c r="G390" s="37"/>
      <c r="H390" s="70"/>
      <c r="I390" s="70"/>
      <c r="J390" s="37"/>
      <c r="K390" s="70"/>
      <c r="L390" s="70"/>
      <c r="M390" s="70"/>
      <c r="N390" s="70"/>
      <c r="O390" s="70"/>
    </row>
    <row r="391" spans="1:15" x14ac:dyDescent="0.25">
      <c r="A391" s="37"/>
      <c r="B391" s="78"/>
      <c r="C391" s="70"/>
      <c r="D391" s="37"/>
      <c r="E391" s="70"/>
      <c r="F391" s="70"/>
      <c r="G391" s="37"/>
      <c r="H391" s="70"/>
      <c r="I391" s="70"/>
      <c r="J391" s="37"/>
      <c r="K391" s="70"/>
      <c r="L391" s="70"/>
      <c r="M391" s="70"/>
      <c r="N391" s="70"/>
      <c r="O391" s="70"/>
    </row>
    <row r="392" spans="1:15" x14ac:dyDescent="0.25">
      <c r="A392" s="37"/>
      <c r="B392" s="78"/>
      <c r="C392" s="70"/>
      <c r="D392" s="37"/>
      <c r="E392" s="70"/>
      <c r="F392" s="70"/>
      <c r="G392" s="37"/>
      <c r="H392" s="70"/>
      <c r="I392" s="70"/>
      <c r="J392" s="37"/>
      <c r="K392" s="70"/>
      <c r="L392" s="70"/>
      <c r="M392" s="70"/>
      <c r="N392" s="70"/>
      <c r="O392" s="70"/>
    </row>
    <row r="393" spans="1:15" x14ac:dyDescent="0.25">
      <c r="A393" s="37"/>
      <c r="B393" s="78"/>
      <c r="C393" s="70"/>
      <c r="D393" s="37"/>
      <c r="E393" s="70"/>
      <c r="F393" s="70"/>
      <c r="G393" s="37"/>
      <c r="H393" s="70"/>
      <c r="I393" s="70"/>
      <c r="J393" s="37"/>
      <c r="K393" s="70"/>
      <c r="L393" s="70"/>
      <c r="M393" s="70"/>
      <c r="N393" s="70"/>
      <c r="O393" s="70"/>
    </row>
    <row r="394" spans="1:15" x14ac:dyDescent="0.25">
      <c r="A394" s="37"/>
      <c r="B394" s="78"/>
      <c r="C394" s="70"/>
      <c r="D394" s="37"/>
      <c r="E394" s="70"/>
      <c r="F394" s="70"/>
      <c r="G394" s="37"/>
      <c r="H394" s="70"/>
      <c r="I394" s="70"/>
      <c r="J394" s="37"/>
      <c r="K394" s="70"/>
      <c r="L394" s="70"/>
      <c r="M394" s="70"/>
      <c r="N394" s="70"/>
      <c r="O394" s="70"/>
    </row>
    <row r="395" spans="1:15" x14ac:dyDescent="0.25">
      <c r="A395" s="37"/>
      <c r="B395" s="78"/>
      <c r="C395" s="70"/>
      <c r="D395" s="37"/>
      <c r="E395" s="70"/>
      <c r="F395" s="70"/>
      <c r="G395" s="37"/>
      <c r="H395" s="70"/>
      <c r="I395" s="70"/>
      <c r="J395" s="37"/>
      <c r="K395" s="70"/>
      <c r="L395" s="70"/>
      <c r="M395" s="70"/>
      <c r="N395" s="70"/>
      <c r="O395" s="70"/>
    </row>
    <row r="396" spans="1:15" x14ac:dyDescent="0.25">
      <c r="A396" s="37"/>
      <c r="B396" s="78"/>
      <c r="C396" s="70"/>
      <c r="D396" s="37"/>
      <c r="E396" s="70"/>
      <c r="F396" s="70"/>
      <c r="G396" s="37"/>
      <c r="H396" s="70"/>
      <c r="I396" s="70"/>
      <c r="J396" s="37"/>
      <c r="K396" s="70"/>
      <c r="L396" s="70"/>
      <c r="M396" s="70"/>
      <c r="N396" s="70"/>
      <c r="O396" s="70"/>
    </row>
    <row r="397" spans="1:15" x14ac:dyDescent="0.25">
      <c r="A397" s="37"/>
      <c r="B397" s="78"/>
      <c r="C397" s="70"/>
      <c r="D397" s="37"/>
      <c r="E397" s="70"/>
      <c r="F397" s="70"/>
      <c r="G397" s="37"/>
      <c r="H397" s="70"/>
      <c r="I397" s="70"/>
      <c r="J397" s="37"/>
      <c r="K397" s="70"/>
      <c r="L397" s="70"/>
      <c r="M397" s="70"/>
      <c r="N397" s="70"/>
      <c r="O397" s="70"/>
    </row>
    <row r="398" spans="1:15" x14ac:dyDescent="0.25">
      <c r="A398" s="37"/>
      <c r="B398" s="78"/>
      <c r="C398" s="70"/>
      <c r="D398" s="37"/>
      <c r="E398" s="70"/>
      <c r="F398" s="70"/>
      <c r="G398" s="37"/>
      <c r="H398" s="70"/>
      <c r="I398" s="70"/>
      <c r="J398" s="37"/>
      <c r="K398" s="70"/>
      <c r="L398" s="70"/>
      <c r="M398" s="70"/>
      <c r="N398" s="70"/>
      <c r="O398" s="70"/>
    </row>
    <row r="399" spans="1:15" x14ac:dyDescent="0.25">
      <c r="A399" s="37"/>
      <c r="B399" s="78"/>
      <c r="C399" s="70"/>
      <c r="D399" s="37"/>
      <c r="E399" s="70"/>
      <c r="F399" s="70"/>
      <c r="G399" s="37"/>
      <c r="H399" s="70"/>
      <c r="I399" s="70"/>
      <c r="J399" s="37"/>
      <c r="K399" s="70"/>
      <c r="L399" s="70"/>
      <c r="M399" s="70"/>
      <c r="N399" s="70"/>
      <c r="O399" s="70"/>
    </row>
    <row r="400" spans="1:15" x14ac:dyDescent="0.25">
      <c r="A400" s="37"/>
      <c r="B400" s="78"/>
      <c r="C400" s="70"/>
      <c r="D400" s="37"/>
      <c r="E400" s="70"/>
      <c r="F400" s="70"/>
      <c r="G400" s="37"/>
      <c r="H400" s="70"/>
      <c r="I400" s="70"/>
      <c r="J400" s="37"/>
      <c r="K400" s="70"/>
      <c r="L400" s="70"/>
      <c r="M400" s="70"/>
      <c r="N400" s="70"/>
      <c r="O400" s="70"/>
    </row>
    <row r="401" spans="1:15" x14ac:dyDescent="0.25">
      <c r="A401" s="37"/>
      <c r="B401" s="78"/>
      <c r="C401" s="70"/>
      <c r="D401" s="37"/>
      <c r="E401" s="70"/>
      <c r="F401" s="70"/>
      <c r="G401" s="37"/>
      <c r="H401" s="70"/>
      <c r="I401" s="70"/>
      <c r="J401" s="37"/>
      <c r="K401" s="70"/>
      <c r="L401" s="70"/>
      <c r="M401" s="70"/>
      <c r="N401" s="70"/>
      <c r="O401" s="70"/>
    </row>
    <row r="402" spans="1:15" x14ac:dyDescent="0.25">
      <c r="A402" s="37"/>
      <c r="B402" s="78"/>
      <c r="C402" s="70"/>
      <c r="D402" s="37"/>
      <c r="E402" s="70"/>
      <c r="F402" s="70"/>
      <c r="G402" s="37"/>
      <c r="H402" s="70"/>
      <c r="I402" s="70"/>
      <c r="J402" s="37"/>
      <c r="K402" s="70"/>
      <c r="L402" s="70"/>
      <c r="M402" s="70"/>
      <c r="N402" s="70"/>
      <c r="O402" s="70"/>
    </row>
    <row r="403" spans="1:15" x14ac:dyDescent="0.25">
      <c r="A403" s="37"/>
      <c r="B403" s="78"/>
      <c r="C403" s="70"/>
      <c r="D403" s="37"/>
      <c r="E403" s="70"/>
      <c r="F403" s="70"/>
      <c r="G403" s="37"/>
      <c r="H403" s="70"/>
      <c r="I403" s="70"/>
      <c r="J403" s="37"/>
      <c r="K403" s="70"/>
      <c r="L403" s="70"/>
      <c r="M403" s="70"/>
      <c r="N403" s="70"/>
      <c r="O403" s="70"/>
    </row>
    <row r="404" spans="1:15" x14ac:dyDescent="0.25">
      <c r="A404" s="37"/>
      <c r="B404" s="78"/>
      <c r="C404" s="70"/>
      <c r="D404" s="37"/>
      <c r="E404" s="70"/>
      <c r="F404" s="70"/>
      <c r="G404" s="37"/>
      <c r="H404" s="70"/>
      <c r="I404" s="70"/>
      <c r="J404" s="37"/>
      <c r="K404" s="70"/>
      <c r="L404" s="70"/>
      <c r="M404" s="70"/>
      <c r="N404" s="70"/>
      <c r="O404" s="70"/>
    </row>
    <row r="405" spans="1:15" x14ac:dyDescent="0.25">
      <c r="A405" s="37"/>
      <c r="B405" s="78"/>
      <c r="C405" s="70"/>
      <c r="D405" s="37"/>
      <c r="E405" s="70"/>
      <c r="F405" s="70"/>
      <c r="G405" s="37"/>
      <c r="H405" s="70"/>
      <c r="I405" s="70"/>
      <c r="J405" s="37"/>
      <c r="K405" s="70"/>
      <c r="L405" s="70"/>
      <c r="M405" s="70"/>
      <c r="N405" s="70"/>
      <c r="O405" s="70"/>
    </row>
    <row r="406" spans="1:15" x14ac:dyDescent="0.25">
      <c r="A406" s="37"/>
      <c r="B406" s="78"/>
      <c r="C406" s="70"/>
      <c r="D406" s="37"/>
      <c r="E406" s="70"/>
      <c r="F406" s="70"/>
      <c r="G406" s="37"/>
      <c r="H406" s="70"/>
      <c r="I406" s="70"/>
      <c r="J406" s="37"/>
      <c r="K406" s="70"/>
      <c r="L406" s="70"/>
      <c r="M406" s="70"/>
      <c r="N406" s="70"/>
      <c r="O406" s="70"/>
    </row>
    <row r="407" spans="1:15" x14ac:dyDescent="0.25">
      <c r="A407" s="37"/>
      <c r="B407" s="78"/>
      <c r="C407" s="70"/>
      <c r="D407" s="37"/>
      <c r="E407" s="70"/>
      <c r="F407" s="70"/>
      <c r="G407" s="37"/>
      <c r="H407" s="70"/>
      <c r="I407" s="70"/>
      <c r="J407" s="37"/>
      <c r="K407" s="70"/>
      <c r="L407" s="70"/>
      <c r="M407" s="70"/>
      <c r="N407" s="70"/>
      <c r="O407" s="70"/>
    </row>
    <row r="408" spans="1:15" x14ac:dyDescent="0.25">
      <c r="A408" s="37"/>
      <c r="B408" s="78"/>
      <c r="C408" s="70"/>
      <c r="D408" s="37"/>
      <c r="E408" s="70"/>
      <c r="F408" s="70"/>
      <c r="G408" s="37"/>
      <c r="H408" s="70"/>
      <c r="I408" s="70"/>
      <c r="J408" s="37"/>
      <c r="K408" s="70"/>
      <c r="L408" s="70"/>
      <c r="M408" s="70"/>
      <c r="N408" s="70"/>
      <c r="O408" s="70"/>
    </row>
    <row r="409" spans="1:15" x14ac:dyDescent="0.25">
      <c r="A409" s="37"/>
      <c r="B409" s="78"/>
      <c r="C409" s="70"/>
      <c r="D409" s="37"/>
      <c r="E409" s="70"/>
      <c r="F409" s="70"/>
      <c r="G409" s="37"/>
      <c r="H409" s="70"/>
      <c r="I409" s="70"/>
      <c r="J409" s="37"/>
      <c r="K409" s="70"/>
      <c r="L409" s="70"/>
      <c r="M409" s="70"/>
      <c r="N409" s="70"/>
      <c r="O409" s="70"/>
    </row>
    <row r="410" spans="1:15" x14ac:dyDescent="0.25">
      <c r="A410" s="37"/>
      <c r="B410" s="78"/>
      <c r="C410" s="70"/>
      <c r="D410" s="37"/>
      <c r="E410" s="70"/>
      <c r="F410" s="70"/>
      <c r="G410" s="37"/>
      <c r="H410" s="70"/>
      <c r="I410" s="70"/>
      <c r="J410" s="37"/>
      <c r="K410" s="70"/>
      <c r="L410" s="70"/>
      <c r="M410" s="70"/>
      <c r="N410" s="70"/>
      <c r="O410" s="70"/>
    </row>
    <row r="411" spans="1:15" x14ac:dyDescent="0.25">
      <c r="A411" s="37"/>
      <c r="B411" s="78"/>
      <c r="C411" s="70"/>
      <c r="D411" s="37"/>
      <c r="E411" s="70"/>
      <c r="F411" s="70"/>
      <c r="G411" s="37"/>
      <c r="H411" s="70"/>
      <c r="I411" s="70"/>
      <c r="J411" s="37"/>
      <c r="K411" s="70"/>
      <c r="L411" s="70"/>
      <c r="M411" s="70"/>
      <c r="N411" s="70"/>
      <c r="O411" s="70"/>
    </row>
    <row r="412" spans="1:15" x14ac:dyDescent="0.25">
      <c r="A412" s="37"/>
      <c r="B412" s="78"/>
      <c r="C412" s="70"/>
      <c r="D412" s="37"/>
      <c r="E412" s="70"/>
      <c r="F412" s="70"/>
      <c r="G412" s="37"/>
      <c r="H412" s="70"/>
      <c r="I412" s="70"/>
      <c r="J412" s="37"/>
      <c r="K412" s="70"/>
      <c r="L412" s="70"/>
      <c r="M412" s="70"/>
      <c r="N412" s="70"/>
      <c r="O412" s="70"/>
    </row>
    <row r="413" spans="1:15" x14ac:dyDescent="0.25">
      <c r="A413" s="37"/>
      <c r="B413" s="78"/>
      <c r="C413" s="70"/>
      <c r="D413" s="37"/>
      <c r="E413" s="70"/>
      <c r="F413" s="70"/>
      <c r="G413" s="37"/>
      <c r="H413" s="70"/>
      <c r="I413" s="70"/>
      <c r="J413" s="37"/>
      <c r="K413" s="70"/>
      <c r="L413" s="70"/>
      <c r="M413" s="70"/>
      <c r="N413" s="70"/>
      <c r="O413" s="70"/>
    </row>
    <row r="414" spans="1:15" x14ac:dyDescent="0.25">
      <c r="A414" s="37"/>
      <c r="B414" s="78"/>
      <c r="C414" s="70"/>
      <c r="D414" s="37"/>
      <c r="E414" s="70"/>
      <c r="F414" s="70"/>
      <c r="G414" s="37"/>
      <c r="H414" s="70"/>
      <c r="I414" s="70"/>
      <c r="J414" s="37"/>
      <c r="K414" s="70"/>
      <c r="L414" s="70"/>
      <c r="M414" s="70"/>
      <c r="N414" s="70"/>
      <c r="O414" s="70"/>
    </row>
    <row r="415" spans="1:15" x14ac:dyDescent="0.25">
      <c r="A415" s="37"/>
      <c r="B415" s="78"/>
      <c r="C415" s="70"/>
      <c r="D415" s="37"/>
      <c r="E415" s="70"/>
      <c r="F415" s="70"/>
      <c r="G415" s="37"/>
      <c r="H415" s="70"/>
      <c r="I415" s="70"/>
      <c r="J415" s="37"/>
      <c r="K415" s="70"/>
      <c r="L415" s="70"/>
      <c r="M415" s="70"/>
      <c r="N415" s="70"/>
      <c r="O415" s="70"/>
    </row>
    <row r="416" spans="1:15" x14ac:dyDescent="0.25">
      <c r="A416" s="37"/>
      <c r="B416" s="78"/>
      <c r="C416" s="70"/>
      <c r="D416" s="37"/>
      <c r="E416" s="70"/>
      <c r="F416" s="70"/>
      <c r="G416" s="37"/>
      <c r="H416" s="70"/>
      <c r="I416" s="70"/>
      <c r="J416" s="37"/>
      <c r="K416" s="70"/>
      <c r="L416" s="70"/>
      <c r="M416" s="70"/>
      <c r="N416" s="70"/>
      <c r="O416" s="70"/>
    </row>
    <row r="417" spans="1:15" x14ac:dyDescent="0.25">
      <c r="A417" s="37"/>
      <c r="B417" s="78"/>
      <c r="C417" s="70"/>
      <c r="D417" s="37"/>
      <c r="E417" s="70"/>
      <c r="F417" s="70"/>
      <c r="G417" s="37"/>
      <c r="H417" s="70"/>
      <c r="I417" s="70"/>
      <c r="J417" s="37"/>
      <c r="K417" s="70"/>
      <c r="L417" s="70"/>
      <c r="M417" s="70"/>
      <c r="N417" s="70"/>
      <c r="O417" s="70"/>
    </row>
    <row r="418" spans="1:15" x14ac:dyDescent="0.25">
      <c r="A418" s="37"/>
      <c r="B418" s="78"/>
      <c r="C418" s="70"/>
      <c r="D418" s="37"/>
      <c r="E418" s="70"/>
      <c r="F418" s="70"/>
      <c r="G418" s="37"/>
      <c r="H418" s="70"/>
      <c r="I418" s="70"/>
      <c r="J418" s="37"/>
      <c r="K418" s="70"/>
      <c r="L418" s="70"/>
      <c r="M418" s="70"/>
      <c r="N418" s="70"/>
      <c r="O418" s="70"/>
    </row>
    <row r="419" spans="1:15" x14ac:dyDescent="0.25">
      <c r="A419" s="37"/>
      <c r="B419" s="78"/>
      <c r="C419" s="70"/>
      <c r="D419" s="37"/>
      <c r="E419" s="70"/>
      <c r="F419" s="70"/>
      <c r="G419" s="37"/>
      <c r="H419" s="70"/>
      <c r="I419" s="70"/>
      <c r="J419" s="37"/>
      <c r="K419" s="70"/>
      <c r="L419" s="70"/>
      <c r="M419" s="70"/>
      <c r="N419" s="70"/>
      <c r="O419" s="70"/>
    </row>
    <row r="420" spans="1:15" x14ac:dyDescent="0.25">
      <c r="A420" s="37"/>
      <c r="B420" s="78"/>
      <c r="C420" s="70"/>
      <c r="D420" s="37"/>
      <c r="E420" s="70"/>
      <c r="F420" s="70"/>
      <c r="G420" s="37"/>
      <c r="H420" s="70"/>
      <c r="I420" s="70"/>
      <c r="J420" s="37"/>
      <c r="K420" s="70"/>
      <c r="L420" s="70"/>
      <c r="M420" s="70"/>
      <c r="N420" s="70"/>
      <c r="O420" s="70"/>
    </row>
    <row r="421" spans="1:15" x14ac:dyDescent="0.25">
      <c r="A421" s="37"/>
      <c r="B421" s="78"/>
      <c r="C421" s="70"/>
      <c r="D421" s="37"/>
      <c r="E421" s="70"/>
      <c r="F421" s="70"/>
      <c r="G421" s="37"/>
      <c r="H421" s="70"/>
      <c r="I421" s="70"/>
      <c r="J421" s="37"/>
      <c r="K421" s="70"/>
      <c r="L421" s="70"/>
      <c r="M421" s="70"/>
      <c r="N421" s="70"/>
      <c r="O421" s="70"/>
    </row>
    <row r="422" spans="1:15" x14ac:dyDescent="0.25">
      <c r="A422" s="37"/>
      <c r="B422" s="78"/>
      <c r="C422" s="70"/>
      <c r="D422" s="37"/>
      <c r="E422" s="70"/>
      <c r="F422" s="70"/>
      <c r="G422" s="37"/>
      <c r="H422" s="70"/>
      <c r="I422" s="70"/>
      <c r="J422" s="37"/>
      <c r="K422" s="70"/>
      <c r="L422" s="70"/>
      <c r="M422" s="70"/>
      <c r="N422" s="70"/>
      <c r="O422" s="70"/>
    </row>
    <row r="423" spans="1:15" x14ac:dyDescent="0.25">
      <c r="A423" s="37"/>
      <c r="B423" s="78"/>
      <c r="C423" s="70"/>
      <c r="D423" s="37"/>
      <c r="E423" s="70"/>
      <c r="F423" s="70"/>
      <c r="G423" s="37"/>
      <c r="H423" s="70"/>
      <c r="I423" s="70"/>
      <c r="J423" s="37"/>
      <c r="K423" s="70"/>
      <c r="L423" s="70"/>
      <c r="M423" s="70"/>
      <c r="N423" s="70"/>
      <c r="O423" s="70"/>
    </row>
    <row r="424" spans="1:15" x14ac:dyDescent="0.25">
      <c r="A424" s="37"/>
      <c r="B424" s="78"/>
      <c r="C424" s="70"/>
      <c r="D424" s="37"/>
      <c r="E424" s="70"/>
      <c r="F424" s="70"/>
      <c r="G424" s="37"/>
      <c r="H424" s="70"/>
      <c r="I424" s="70"/>
      <c r="J424" s="37"/>
      <c r="K424" s="70"/>
      <c r="L424" s="70"/>
      <c r="M424" s="70"/>
      <c r="N424" s="70"/>
      <c r="O424" s="70"/>
    </row>
    <row r="425" spans="1:15" x14ac:dyDescent="0.25">
      <c r="A425" s="37"/>
      <c r="B425" s="78"/>
      <c r="C425" s="70"/>
      <c r="D425" s="37"/>
      <c r="E425" s="70"/>
      <c r="F425" s="70"/>
      <c r="G425" s="37"/>
      <c r="H425" s="70"/>
      <c r="I425" s="70"/>
      <c r="J425" s="37"/>
      <c r="K425" s="70"/>
      <c r="L425" s="70"/>
      <c r="M425" s="70"/>
      <c r="N425" s="70"/>
      <c r="O425" s="70"/>
    </row>
    <row r="426" spans="1:15" x14ac:dyDescent="0.25">
      <c r="A426" s="37"/>
      <c r="B426" s="78"/>
      <c r="C426" s="70"/>
      <c r="D426" s="37"/>
      <c r="E426" s="70"/>
      <c r="F426" s="70"/>
      <c r="G426" s="37"/>
      <c r="H426" s="70"/>
      <c r="I426" s="70"/>
      <c r="J426" s="37"/>
      <c r="K426" s="70"/>
      <c r="L426" s="70"/>
      <c r="M426" s="70"/>
      <c r="N426" s="70"/>
      <c r="O426" s="70"/>
    </row>
    <row r="427" spans="1:15" x14ac:dyDescent="0.25">
      <c r="A427" s="37"/>
      <c r="B427" s="78"/>
      <c r="C427" s="70"/>
      <c r="D427" s="37"/>
      <c r="E427" s="70"/>
      <c r="F427" s="70"/>
      <c r="G427" s="37"/>
      <c r="H427" s="70"/>
      <c r="I427" s="70"/>
      <c r="J427" s="37"/>
      <c r="K427" s="70"/>
      <c r="L427" s="70"/>
      <c r="M427" s="70"/>
      <c r="N427" s="70"/>
      <c r="O427" s="70"/>
    </row>
    <row r="428" spans="1:15" x14ac:dyDescent="0.25">
      <c r="A428" s="37"/>
      <c r="B428" s="78"/>
      <c r="C428" s="70"/>
      <c r="D428" s="37"/>
      <c r="E428" s="70"/>
      <c r="F428" s="70"/>
      <c r="G428" s="37"/>
      <c r="H428" s="70"/>
      <c r="I428" s="70"/>
      <c r="J428" s="37"/>
      <c r="K428" s="70"/>
      <c r="L428" s="70"/>
      <c r="M428" s="70"/>
      <c r="N428" s="70"/>
      <c r="O428" s="70"/>
    </row>
    <row r="429" spans="1:15" x14ac:dyDescent="0.25">
      <c r="A429" s="37"/>
      <c r="B429" s="78"/>
      <c r="C429" s="70"/>
      <c r="D429" s="37"/>
      <c r="E429" s="70"/>
      <c r="F429" s="70"/>
      <c r="G429" s="37"/>
      <c r="H429" s="70"/>
      <c r="I429" s="70"/>
      <c r="J429" s="37"/>
      <c r="K429" s="70"/>
      <c r="L429" s="70"/>
      <c r="M429" s="70"/>
      <c r="N429" s="70"/>
      <c r="O429" s="70"/>
    </row>
    <row r="430" spans="1:15" x14ac:dyDescent="0.25">
      <c r="A430" s="37"/>
      <c r="B430" s="78"/>
      <c r="C430" s="70"/>
      <c r="D430" s="37"/>
      <c r="E430" s="70"/>
      <c r="F430" s="70"/>
      <c r="G430" s="37"/>
      <c r="H430" s="70"/>
      <c r="I430" s="70"/>
      <c r="J430" s="37"/>
      <c r="K430" s="70"/>
      <c r="L430" s="70"/>
      <c r="M430" s="70"/>
      <c r="N430" s="70"/>
      <c r="O430" s="70"/>
    </row>
    <row r="431" spans="1:15" x14ac:dyDescent="0.25">
      <c r="A431" s="37"/>
      <c r="B431" s="78"/>
      <c r="C431" s="70"/>
      <c r="D431" s="37"/>
      <c r="E431" s="70"/>
      <c r="F431" s="70"/>
      <c r="G431" s="37"/>
      <c r="H431" s="70"/>
      <c r="I431" s="70"/>
      <c r="J431" s="37"/>
      <c r="K431" s="70"/>
      <c r="L431" s="70"/>
      <c r="M431" s="70"/>
      <c r="N431" s="70"/>
      <c r="O431" s="70"/>
    </row>
    <row r="432" spans="1:15" x14ac:dyDescent="0.25">
      <c r="A432" s="37"/>
      <c r="B432" s="78"/>
      <c r="C432" s="70"/>
      <c r="D432" s="37"/>
      <c r="E432" s="70"/>
      <c r="F432" s="70"/>
      <c r="G432" s="37"/>
      <c r="H432" s="70"/>
      <c r="I432" s="70"/>
      <c r="J432" s="37"/>
      <c r="K432" s="70"/>
      <c r="L432" s="70"/>
      <c r="M432" s="70"/>
      <c r="N432" s="70"/>
      <c r="O432" s="70"/>
    </row>
    <row r="433" spans="1:15" x14ac:dyDescent="0.25">
      <c r="A433" s="37"/>
      <c r="B433" s="78"/>
      <c r="C433" s="70"/>
      <c r="D433" s="37"/>
      <c r="E433" s="70"/>
      <c r="F433" s="70"/>
      <c r="G433" s="37"/>
      <c r="H433" s="70"/>
      <c r="I433" s="70"/>
      <c r="J433" s="37"/>
      <c r="K433" s="70"/>
      <c r="L433" s="70"/>
      <c r="M433" s="70"/>
      <c r="N433" s="70"/>
      <c r="O433" s="70"/>
    </row>
    <row r="434" spans="1:15" x14ac:dyDescent="0.25">
      <c r="A434" s="37"/>
      <c r="B434" s="78"/>
      <c r="C434" s="70"/>
      <c r="D434" s="37"/>
      <c r="E434" s="70"/>
      <c r="F434" s="70"/>
      <c r="G434" s="37"/>
      <c r="H434" s="70"/>
      <c r="I434" s="70"/>
      <c r="J434" s="37"/>
      <c r="K434" s="70"/>
      <c r="L434" s="70"/>
      <c r="M434" s="70"/>
      <c r="N434" s="70"/>
      <c r="O434" s="70"/>
    </row>
    <row r="435" spans="1:15" x14ac:dyDescent="0.25">
      <c r="A435" s="37"/>
      <c r="B435" s="78"/>
      <c r="C435" s="70"/>
      <c r="D435" s="37"/>
      <c r="E435" s="70"/>
      <c r="F435" s="70"/>
      <c r="G435" s="37"/>
      <c r="H435" s="70"/>
      <c r="I435" s="70"/>
      <c r="J435" s="37"/>
      <c r="K435" s="70"/>
      <c r="L435" s="70"/>
      <c r="M435" s="70"/>
      <c r="N435" s="70"/>
      <c r="O435" s="70"/>
    </row>
    <row r="436" spans="1:15" x14ac:dyDescent="0.25">
      <c r="A436" s="37"/>
      <c r="B436" s="78"/>
      <c r="C436" s="70"/>
      <c r="D436" s="37"/>
      <c r="E436" s="70"/>
      <c r="F436" s="70"/>
      <c r="G436" s="37"/>
      <c r="H436" s="70"/>
      <c r="I436" s="70"/>
      <c r="J436" s="37"/>
      <c r="K436" s="70"/>
      <c r="L436" s="70"/>
      <c r="M436" s="70"/>
      <c r="N436" s="70"/>
      <c r="O436" s="70"/>
    </row>
    <row r="437" spans="1:15" x14ac:dyDescent="0.25">
      <c r="A437" s="37"/>
      <c r="B437" s="78"/>
      <c r="C437" s="70"/>
      <c r="D437" s="37"/>
      <c r="E437" s="70"/>
      <c r="F437" s="70"/>
      <c r="G437" s="37"/>
      <c r="H437" s="70"/>
      <c r="I437" s="70"/>
      <c r="J437" s="37"/>
      <c r="K437" s="70"/>
      <c r="L437" s="70"/>
      <c r="M437" s="70"/>
      <c r="N437" s="70"/>
      <c r="O437" s="70"/>
    </row>
    <row r="438" spans="1:15" x14ac:dyDescent="0.25">
      <c r="A438" s="37"/>
      <c r="B438" s="78"/>
      <c r="C438" s="70"/>
      <c r="D438" s="37"/>
      <c r="E438" s="70"/>
      <c r="F438" s="70"/>
      <c r="G438" s="37"/>
      <c r="H438" s="70"/>
      <c r="I438" s="70"/>
      <c r="J438" s="37"/>
      <c r="K438" s="70"/>
      <c r="L438" s="70"/>
      <c r="M438" s="70"/>
      <c r="N438" s="70"/>
      <c r="O438" s="70"/>
    </row>
    <row r="439" spans="1:15" x14ac:dyDescent="0.25">
      <c r="A439" s="37"/>
      <c r="B439" s="78"/>
      <c r="C439" s="70"/>
      <c r="D439" s="37"/>
      <c r="E439" s="70"/>
      <c r="F439" s="70"/>
      <c r="G439" s="37"/>
      <c r="H439" s="70"/>
      <c r="I439" s="70"/>
      <c r="J439" s="37"/>
      <c r="K439" s="70"/>
      <c r="L439" s="70"/>
      <c r="M439" s="70"/>
      <c r="N439" s="70"/>
      <c r="O439" s="70"/>
    </row>
    <row r="440" spans="1:15" x14ac:dyDescent="0.25">
      <c r="A440" s="37"/>
      <c r="B440" s="78"/>
      <c r="C440" s="70"/>
      <c r="D440" s="37"/>
      <c r="E440" s="70"/>
      <c r="F440" s="70"/>
      <c r="G440" s="37"/>
      <c r="H440" s="70"/>
      <c r="I440" s="70"/>
      <c r="J440" s="37"/>
      <c r="K440" s="70"/>
      <c r="L440" s="70"/>
      <c r="M440" s="70"/>
      <c r="N440" s="70"/>
      <c r="O440" s="70"/>
    </row>
    <row r="441" spans="1:15" x14ac:dyDescent="0.25">
      <c r="A441" s="37"/>
      <c r="B441" s="78"/>
      <c r="C441" s="70"/>
      <c r="D441" s="37"/>
      <c r="E441" s="70"/>
      <c r="F441" s="70"/>
      <c r="G441" s="37"/>
      <c r="H441" s="70"/>
      <c r="I441" s="70"/>
      <c r="J441" s="37"/>
      <c r="K441" s="70"/>
      <c r="L441" s="70"/>
      <c r="M441" s="70"/>
      <c r="N441" s="70"/>
      <c r="O441" s="70"/>
    </row>
    <row r="442" spans="1:15" x14ac:dyDescent="0.25">
      <c r="A442" s="37"/>
      <c r="B442" s="78"/>
      <c r="C442" s="70"/>
      <c r="D442" s="37"/>
      <c r="E442" s="70"/>
      <c r="F442" s="70"/>
      <c r="G442" s="37"/>
      <c r="H442" s="70"/>
      <c r="I442" s="70"/>
      <c r="J442" s="37"/>
      <c r="K442" s="70"/>
      <c r="L442" s="70"/>
      <c r="M442" s="70"/>
      <c r="N442" s="70"/>
      <c r="O442" s="70"/>
    </row>
    <row r="443" spans="1:15" x14ac:dyDescent="0.25">
      <c r="A443" s="37"/>
      <c r="B443" s="78"/>
      <c r="C443" s="70"/>
      <c r="D443" s="37"/>
      <c r="E443" s="70"/>
      <c r="F443" s="70"/>
      <c r="G443" s="37"/>
      <c r="H443" s="70"/>
      <c r="I443" s="70"/>
      <c r="J443" s="37"/>
      <c r="K443" s="70"/>
      <c r="L443" s="70"/>
      <c r="M443" s="70"/>
      <c r="N443" s="70"/>
      <c r="O443" s="70"/>
    </row>
    <row r="444" spans="1:15" x14ac:dyDescent="0.25">
      <c r="A444" s="37"/>
      <c r="B444" s="78"/>
      <c r="C444" s="70"/>
      <c r="D444" s="37"/>
      <c r="E444" s="70"/>
      <c r="F444" s="70"/>
      <c r="G444" s="37"/>
      <c r="H444" s="70"/>
      <c r="I444" s="70"/>
      <c r="J444" s="37"/>
      <c r="K444" s="70"/>
      <c r="L444" s="70"/>
      <c r="M444" s="70"/>
      <c r="N444" s="70"/>
      <c r="O444" s="70"/>
    </row>
    <row r="445" spans="1:15" x14ac:dyDescent="0.25">
      <c r="A445" s="37"/>
      <c r="B445" s="78"/>
      <c r="C445" s="70"/>
      <c r="D445" s="37"/>
      <c r="E445" s="70"/>
      <c r="F445" s="70"/>
      <c r="G445" s="37"/>
      <c r="H445" s="70"/>
      <c r="I445" s="70"/>
      <c r="J445" s="37"/>
      <c r="K445" s="70"/>
      <c r="L445" s="70"/>
      <c r="M445" s="70"/>
      <c r="N445" s="70"/>
      <c r="O445" s="70"/>
    </row>
    <row r="446" spans="1:15" x14ac:dyDescent="0.25">
      <c r="A446" s="37"/>
      <c r="B446" s="78"/>
      <c r="C446" s="70"/>
      <c r="D446" s="37"/>
      <c r="E446" s="70"/>
      <c r="F446" s="70"/>
      <c r="G446" s="37"/>
      <c r="H446" s="70"/>
      <c r="I446" s="70"/>
      <c r="J446" s="37"/>
      <c r="K446" s="70"/>
      <c r="L446" s="70"/>
      <c r="M446" s="70"/>
      <c r="N446" s="70"/>
      <c r="O446" s="70"/>
    </row>
    <row r="447" spans="1:15" x14ac:dyDescent="0.25">
      <c r="A447" s="37"/>
      <c r="B447" s="78"/>
      <c r="C447" s="70"/>
      <c r="D447" s="37"/>
      <c r="E447" s="70"/>
      <c r="F447" s="70"/>
      <c r="G447" s="37"/>
      <c r="H447" s="70"/>
      <c r="I447" s="70"/>
      <c r="J447" s="37"/>
      <c r="K447" s="70"/>
      <c r="L447" s="70"/>
      <c r="M447" s="70"/>
      <c r="N447" s="70"/>
      <c r="O447" s="70"/>
    </row>
    <row r="448" spans="1:15" x14ac:dyDescent="0.25">
      <c r="A448" s="37"/>
      <c r="B448" s="78"/>
      <c r="C448" s="70"/>
      <c r="D448" s="37"/>
      <c r="E448" s="70"/>
      <c r="F448" s="70"/>
      <c r="G448" s="37"/>
      <c r="H448" s="70"/>
      <c r="I448" s="70"/>
      <c r="J448" s="37"/>
      <c r="K448" s="70"/>
      <c r="L448" s="70"/>
      <c r="M448" s="70"/>
      <c r="N448" s="70"/>
      <c r="O448" s="70"/>
    </row>
    <row r="449" spans="1:15" x14ac:dyDescent="0.25">
      <c r="A449" s="37"/>
      <c r="B449" s="78"/>
      <c r="C449" s="70"/>
      <c r="D449" s="37"/>
      <c r="E449" s="70"/>
      <c r="F449" s="70"/>
      <c r="G449" s="37"/>
      <c r="H449" s="70"/>
      <c r="I449" s="70"/>
      <c r="J449" s="37"/>
      <c r="K449" s="70"/>
      <c r="L449" s="70"/>
      <c r="M449" s="70"/>
      <c r="N449" s="70"/>
      <c r="O449" s="70"/>
    </row>
    <row r="450" spans="1:15" x14ac:dyDescent="0.25">
      <c r="A450" s="37"/>
      <c r="B450" s="78"/>
      <c r="C450" s="70"/>
      <c r="D450" s="37"/>
      <c r="E450" s="70"/>
      <c r="F450" s="70"/>
      <c r="G450" s="37"/>
      <c r="H450" s="70"/>
      <c r="I450" s="70"/>
      <c r="J450" s="37"/>
      <c r="K450" s="70"/>
      <c r="L450" s="70"/>
      <c r="M450" s="70"/>
      <c r="N450" s="70"/>
      <c r="O450" s="70"/>
    </row>
    <row r="451" spans="1:15" x14ac:dyDescent="0.25">
      <c r="A451" s="37"/>
      <c r="B451" s="78"/>
      <c r="C451" s="70"/>
      <c r="D451" s="37"/>
      <c r="E451" s="70"/>
      <c r="F451" s="70"/>
      <c r="G451" s="37"/>
      <c r="H451" s="70"/>
      <c r="I451" s="70"/>
      <c r="J451" s="37"/>
      <c r="K451" s="70"/>
      <c r="L451" s="70"/>
      <c r="M451" s="70"/>
      <c r="N451" s="70"/>
      <c r="O451" s="70"/>
    </row>
    <row r="452" spans="1:15" x14ac:dyDescent="0.25">
      <c r="A452" s="37"/>
      <c r="B452" s="78"/>
      <c r="C452" s="70"/>
      <c r="D452" s="37"/>
      <c r="E452" s="70"/>
      <c r="F452" s="70"/>
      <c r="G452" s="37"/>
      <c r="H452" s="70"/>
      <c r="I452" s="70"/>
      <c r="J452" s="37"/>
      <c r="K452" s="70"/>
      <c r="L452" s="70"/>
      <c r="M452" s="70"/>
      <c r="N452" s="70"/>
      <c r="O452" s="70"/>
    </row>
    <row r="453" spans="1:15" x14ac:dyDescent="0.25">
      <c r="A453" s="37"/>
      <c r="B453" s="78"/>
      <c r="C453" s="70"/>
      <c r="D453" s="37"/>
      <c r="E453" s="70"/>
      <c r="F453" s="70"/>
      <c r="G453" s="37"/>
      <c r="H453" s="70"/>
      <c r="I453" s="70"/>
      <c r="J453" s="37"/>
      <c r="K453" s="70"/>
      <c r="L453" s="70"/>
      <c r="M453" s="70"/>
      <c r="N453" s="70"/>
      <c r="O453" s="70"/>
    </row>
    <row r="454" spans="1:15" x14ac:dyDescent="0.25">
      <c r="A454" s="37"/>
      <c r="B454" s="78"/>
      <c r="C454" s="70"/>
      <c r="D454" s="37"/>
      <c r="E454" s="70"/>
      <c r="F454" s="70"/>
      <c r="G454" s="37"/>
      <c r="H454" s="70"/>
      <c r="I454" s="70"/>
      <c r="J454" s="37"/>
      <c r="K454" s="70"/>
      <c r="L454" s="70"/>
      <c r="M454" s="70"/>
      <c r="N454" s="70"/>
      <c r="O454" s="70"/>
    </row>
    <row r="455" spans="1:15" x14ac:dyDescent="0.25">
      <c r="A455" s="37"/>
      <c r="B455" s="78"/>
      <c r="C455" s="70"/>
      <c r="D455" s="37"/>
      <c r="E455" s="70"/>
      <c r="F455" s="70"/>
      <c r="G455" s="37"/>
      <c r="H455" s="70"/>
      <c r="I455" s="70"/>
      <c r="J455" s="37"/>
      <c r="K455" s="70"/>
      <c r="L455" s="70"/>
      <c r="M455" s="70"/>
      <c r="N455" s="70"/>
      <c r="O455" s="70"/>
    </row>
    <row r="456" spans="1:15" x14ac:dyDescent="0.25">
      <c r="A456" s="37"/>
      <c r="B456" s="78"/>
      <c r="C456" s="70"/>
      <c r="D456" s="37"/>
      <c r="E456" s="70"/>
      <c r="F456" s="70"/>
      <c r="G456" s="37"/>
      <c r="H456" s="70"/>
      <c r="I456" s="70"/>
      <c r="J456" s="37"/>
      <c r="K456" s="70"/>
      <c r="L456" s="70"/>
      <c r="M456" s="70"/>
      <c r="N456" s="70"/>
      <c r="O456" s="70"/>
    </row>
    <row r="457" spans="1:15" x14ac:dyDescent="0.25">
      <c r="A457" s="37"/>
      <c r="B457" s="78"/>
      <c r="C457" s="70"/>
      <c r="D457" s="37"/>
      <c r="E457" s="70"/>
      <c r="F457" s="70"/>
      <c r="G457" s="37"/>
      <c r="H457" s="70"/>
      <c r="I457" s="70"/>
      <c r="J457" s="37"/>
      <c r="K457" s="70"/>
      <c r="L457" s="70"/>
      <c r="M457" s="70"/>
      <c r="N457" s="70"/>
      <c r="O457" s="70"/>
    </row>
    <row r="458" spans="1:15" x14ac:dyDescent="0.25">
      <c r="A458" s="37"/>
      <c r="B458" s="78"/>
      <c r="C458" s="70"/>
      <c r="D458" s="37"/>
      <c r="E458" s="70"/>
      <c r="F458" s="70"/>
      <c r="G458" s="37"/>
      <c r="H458" s="70"/>
      <c r="I458" s="70"/>
      <c r="J458" s="37"/>
      <c r="K458" s="70"/>
      <c r="L458" s="70"/>
      <c r="M458" s="70"/>
      <c r="N458" s="70"/>
      <c r="O458" s="70"/>
    </row>
    <row r="459" spans="1:15" x14ac:dyDescent="0.25">
      <c r="A459" s="37"/>
      <c r="B459" s="78"/>
      <c r="C459" s="70"/>
      <c r="D459" s="37"/>
      <c r="E459" s="70"/>
      <c r="F459" s="70"/>
      <c r="G459" s="37"/>
      <c r="H459" s="70"/>
      <c r="I459" s="70"/>
      <c r="J459" s="37"/>
      <c r="K459" s="70"/>
      <c r="L459" s="70"/>
      <c r="M459" s="70"/>
      <c r="N459" s="70"/>
      <c r="O459" s="70"/>
    </row>
    <row r="460" spans="1:15" x14ac:dyDescent="0.25">
      <c r="A460" s="37"/>
      <c r="B460" s="78"/>
      <c r="C460" s="70"/>
      <c r="D460" s="37"/>
      <c r="E460" s="70"/>
      <c r="F460" s="70"/>
      <c r="G460" s="37"/>
      <c r="H460" s="70"/>
      <c r="I460" s="70"/>
      <c r="J460" s="37"/>
      <c r="K460" s="70"/>
      <c r="L460" s="70"/>
      <c r="M460" s="70"/>
      <c r="N460" s="70"/>
      <c r="O460" s="70"/>
    </row>
    <row r="461" spans="1:15" x14ac:dyDescent="0.25">
      <c r="A461" s="37"/>
      <c r="B461" s="78"/>
      <c r="C461" s="70"/>
      <c r="D461" s="37"/>
      <c r="E461" s="70"/>
      <c r="F461" s="70"/>
      <c r="G461" s="37"/>
      <c r="H461" s="70"/>
      <c r="I461" s="70"/>
      <c r="J461" s="37"/>
      <c r="K461" s="70"/>
      <c r="L461" s="70"/>
      <c r="M461" s="70"/>
      <c r="N461" s="70"/>
      <c r="O461" s="70"/>
    </row>
    <row r="462" spans="1:15" x14ac:dyDescent="0.25">
      <c r="A462" s="37"/>
      <c r="B462" s="78"/>
      <c r="C462" s="70"/>
      <c r="D462" s="37"/>
      <c r="E462" s="70"/>
      <c r="F462" s="70"/>
      <c r="G462" s="37"/>
      <c r="H462" s="70"/>
      <c r="I462" s="70"/>
      <c r="J462" s="37"/>
      <c r="K462" s="70"/>
      <c r="L462" s="70"/>
      <c r="M462" s="70"/>
      <c r="N462" s="70"/>
      <c r="O462" s="70"/>
    </row>
    <row r="463" spans="1:15" x14ac:dyDescent="0.25">
      <c r="A463" s="37"/>
      <c r="B463" s="78"/>
      <c r="C463" s="70"/>
      <c r="D463" s="37"/>
      <c r="E463" s="70"/>
      <c r="F463" s="70"/>
      <c r="G463" s="37"/>
      <c r="H463" s="70"/>
      <c r="I463" s="70"/>
      <c r="J463" s="37"/>
      <c r="K463" s="70"/>
      <c r="L463" s="70"/>
      <c r="M463" s="70"/>
      <c r="N463" s="70"/>
      <c r="O463" s="70"/>
    </row>
    <row r="464" spans="1:15" x14ac:dyDescent="0.25">
      <c r="A464" s="37"/>
      <c r="B464" s="78"/>
      <c r="C464" s="70"/>
      <c r="D464" s="37"/>
      <c r="E464" s="70"/>
      <c r="F464" s="70"/>
      <c r="G464" s="37"/>
      <c r="H464" s="70"/>
      <c r="I464" s="70"/>
      <c r="J464" s="37"/>
      <c r="K464" s="70"/>
      <c r="L464" s="70"/>
      <c r="M464" s="70"/>
      <c r="N464" s="70"/>
      <c r="O464" s="70"/>
    </row>
    <row r="465" spans="1:15" x14ac:dyDescent="0.25">
      <c r="A465" s="37"/>
      <c r="B465" s="78"/>
      <c r="C465" s="70"/>
      <c r="D465" s="37"/>
      <c r="E465" s="70"/>
      <c r="F465" s="70"/>
      <c r="G465" s="37"/>
      <c r="H465" s="70"/>
      <c r="I465" s="70"/>
      <c r="J465" s="37"/>
      <c r="K465" s="70"/>
      <c r="L465" s="70"/>
      <c r="M465" s="70"/>
      <c r="N465" s="70"/>
      <c r="O465" s="70"/>
    </row>
    <row r="466" spans="1:15" x14ac:dyDescent="0.25">
      <c r="A466" s="37"/>
      <c r="B466" s="78"/>
      <c r="C466" s="70"/>
      <c r="D466" s="37"/>
      <c r="E466" s="70"/>
      <c r="F466" s="70"/>
      <c r="G466" s="37"/>
      <c r="H466" s="70"/>
      <c r="I466" s="70"/>
      <c r="J466" s="37"/>
      <c r="K466" s="70"/>
      <c r="L466" s="70"/>
      <c r="M466" s="70"/>
      <c r="N466" s="70"/>
      <c r="O466" s="70"/>
    </row>
    <row r="467" spans="1:15" x14ac:dyDescent="0.25">
      <c r="A467" s="37"/>
      <c r="B467" s="78"/>
      <c r="C467" s="70"/>
      <c r="D467" s="37"/>
      <c r="E467" s="70"/>
      <c r="F467" s="70"/>
      <c r="G467" s="37"/>
      <c r="H467" s="70"/>
      <c r="I467" s="70"/>
      <c r="J467" s="37"/>
      <c r="K467" s="70"/>
      <c r="L467" s="70"/>
      <c r="M467" s="70"/>
      <c r="N467" s="70"/>
      <c r="O467" s="70"/>
    </row>
    <row r="468" spans="1:15" x14ac:dyDescent="0.25">
      <c r="A468" s="37"/>
      <c r="B468" s="78"/>
      <c r="C468" s="70"/>
      <c r="D468" s="37"/>
      <c r="E468" s="70"/>
      <c r="F468" s="70"/>
      <c r="G468" s="37"/>
      <c r="H468" s="70"/>
      <c r="I468" s="70"/>
      <c r="J468" s="37"/>
      <c r="K468" s="70"/>
      <c r="L468" s="70"/>
      <c r="M468" s="70"/>
      <c r="N468" s="70"/>
      <c r="O468" s="70"/>
    </row>
    <row r="469" spans="1:15" x14ac:dyDescent="0.25">
      <c r="A469" s="37"/>
      <c r="B469" s="78"/>
      <c r="C469" s="70"/>
      <c r="D469" s="37"/>
      <c r="E469" s="70"/>
      <c r="F469" s="70"/>
      <c r="G469" s="37"/>
      <c r="H469" s="70"/>
      <c r="I469" s="70"/>
      <c r="J469" s="37"/>
      <c r="K469" s="70"/>
      <c r="L469" s="70"/>
      <c r="M469" s="70"/>
      <c r="N469" s="70"/>
      <c r="O469" s="70"/>
    </row>
    <row r="470" spans="1:15" x14ac:dyDescent="0.25">
      <c r="A470" s="37"/>
      <c r="B470" s="78"/>
      <c r="C470" s="70"/>
      <c r="D470" s="37"/>
      <c r="E470" s="70"/>
      <c r="F470" s="70"/>
      <c r="G470" s="37"/>
      <c r="H470" s="70"/>
      <c r="I470" s="70"/>
      <c r="J470" s="37"/>
      <c r="K470" s="70"/>
      <c r="L470" s="70"/>
      <c r="M470" s="70"/>
      <c r="N470" s="70"/>
      <c r="O470" s="70"/>
    </row>
    <row r="471" spans="1:15" x14ac:dyDescent="0.25">
      <c r="A471" s="37"/>
      <c r="B471" s="78"/>
      <c r="C471" s="70"/>
      <c r="D471" s="37"/>
      <c r="E471" s="70"/>
      <c r="F471" s="70"/>
      <c r="G471" s="37"/>
      <c r="H471" s="70"/>
      <c r="I471" s="70"/>
      <c r="J471" s="37"/>
      <c r="K471" s="70"/>
      <c r="L471" s="70"/>
      <c r="M471" s="70"/>
      <c r="N471" s="70"/>
      <c r="O471" s="70"/>
    </row>
    <row r="472" spans="1:15" x14ac:dyDescent="0.25">
      <c r="A472" s="37"/>
      <c r="B472" s="78"/>
      <c r="C472" s="70"/>
      <c r="D472" s="37"/>
      <c r="E472" s="70"/>
      <c r="F472" s="70"/>
      <c r="G472" s="37"/>
      <c r="H472" s="70"/>
      <c r="I472" s="70"/>
      <c r="J472" s="37"/>
      <c r="K472" s="70"/>
      <c r="L472" s="70"/>
      <c r="M472" s="70"/>
      <c r="N472" s="70"/>
      <c r="O472" s="70"/>
    </row>
    <row r="473" spans="1:15" x14ac:dyDescent="0.25">
      <c r="A473" s="37"/>
      <c r="B473" s="78"/>
      <c r="C473" s="70"/>
      <c r="D473" s="37"/>
      <c r="E473" s="70"/>
      <c r="F473" s="70"/>
      <c r="G473" s="37"/>
      <c r="H473" s="70"/>
      <c r="I473" s="70"/>
      <c r="J473" s="37"/>
      <c r="K473" s="70"/>
      <c r="L473" s="70"/>
      <c r="M473" s="70"/>
      <c r="N473" s="70"/>
      <c r="O473" s="70"/>
    </row>
    <row r="474" spans="1:15" x14ac:dyDescent="0.25">
      <c r="A474" s="37"/>
      <c r="B474" s="78"/>
      <c r="C474" s="70"/>
      <c r="D474" s="37"/>
      <c r="E474" s="70"/>
      <c r="F474" s="70"/>
      <c r="G474" s="37"/>
      <c r="H474" s="70"/>
      <c r="I474" s="70"/>
      <c r="J474" s="37"/>
      <c r="K474" s="70"/>
      <c r="L474" s="70"/>
      <c r="M474" s="70"/>
      <c r="N474" s="70"/>
      <c r="O474" s="70"/>
    </row>
    <row r="475" spans="1:15" x14ac:dyDescent="0.25">
      <c r="A475" s="37"/>
      <c r="B475" s="78"/>
      <c r="C475" s="70"/>
      <c r="D475" s="37"/>
      <c r="E475" s="70"/>
      <c r="F475" s="70"/>
      <c r="G475" s="37"/>
      <c r="H475" s="70"/>
      <c r="I475" s="70"/>
      <c r="J475" s="37"/>
      <c r="K475" s="70"/>
      <c r="L475" s="70"/>
      <c r="M475" s="70"/>
      <c r="N475" s="70"/>
      <c r="O475" s="70"/>
    </row>
    <row r="476" spans="1:15" x14ac:dyDescent="0.25">
      <c r="A476" s="37"/>
      <c r="B476" s="78"/>
      <c r="C476" s="70"/>
      <c r="D476" s="37"/>
      <c r="E476" s="70"/>
      <c r="F476" s="70"/>
      <c r="G476" s="37"/>
      <c r="H476" s="70"/>
      <c r="I476" s="70"/>
      <c r="J476" s="37"/>
      <c r="K476" s="70"/>
      <c r="L476" s="70"/>
      <c r="M476" s="70"/>
      <c r="N476" s="70"/>
      <c r="O476" s="70"/>
    </row>
    <row r="477" spans="1:15" x14ac:dyDescent="0.25">
      <c r="A477" s="37"/>
      <c r="B477" s="78"/>
      <c r="C477" s="70"/>
      <c r="D477" s="37"/>
      <c r="E477" s="70"/>
      <c r="F477" s="70"/>
      <c r="G477" s="37"/>
      <c r="H477" s="70"/>
      <c r="I477" s="70"/>
      <c r="J477" s="37"/>
      <c r="K477" s="70"/>
      <c r="L477" s="70"/>
      <c r="M477" s="70"/>
      <c r="N477" s="70"/>
      <c r="O477" s="70"/>
    </row>
    <row r="478" spans="1:15" x14ac:dyDescent="0.25">
      <c r="A478" s="37"/>
      <c r="B478" s="78"/>
      <c r="C478" s="70"/>
      <c r="D478" s="37"/>
      <c r="E478" s="70"/>
      <c r="F478" s="70"/>
      <c r="G478" s="37"/>
      <c r="H478" s="70"/>
      <c r="I478" s="70"/>
      <c r="J478" s="37"/>
      <c r="K478" s="70"/>
      <c r="L478" s="70"/>
      <c r="M478" s="70"/>
      <c r="N478" s="70"/>
      <c r="O478" s="70"/>
    </row>
    <row r="479" spans="1:15" x14ac:dyDescent="0.25">
      <c r="A479" s="37"/>
      <c r="B479" s="78"/>
      <c r="C479" s="70"/>
      <c r="D479" s="37"/>
      <c r="E479" s="70"/>
      <c r="F479" s="70"/>
      <c r="G479" s="37"/>
      <c r="H479" s="70"/>
      <c r="I479" s="70"/>
      <c r="J479" s="37"/>
      <c r="K479" s="70"/>
      <c r="L479" s="70"/>
      <c r="M479" s="70"/>
      <c r="N479" s="70"/>
      <c r="O479" s="70"/>
    </row>
    <row r="480" spans="1:15" x14ac:dyDescent="0.25">
      <c r="A480" s="37"/>
      <c r="B480" s="78"/>
      <c r="C480" s="70"/>
      <c r="D480" s="37"/>
      <c r="E480" s="70"/>
      <c r="F480" s="70"/>
      <c r="G480" s="37"/>
      <c r="H480" s="70"/>
      <c r="I480" s="70"/>
      <c r="J480" s="37"/>
      <c r="K480" s="70"/>
      <c r="L480" s="70"/>
      <c r="M480" s="70"/>
      <c r="N480" s="70"/>
      <c r="O480" s="70"/>
    </row>
    <row r="481" spans="1:15" x14ac:dyDescent="0.25">
      <c r="A481" s="37"/>
      <c r="B481" s="78"/>
      <c r="C481" s="70"/>
      <c r="D481" s="37"/>
      <c r="E481" s="70"/>
      <c r="F481" s="70"/>
      <c r="G481" s="37"/>
      <c r="H481" s="70"/>
      <c r="I481" s="70"/>
      <c r="J481" s="37"/>
      <c r="K481" s="70"/>
      <c r="L481" s="70"/>
      <c r="M481" s="70"/>
      <c r="N481" s="70"/>
      <c r="O481" s="70"/>
    </row>
    <row r="482" spans="1:15" x14ac:dyDescent="0.25">
      <c r="A482" s="37"/>
      <c r="B482" s="78"/>
      <c r="C482" s="70"/>
      <c r="D482" s="37"/>
      <c r="E482" s="70"/>
      <c r="F482" s="70"/>
      <c r="G482" s="37"/>
      <c r="H482" s="70"/>
      <c r="I482" s="70"/>
      <c r="J482" s="37"/>
      <c r="K482" s="70"/>
      <c r="L482" s="70"/>
      <c r="M482" s="70"/>
      <c r="N482" s="70"/>
      <c r="O482" s="70"/>
    </row>
    <row r="483" spans="1:15" x14ac:dyDescent="0.25">
      <c r="A483" s="37"/>
      <c r="B483" s="78"/>
      <c r="C483" s="70"/>
      <c r="D483" s="37"/>
      <c r="E483" s="70"/>
      <c r="F483" s="70"/>
      <c r="G483" s="37"/>
      <c r="H483" s="70"/>
      <c r="I483" s="70"/>
      <c r="J483" s="37"/>
      <c r="K483" s="70"/>
      <c r="L483" s="70"/>
      <c r="M483" s="70"/>
      <c r="N483" s="70"/>
      <c r="O483" s="70"/>
    </row>
    <row r="484" spans="1:15" x14ac:dyDescent="0.25">
      <c r="A484" s="37"/>
      <c r="B484" s="78"/>
      <c r="C484" s="70"/>
      <c r="D484" s="37"/>
      <c r="E484" s="70"/>
      <c r="F484" s="70"/>
      <c r="G484" s="37"/>
      <c r="H484" s="70"/>
      <c r="I484" s="70"/>
      <c r="J484" s="37"/>
      <c r="K484" s="70"/>
      <c r="L484" s="70"/>
      <c r="M484" s="70"/>
      <c r="N484" s="70"/>
      <c r="O484" s="70"/>
    </row>
    <row r="485" spans="1:15" x14ac:dyDescent="0.25">
      <c r="A485" s="37"/>
      <c r="B485" s="78"/>
      <c r="C485" s="70"/>
      <c r="D485" s="37"/>
      <c r="E485" s="70"/>
      <c r="F485" s="70"/>
      <c r="G485" s="37"/>
      <c r="H485" s="70"/>
      <c r="I485" s="70"/>
      <c r="J485" s="37"/>
      <c r="K485" s="70"/>
      <c r="L485" s="70"/>
      <c r="M485" s="70"/>
      <c r="N485" s="70"/>
      <c r="O485" s="70"/>
    </row>
    <row r="486" spans="1:15" x14ac:dyDescent="0.25">
      <c r="A486" s="37"/>
      <c r="B486" s="78"/>
      <c r="C486" s="70"/>
      <c r="D486" s="37"/>
      <c r="E486" s="70"/>
      <c r="F486" s="70"/>
      <c r="G486" s="37"/>
      <c r="H486" s="70"/>
      <c r="I486" s="70"/>
      <c r="J486" s="37"/>
      <c r="K486" s="70"/>
      <c r="L486" s="70"/>
      <c r="M486" s="70"/>
      <c r="N486" s="70"/>
      <c r="O486" s="70"/>
    </row>
    <row r="487" spans="1:15" x14ac:dyDescent="0.25">
      <c r="A487" s="37"/>
      <c r="B487" s="78"/>
      <c r="C487" s="70"/>
      <c r="D487" s="37"/>
      <c r="E487" s="70"/>
      <c r="F487" s="70"/>
      <c r="G487" s="37"/>
      <c r="H487" s="70"/>
      <c r="I487" s="70"/>
      <c r="J487" s="37"/>
      <c r="K487" s="70"/>
      <c r="L487" s="70"/>
      <c r="M487" s="70"/>
      <c r="N487" s="70"/>
      <c r="O487" s="70"/>
    </row>
    <row r="488" spans="1:15" x14ac:dyDescent="0.25">
      <c r="A488" s="37"/>
      <c r="B488" s="78"/>
      <c r="C488" s="70"/>
      <c r="D488" s="37"/>
      <c r="E488" s="70"/>
      <c r="F488" s="70"/>
      <c r="G488" s="37"/>
      <c r="H488" s="70"/>
      <c r="I488" s="70"/>
      <c r="J488" s="37"/>
      <c r="K488" s="70"/>
      <c r="L488" s="70"/>
      <c r="M488" s="70"/>
      <c r="N488" s="70"/>
      <c r="O488" s="70"/>
    </row>
    <row r="489" spans="1:15" x14ac:dyDescent="0.25">
      <c r="A489" s="37"/>
      <c r="B489" s="78"/>
      <c r="C489" s="70"/>
      <c r="D489" s="37"/>
      <c r="E489" s="70"/>
      <c r="F489" s="70"/>
      <c r="G489" s="37"/>
      <c r="H489" s="70"/>
      <c r="I489" s="70"/>
      <c r="J489" s="37"/>
      <c r="K489" s="70"/>
      <c r="L489" s="70"/>
      <c r="M489" s="70"/>
      <c r="N489" s="70"/>
      <c r="O489" s="70"/>
    </row>
    <row r="490" spans="1:15" x14ac:dyDescent="0.25">
      <c r="A490" s="37"/>
      <c r="B490" s="78"/>
      <c r="C490" s="70"/>
      <c r="D490" s="37"/>
      <c r="E490" s="70"/>
      <c r="F490" s="70"/>
      <c r="G490" s="37"/>
      <c r="H490" s="70"/>
      <c r="I490" s="70"/>
      <c r="J490" s="37"/>
      <c r="K490" s="70"/>
      <c r="L490" s="70"/>
      <c r="M490" s="70"/>
      <c r="N490" s="70"/>
      <c r="O490" s="70"/>
    </row>
    <row r="491" spans="1:15" x14ac:dyDescent="0.25">
      <c r="A491" s="37"/>
      <c r="B491" s="78"/>
      <c r="C491" s="70"/>
      <c r="D491" s="37"/>
      <c r="E491" s="70"/>
      <c r="F491" s="70"/>
      <c r="G491" s="37"/>
      <c r="H491" s="70"/>
      <c r="I491" s="70"/>
      <c r="J491" s="37"/>
      <c r="K491" s="70"/>
      <c r="L491" s="70"/>
      <c r="M491" s="70"/>
      <c r="N491" s="70"/>
      <c r="O491" s="70"/>
    </row>
    <row r="492" spans="1:15" x14ac:dyDescent="0.25">
      <c r="A492" s="37"/>
      <c r="B492" s="78"/>
      <c r="C492" s="70"/>
      <c r="D492" s="37"/>
      <c r="E492" s="70"/>
      <c r="F492" s="70"/>
      <c r="G492" s="37"/>
      <c r="H492" s="70"/>
      <c r="I492" s="70"/>
      <c r="J492" s="37"/>
      <c r="K492" s="70"/>
      <c r="L492" s="70"/>
      <c r="M492" s="70"/>
      <c r="N492" s="70"/>
      <c r="O492" s="70"/>
    </row>
    <row r="493" spans="1:15" x14ac:dyDescent="0.25">
      <c r="A493" s="37"/>
      <c r="B493" s="78"/>
      <c r="C493" s="70"/>
      <c r="D493" s="37"/>
      <c r="E493" s="70"/>
      <c r="F493" s="70"/>
      <c r="G493" s="37"/>
      <c r="H493" s="70"/>
      <c r="I493" s="70"/>
      <c r="J493" s="37"/>
      <c r="K493" s="70"/>
      <c r="L493" s="70"/>
      <c r="M493" s="70"/>
      <c r="N493" s="70"/>
      <c r="O493" s="70"/>
    </row>
    <row r="494" spans="1:15" x14ac:dyDescent="0.25">
      <c r="A494" s="37"/>
      <c r="B494" s="78"/>
      <c r="C494" s="70"/>
      <c r="D494" s="37"/>
      <c r="E494" s="70"/>
      <c r="F494" s="70"/>
      <c r="G494" s="37"/>
      <c r="H494" s="70"/>
      <c r="I494" s="70"/>
      <c r="J494" s="37"/>
      <c r="K494" s="70"/>
      <c r="L494" s="70"/>
      <c r="M494" s="70"/>
      <c r="N494" s="70"/>
      <c r="O494" s="70"/>
    </row>
    <row r="495" spans="1:15" x14ac:dyDescent="0.25">
      <c r="A495" s="37"/>
      <c r="B495" s="78"/>
      <c r="C495" s="70"/>
      <c r="D495" s="37"/>
      <c r="E495" s="70"/>
      <c r="F495" s="70"/>
      <c r="G495" s="37"/>
      <c r="H495" s="70"/>
      <c r="I495" s="70"/>
      <c r="J495" s="37"/>
      <c r="K495" s="70"/>
      <c r="L495" s="70"/>
      <c r="M495" s="70"/>
      <c r="N495" s="70"/>
      <c r="O495" s="70"/>
    </row>
    <row r="496" spans="1:15" x14ac:dyDescent="0.25">
      <c r="A496" s="37"/>
      <c r="B496" s="78"/>
      <c r="C496" s="70"/>
      <c r="D496" s="37"/>
      <c r="E496" s="70"/>
      <c r="F496" s="70"/>
      <c r="G496" s="37"/>
      <c r="H496" s="70"/>
      <c r="I496" s="70"/>
      <c r="J496" s="37"/>
      <c r="K496" s="70"/>
      <c r="L496" s="70"/>
      <c r="M496" s="70"/>
      <c r="N496" s="70"/>
      <c r="O496" s="70"/>
    </row>
    <row r="497" spans="1:15" x14ac:dyDescent="0.25">
      <c r="A497" s="37"/>
      <c r="B497" s="78"/>
      <c r="C497" s="70"/>
      <c r="D497" s="37"/>
      <c r="E497" s="70"/>
      <c r="F497" s="70"/>
      <c r="G497" s="37"/>
      <c r="H497" s="70"/>
      <c r="I497" s="70"/>
      <c r="J497" s="37"/>
      <c r="K497" s="70"/>
      <c r="L497" s="70"/>
      <c r="M497" s="70"/>
      <c r="N497" s="70"/>
      <c r="O497" s="70"/>
    </row>
    <row r="498" spans="1:15" x14ac:dyDescent="0.25">
      <c r="A498" s="37"/>
      <c r="B498" s="78"/>
      <c r="C498" s="70"/>
      <c r="D498" s="37"/>
      <c r="E498" s="70"/>
      <c r="F498" s="70"/>
      <c r="G498" s="37"/>
      <c r="H498" s="70"/>
      <c r="I498" s="70"/>
      <c r="J498" s="37"/>
      <c r="K498" s="70"/>
      <c r="L498" s="70"/>
      <c r="M498" s="70"/>
      <c r="N498" s="70"/>
      <c r="O498" s="70"/>
    </row>
    <row r="499" spans="1:15" x14ac:dyDescent="0.25">
      <c r="A499" s="37"/>
      <c r="B499" s="78"/>
      <c r="C499" s="70"/>
      <c r="D499" s="37"/>
      <c r="E499" s="70"/>
      <c r="F499" s="70"/>
      <c r="G499" s="37"/>
      <c r="H499" s="70"/>
      <c r="I499" s="70"/>
      <c r="J499" s="37"/>
      <c r="K499" s="70"/>
      <c r="L499" s="70"/>
      <c r="M499" s="70"/>
      <c r="N499" s="70"/>
      <c r="O499" s="70"/>
    </row>
    <row r="500" spans="1:15" x14ac:dyDescent="0.25">
      <c r="A500" s="37"/>
      <c r="B500" s="78"/>
      <c r="C500" s="70"/>
      <c r="D500" s="37"/>
      <c r="E500" s="70"/>
      <c r="F500" s="70"/>
      <c r="G500" s="37"/>
      <c r="H500" s="70"/>
      <c r="I500" s="70"/>
      <c r="J500" s="37"/>
      <c r="K500" s="70"/>
      <c r="L500" s="70"/>
      <c r="M500" s="70"/>
      <c r="N500" s="70"/>
      <c r="O500" s="70"/>
    </row>
    <row r="501" spans="1:15" x14ac:dyDescent="0.25">
      <c r="A501" s="37"/>
      <c r="B501" s="78"/>
      <c r="C501" s="70"/>
      <c r="D501" s="37"/>
      <c r="E501" s="70"/>
      <c r="F501" s="70"/>
      <c r="G501" s="37"/>
      <c r="H501" s="70"/>
      <c r="I501" s="70"/>
      <c r="J501" s="37"/>
      <c r="K501" s="70"/>
      <c r="L501" s="70"/>
      <c r="M501" s="70"/>
      <c r="N501" s="70"/>
      <c r="O501" s="70"/>
    </row>
    <row r="502" spans="1:15" x14ac:dyDescent="0.25">
      <c r="A502" s="37"/>
      <c r="B502" s="78"/>
      <c r="C502" s="70"/>
      <c r="D502" s="37"/>
      <c r="E502" s="70"/>
      <c r="F502" s="70"/>
      <c r="G502" s="37"/>
      <c r="H502" s="70"/>
      <c r="I502" s="70"/>
      <c r="J502" s="37"/>
      <c r="K502" s="70"/>
      <c r="L502" s="70"/>
      <c r="M502" s="70"/>
      <c r="N502" s="70"/>
      <c r="O502" s="70"/>
    </row>
    <row r="503" spans="1:15" x14ac:dyDescent="0.25">
      <c r="A503" s="37"/>
      <c r="B503" s="78"/>
      <c r="C503" s="70"/>
      <c r="D503" s="37"/>
      <c r="E503" s="70"/>
      <c r="F503" s="70"/>
      <c r="G503" s="37"/>
      <c r="H503" s="70"/>
      <c r="I503" s="70"/>
      <c r="J503" s="37"/>
      <c r="K503" s="70"/>
      <c r="L503" s="70"/>
      <c r="M503" s="70"/>
      <c r="N503" s="70"/>
      <c r="O503" s="70"/>
    </row>
    <row r="504" spans="1:15" x14ac:dyDescent="0.25">
      <c r="A504" s="37"/>
      <c r="B504" s="78"/>
      <c r="C504" s="70"/>
      <c r="D504" s="37"/>
      <c r="E504" s="70"/>
      <c r="F504" s="70"/>
      <c r="G504" s="37"/>
      <c r="H504" s="70"/>
      <c r="I504" s="70"/>
      <c r="J504" s="37"/>
      <c r="K504" s="70"/>
      <c r="L504" s="70"/>
      <c r="M504" s="70"/>
      <c r="N504" s="70"/>
      <c r="O504" s="70"/>
    </row>
    <row r="505" spans="1:15" x14ac:dyDescent="0.25">
      <c r="A505" s="37"/>
      <c r="B505" s="78"/>
      <c r="C505" s="70"/>
      <c r="D505" s="37"/>
      <c r="E505" s="70"/>
      <c r="F505" s="70"/>
      <c r="G505" s="37"/>
      <c r="H505" s="70"/>
      <c r="I505" s="70"/>
      <c r="J505" s="37"/>
      <c r="K505" s="70"/>
      <c r="L505" s="70"/>
      <c r="M505" s="70"/>
      <c r="N505" s="70"/>
      <c r="O505" s="70"/>
    </row>
    <row r="506" spans="1:15" x14ac:dyDescent="0.25">
      <c r="A506" s="37"/>
      <c r="B506" s="78"/>
      <c r="C506" s="70"/>
      <c r="D506" s="37"/>
      <c r="E506" s="70"/>
      <c r="F506" s="70"/>
      <c r="G506" s="37"/>
      <c r="H506" s="70"/>
      <c r="I506" s="70"/>
      <c r="J506" s="37"/>
      <c r="K506" s="70"/>
      <c r="L506" s="70"/>
      <c r="M506" s="70"/>
      <c r="N506" s="70"/>
      <c r="O506" s="70"/>
    </row>
    <row r="507" spans="1:15" x14ac:dyDescent="0.25">
      <c r="A507" s="37"/>
      <c r="B507" s="78"/>
      <c r="C507" s="70"/>
      <c r="D507" s="37"/>
      <c r="E507" s="70"/>
      <c r="F507" s="70"/>
      <c r="G507" s="37"/>
      <c r="H507" s="70"/>
      <c r="I507" s="70"/>
      <c r="J507" s="37"/>
      <c r="K507" s="70"/>
      <c r="L507" s="70"/>
      <c r="M507" s="70"/>
      <c r="N507" s="70"/>
      <c r="O507" s="70"/>
    </row>
    <row r="508" spans="1:15" x14ac:dyDescent="0.25">
      <c r="A508" s="37"/>
      <c r="B508" s="78"/>
      <c r="C508" s="70"/>
      <c r="D508" s="37"/>
      <c r="E508" s="70"/>
      <c r="F508" s="70"/>
      <c r="G508" s="37"/>
      <c r="H508" s="70"/>
      <c r="I508" s="70"/>
      <c r="J508" s="37"/>
      <c r="K508" s="70"/>
      <c r="L508" s="70"/>
      <c r="M508" s="70"/>
      <c r="N508" s="70"/>
      <c r="O508" s="70"/>
    </row>
    <row r="509" spans="1:15" x14ac:dyDescent="0.25">
      <c r="A509" s="37"/>
      <c r="B509" s="78"/>
      <c r="C509" s="70"/>
      <c r="D509" s="37"/>
      <c r="E509" s="70"/>
      <c r="F509" s="70"/>
      <c r="G509" s="37"/>
      <c r="H509" s="70"/>
      <c r="I509" s="70"/>
      <c r="J509" s="37"/>
      <c r="K509" s="70"/>
      <c r="L509" s="70"/>
      <c r="M509" s="70"/>
      <c r="N509" s="70"/>
      <c r="O509" s="70"/>
    </row>
    <row r="510" spans="1:15" x14ac:dyDescent="0.25">
      <c r="A510" s="37"/>
      <c r="B510" s="78"/>
      <c r="C510" s="70"/>
      <c r="D510" s="37"/>
      <c r="E510" s="70"/>
      <c r="F510" s="70"/>
      <c r="G510" s="37"/>
      <c r="H510" s="70"/>
      <c r="I510" s="70"/>
      <c r="J510" s="37"/>
      <c r="K510" s="70"/>
      <c r="L510" s="70"/>
      <c r="M510" s="70"/>
      <c r="N510" s="70"/>
      <c r="O510" s="70"/>
    </row>
    <row r="511" spans="1:15" x14ac:dyDescent="0.25">
      <c r="A511" s="37"/>
      <c r="B511" s="78"/>
      <c r="C511" s="70"/>
      <c r="D511" s="37"/>
      <c r="E511" s="70"/>
      <c r="F511" s="70"/>
      <c r="G511" s="37"/>
      <c r="H511" s="70"/>
      <c r="I511" s="70"/>
      <c r="J511" s="37"/>
      <c r="K511" s="70"/>
      <c r="L511" s="70"/>
      <c r="M511" s="70"/>
      <c r="N511" s="70"/>
      <c r="O511" s="70"/>
    </row>
    <row r="512" spans="1:15" x14ac:dyDescent="0.25">
      <c r="A512" s="37"/>
      <c r="B512" s="78"/>
      <c r="C512" s="70"/>
      <c r="D512" s="37"/>
      <c r="E512" s="70"/>
      <c r="F512" s="70"/>
      <c r="G512" s="37"/>
      <c r="H512" s="70"/>
      <c r="I512" s="70"/>
      <c r="J512" s="37"/>
      <c r="K512" s="70"/>
      <c r="L512" s="70"/>
      <c r="M512" s="70"/>
      <c r="N512" s="70"/>
      <c r="O512" s="70"/>
    </row>
    <row r="513" spans="1:15" x14ac:dyDescent="0.25">
      <c r="A513" s="37"/>
      <c r="B513" s="78"/>
      <c r="C513" s="70"/>
      <c r="D513" s="37"/>
      <c r="E513" s="70"/>
      <c r="F513" s="70"/>
      <c r="G513" s="37"/>
      <c r="H513" s="70"/>
      <c r="I513" s="70"/>
      <c r="J513" s="37"/>
      <c r="K513" s="70"/>
      <c r="L513" s="70"/>
      <c r="M513" s="70"/>
      <c r="N513" s="70"/>
      <c r="O513" s="70"/>
    </row>
    <row r="514" spans="1:15" x14ac:dyDescent="0.25">
      <c r="A514" s="37"/>
      <c r="B514" s="78"/>
      <c r="C514" s="70"/>
      <c r="D514" s="37"/>
      <c r="E514" s="70"/>
      <c r="F514" s="70"/>
      <c r="G514" s="37"/>
      <c r="H514" s="70"/>
      <c r="I514" s="70"/>
      <c r="J514" s="37"/>
      <c r="K514" s="70"/>
      <c r="L514" s="70"/>
      <c r="M514" s="70"/>
      <c r="N514" s="70"/>
      <c r="O514" s="70"/>
    </row>
    <row r="515" spans="1:15" x14ac:dyDescent="0.25">
      <c r="A515" s="37"/>
      <c r="B515" s="78"/>
      <c r="C515" s="70"/>
      <c r="D515" s="37"/>
      <c r="E515" s="70"/>
      <c r="F515" s="70"/>
      <c r="G515" s="37"/>
      <c r="H515" s="70"/>
      <c r="I515" s="70"/>
      <c r="J515" s="37"/>
      <c r="K515" s="70"/>
      <c r="L515" s="70"/>
      <c r="M515" s="70"/>
      <c r="N515" s="70"/>
      <c r="O515" s="70"/>
    </row>
    <row r="516" spans="1:15" x14ac:dyDescent="0.25">
      <c r="A516" s="37"/>
      <c r="B516" s="78"/>
      <c r="C516" s="70"/>
      <c r="D516" s="37"/>
      <c r="E516" s="70"/>
      <c r="F516" s="70"/>
      <c r="G516" s="37"/>
      <c r="H516" s="70"/>
      <c r="I516" s="70"/>
      <c r="J516" s="37"/>
      <c r="K516" s="70"/>
      <c r="L516" s="70"/>
      <c r="M516" s="70"/>
      <c r="N516" s="70"/>
      <c r="O516" s="70"/>
    </row>
    <row r="517" spans="1:15" x14ac:dyDescent="0.25">
      <c r="A517" s="37"/>
      <c r="B517" s="78"/>
      <c r="C517" s="70"/>
      <c r="D517" s="37"/>
      <c r="E517" s="70"/>
      <c r="F517" s="70"/>
      <c r="G517" s="37"/>
      <c r="H517" s="70"/>
      <c r="I517" s="70"/>
      <c r="J517" s="37"/>
      <c r="K517" s="70"/>
      <c r="L517" s="70"/>
      <c r="M517" s="70"/>
      <c r="N517" s="70"/>
      <c r="O517" s="70"/>
    </row>
    <row r="518" spans="1:15" x14ac:dyDescent="0.25">
      <c r="A518" s="37"/>
      <c r="B518" s="78"/>
      <c r="C518" s="70"/>
      <c r="D518" s="37"/>
      <c r="E518" s="70"/>
      <c r="F518" s="70"/>
      <c r="G518" s="37"/>
      <c r="H518" s="70"/>
      <c r="I518" s="70"/>
      <c r="J518" s="37"/>
      <c r="K518" s="70"/>
      <c r="L518" s="70"/>
      <c r="M518" s="70"/>
      <c r="N518" s="70"/>
      <c r="O518" s="70"/>
    </row>
    <row r="519" spans="1:15" x14ac:dyDescent="0.25">
      <c r="A519" s="37"/>
      <c r="B519" s="78"/>
      <c r="C519" s="70"/>
      <c r="D519" s="37"/>
      <c r="E519" s="70"/>
      <c r="F519" s="70"/>
      <c r="G519" s="37"/>
      <c r="H519" s="70"/>
      <c r="I519" s="70"/>
      <c r="J519" s="37"/>
      <c r="K519" s="70"/>
      <c r="L519" s="70"/>
      <c r="M519" s="70"/>
      <c r="N519" s="70"/>
      <c r="O519" s="70"/>
    </row>
    <row r="520" spans="1:15" x14ac:dyDescent="0.25">
      <c r="A520" s="37"/>
      <c r="B520" s="78"/>
      <c r="C520" s="70"/>
      <c r="D520" s="37"/>
      <c r="E520" s="70"/>
      <c r="F520" s="70"/>
      <c r="G520" s="37"/>
      <c r="H520" s="70"/>
      <c r="I520" s="70"/>
      <c r="J520" s="37"/>
      <c r="K520" s="70"/>
      <c r="L520" s="70"/>
      <c r="M520" s="70"/>
      <c r="N520" s="70"/>
      <c r="O520" s="70"/>
    </row>
    <row r="521" spans="1:15" x14ac:dyDescent="0.25">
      <c r="A521" s="37"/>
      <c r="B521" s="78"/>
      <c r="C521" s="70"/>
      <c r="D521" s="37"/>
      <c r="E521" s="70"/>
      <c r="F521" s="70"/>
      <c r="G521" s="37"/>
      <c r="H521" s="70"/>
      <c r="I521" s="70"/>
      <c r="J521" s="37"/>
      <c r="K521" s="70"/>
      <c r="L521" s="70"/>
      <c r="M521" s="70"/>
      <c r="N521" s="70"/>
      <c r="O521" s="70"/>
    </row>
    <row r="522" spans="1:15" x14ac:dyDescent="0.25">
      <c r="A522" s="37"/>
      <c r="B522" s="78"/>
      <c r="C522" s="70"/>
      <c r="D522" s="37"/>
      <c r="E522" s="70"/>
      <c r="F522" s="70"/>
      <c r="G522" s="37"/>
      <c r="H522" s="70"/>
      <c r="I522" s="70"/>
      <c r="J522" s="37"/>
      <c r="K522" s="70"/>
      <c r="L522" s="70"/>
      <c r="M522" s="70"/>
      <c r="N522" s="70"/>
      <c r="O522" s="70"/>
    </row>
    <row r="523" spans="1:15" x14ac:dyDescent="0.25">
      <c r="A523" s="37"/>
      <c r="B523" s="78"/>
      <c r="C523" s="70"/>
      <c r="D523" s="37"/>
      <c r="E523" s="70"/>
      <c r="F523" s="70"/>
      <c r="G523" s="37"/>
      <c r="H523" s="70"/>
      <c r="I523" s="70"/>
      <c r="J523" s="37"/>
      <c r="K523" s="70"/>
      <c r="L523" s="70"/>
      <c r="M523" s="70"/>
      <c r="N523" s="70"/>
      <c r="O523" s="70"/>
    </row>
    <row r="524" spans="1:15" x14ac:dyDescent="0.25">
      <c r="A524" s="37"/>
      <c r="B524" s="78"/>
      <c r="C524" s="70"/>
      <c r="D524" s="37"/>
      <c r="E524" s="70"/>
      <c r="F524" s="70"/>
      <c r="G524" s="37"/>
      <c r="H524" s="70"/>
      <c r="I524" s="70"/>
      <c r="J524" s="37"/>
      <c r="K524" s="70"/>
      <c r="L524" s="70"/>
      <c r="M524" s="70"/>
      <c r="N524" s="70"/>
      <c r="O524" s="70"/>
    </row>
    <row r="525" spans="1:15" x14ac:dyDescent="0.25">
      <c r="A525" s="37"/>
      <c r="B525" s="78"/>
      <c r="C525" s="70"/>
      <c r="D525" s="37"/>
      <c r="E525" s="70"/>
      <c r="F525" s="70"/>
      <c r="G525" s="37"/>
      <c r="H525" s="70"/>
      <c r="I525" s="70"/>
      <c r="J525" s="37"/>
      <c r="K525" s="70"/>
      <c r="L525" s="70"/>
      <c r="M525" s="70"/>
      <c r="N525" s="70"/>
      <c r="O525" s="70"/>
    </row>
    <row r="526" spans="1:15" x14ac:dyDescent="0.25">
      <c r="A526" s="37"/>
      <c r="B526" s="78"/>
      <c r="C526" s="70"/>
      <c r="D526" s="37"/>
      <c r="E526" s="70"/>
      <c r="F526" s="70"/>
      <c r="G526" s="37"/>
      <c r="H526" s="70"/>
      <c r="I526" s="70"/>
      <c r="J526" s="37"/>
      <c r="K526" s="70"/>
      <c r="L526" s="70"/>
      <c r="M526" s="70"/>
      <c r="N526" s="70"/>
      <c r="O526" s="70"/>
    </row>
    <row r="527" spans="1:15" x14ac:dyDescent="0.25">
      <c r="A527" s="37"/>
      <c r="B527" s="78"/>
      <c r="C527" s="70"/>
      <c r="D527" s="37"/>
      <c r="E527" s="70"/>
      <c r="F527" s="70"/>
      <c r="G527" s="37"/>
      <c r="H527" s="70"/>
      <c r="I527" s="70"/>
      <c r="J527" s="37"/>
      <c r="K527" s="70"/>
      <c r="L527" s="70"/>
      <c r="M527" s="70"/>
      <c r="N527" s="70"/>
      <c r="O527" s="70"/>
    </row>
    <row r="528" spans="1:15" x14ac:dyDescent="0.25">
      <c r="A528" s="37"/>
      <c r="B528" s="78"/>
      <c r="C528" s="70"/>
      <c r="D528" s="37"/>
      <c r="E528" s="70"/>
      <c r="F528" s="70"/>
      <c r="G528" s="37"/>
      <c r="H528" s="70"/>
      <c r="I528" s="70"/>
      <c r="J528" s="37"/>
      <c r="K528" s="70"/>
      <c r="L528" s="70"/>
      <c r="M528" s="70"/>
      <c r="N528" s="70"/>
      <c r="O528" s="70"/>
    </row>
    <row r="529" spans="1:15" x14ac:dyDescent="0.25">
      <c r="A529" s="37"/>
      <c r="B529" s="78"/>
      <c r="C529" s="70"/>
      <c r="D529" s="37"/>
      <c r="E529" s="70"/>
      <c r="F529" s="70"/>
      <c r="G529" s="37"/>
      <c r="H529" s="70"/>
      <c r="I529" s="70"/>
      <c r="J529" s="37"/>
      <c r="K529" s="70"/>
      <c r="L529" s="70"/>
      <c r="M529" s="70"/>
      <c r="N529" s="70"/>
      <c r="O529" s="70"/>
    </row>
    <row r="530" spans="1:15" x14ac:dyDescent="0.25">
      <c r="A530" s="37"/>
      <c r="B530" s="78"/>
      <c r="C530" s="70"/>
      <c r="D530" s="37"/>
      <c r="E530" s="70"/>
      <c r="F530" s="70"/>
      <c r="G530" s="37"/>
      <c r="H530" s="70"/>
      <c r="I530" s="70"/>
      <c r="J530" s="37"/>
      <c r="K530" s="70"/>
      <c r="L530" s="70"/>
      <c r="M530" s="70"/>
      <c r="N530" s="70"/>
      <c r="O530" s="70"/>
    </row>
    <row r="531" spans="1:15" x14ac:dyDescent="0.25">
      <c r="A531" s="37"/>
      <c r="B531" s="78"/>
      <c r="C531" s="70"/>
      <c r="D531" s="37"/>
      <c r="E531" s="70"/>
      <c r="F531" s="70"/>
      <c r="G531" s="37"/>
      <c r="H531" s="70"/>
      <c r="I531" s="70"/>
      <c r="J531" s="37"/>
      <c r="K531" s="70"/>
      <c r="L531" s="70"/>
      <c r="M531" s="70"/>
      <c r="N531" s="70"/>
      <c r="O531" s="70"/>
    </row>
    <row r="532" spans="1:15" x14ac:dyDescent="0.25">
      <c r="A532" s="37"/>
      <c r="B532" s="78"/>
      <c r="C532" s="70"/>
      <c r="D532" s="37"/>
      <c r="E532" s="70"/>
      <c r="F532" s="70"/>
      <c r="G532" s="37"/>
      <c r="H532" s="70"/>
      <c r="I532" s="70"/>
      <c r="J532" s="37"/>
      <c r="K532" s="70"/>
      <c r="L532" s="70"/>
      <c r="M532" s="70"/>
      <c r="N532" s="70"/>
      <c r="O532" s="70"/>
    </row>
    <row r="533" spans="1:15" x14ac:dyDescent="0.25">
      <c r="A533" s="37"/>
      <c r="B533" s="78"/>
      <c r="C533" s="70"/>
      <c r="D533" s="37"/>
      <c r="E533" s="70"/>
      <c r="F533" s="70"/>
      <c r="G533" s="37"/>
      <c r="H533" s="70"/>
      <c r="I533" s="70"/>
      <c r="J533" s="37"/>
      <c r="K533" s="70"/>
      <c r="L533" s="70"/>
      <c r="M533" s="70"/>
      <c r="N533" s="70"/>
      <c r="O533" s="70"/>
    </row>
    <row r="534" spans="1:15" x14ac:dyDescent="0.25">
      <c r="A534" s="37"/>
      <c r="B534" s="78"/>
      <c r="C534" s="70"/>
      <c r="D534" s="37"/>
      <c r="E534" s="70"/>
      <c r="F534" s="70"/>
      <c r="G534" s="37"/>
      <c r="H534" s="70"/>
      <c r="I534" s="70"/>
      <c r="J534" s="37"/>
      <c r="K534" s="70"/>
      <c r="L534" s="70"/>
      <c r="M534" s="70"/>
      <c r="N534" s="70"/>
      <c r="O534" s="70"/>
    </row>
    <row r="535" spans="1:15" x14ac:dyDescent="0.25">
      <c r="A535" s="37"/>
      <c r="B535" s="78"/>
      <c r="C535" s="70"/>
      <c r="D535" s="37"/>
      <c r="E535" s="70"/>
      <c r="F535" s="70"/>
      <c r="G535" s="37"/>
      <c r="H535" s="70"/>
      <c r="I535" s="70"/>
      <c r="J535" s="37"/>
      <c r="K535" s="70"/>
      <c r="L535" s="70"/>
      <c r="M535" s="70"/>
      <c r="N535" s="70"/>
      <c r="O535" s="70"/>
    </row>
    <row r="536" spans="1:15" x14ac:dyDescent="0.25">
      <c r="A536" s="37"/>
      <c r="B536" s="78"/>
      <c r="C536" s="70"/>
    </row>
    <row r="537" spans="1:15" x14ac:dyDescent="0.25">
      <c r="A537" s="37"/>
      <c r="B537" s="78"/>
      <c r="C537" s="70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5"/>
  <sheetViews>
    <sheetView topLeftCell="B5" workbookViewId="0">
      <pane ySplit="3" topLeftCell="A49" activePane="bottomLeft" state="frozen"/>
      <selection activeCell="A5" sqref="A5"/>
      <selection pane="bottomLeft" activeCell="O67" sqref="O67"/>
    </sheetView>
  </sheetViews>
  <sheetFormatPr baseColWidth="10" defaultRowHeight="15" x14ac:dyDescent="0.25"/>
  <cols>
    <col min="1" max="1" width="7.7109375" style="7" customWidth="1"/>
    <col min="2" max="2" width="8.7109375" style="7" customWidth="1"/>
    <col min="3" max="3" width="23.7109375" customWidth="1"/>
    <col min="4" max="4" width="7.85546875" style="7" customWidth="1"/>
    <col min="5" max="5" width="8.7109375" customWidth="1"/>
    <col min="6" max="6" width="23.7109375" customWidth="1"/>
    <col min="7" max="7" width="7.7109375" style="7" customWidth="1"/>
    <col min="8" max="8" width="8.7109375" customWidth="1"/>
    <col min="9" max="9" width="23.7109375" customWidth="1"/>
    <col min="10" max="10" width="7.7109375" style="7" customWidth="1"/>
    <col min="11" max="11" width="8.7109375" customWidth="1"/>
    <col min="12" max="12" width="23.7109375" customWidth="1"/>
    <col min="13" max="13" width="7.85546875" customWidth="1"/>
    <col min="14" max="14" width="9.570312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08" t="s">
        <v>10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10" t="s">
        <v>15</v>
      </c>
      <c r="M1" s="110"/>
      <c r="N1" s="6">
        <v>2014</v>
      </c>
      <c r="O1" s="5"/>
    </row>
    <row r="2" spans="1:18" ht="15.75" x14ac:dyDescent="0.25">
      <c r="A2" s="8">
        <v>2013</v>
      </c>
    </row>
    <row r="3" spans="1:18" ht="15.75" x14ac:dyDescent="0.25">
      <c r="A3" s="30" t="s">
        <v>7</v>
      </c>
      <c r="C3" s="116" t="s">
        <v>8</v>
      </c>
      <c r="D3" s="116"/>
      <c r="E3" s="28" t="s">
        <v>9</v>
      </c>
      <c r="F3" s="4" t="e">
        <f>#REF!+#REF!+#REF!+#REF!+#REF!</f>
        <v>#REF!</v>
      </c>
      <c r="H3" s="4" t="s">
        <v>3</v>
      </c>
      <c r="I3" s="2" t="e">
        <f>#REF!+#REF!+#REF!+#REF!+#REF!</f>
        <v>#REF!</v>
      </c>
    </row>
    <row r="5" spans="1:18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3" t="s">
        <v>6</v>
      </c>
      <c r="K5" s="123"/>
      <c r="L5" s="123"/>
      <c r="M5" s="122" t="s">
        <v>17</v>
      </c>
      <c r="N5" s="122"/>
      <c r="O5" s="122"/>
      <c r="Q5" s="117" t="s">
        <v>18</v>
      </c>
      <c r="R5" s="117"/>
    </row>
    <row r="6" spans="1:18" x14ac:dyDescent="0.25">
      <c r="A6" s="9">
        <f>SUBTOTAL(3,A8:A121)</f>
        <v>46</v>
      </c>
      <c r="B6" s="9">
        <f>SUBTOTAL(9,B8:B121)</f>
        <v>22095</v>
      </c>
      <c r="C6" s="47">
        <v>42218</v>
      </c>
      <c r="D6" s="9">
        <f>SUBTOTAL(3,D8:D120)</f>
        <v>36</v>
      </c>
      <c r="E6" s="1">
        <f>SUBTOTAL(9,E8:E120)</f>
        <v>21340</v>
      </c>
      <c r="F6" s="50">
        <v>42225</v>
      </c>
      <c r="G6" s="9">
        <f>SUBTOTAL(3,G8:G120)</f>
        <v>46</v>
      </c>
      <c r="H6" s="1">
        <f>SUBTOTAL(9,H8:H120)</f>
        <v>22650</v>
      </c>
      <c r="I6" s="51">
        <v>42232</v>
      </c>
      <c r="J6" s="9">
        <f>SUBTOTAL(3,J8:J110)</f>
        <v>34</v>
      </c>
      <c r="K6" s="1">
        <f>SUBTOTAL(9,K8:K110)</f>
        <v>16330</v>
      </c>
      <c r="L6" s="75">
        <v>42239</v>
      </c>
      <c r="M6" s="1">
        <f>SUBTOTAL(3,M8:M120)</f>
        <v>41</v>
      </c>
      <c r="N6" s="1">
        <f>SUBTOTAL(9,N8:N120)</f>
        <v>29020</v>
      </c>
      <c r="O6" s="97">
        <v>42246</v>
      </c>
      <c r="Q6" s="42">
        <f>+A6+D6+G6+J6+M6</f>
        <v>203</v>
      </c>
      <c r="R6" s="41">
        <f>+B6+E6+H6+K6+N6</f>
        <v>111435</v>
      </c>
    </row>
    <row r="7" spans="1:18" x14ac:dyDescent="0.25">
      <c r="A7" s="58" t="s">
        <v>1</v>
      </c>
      <c r="B7" s="58" t="s">
        <v>3</v>
      </c>
      <c r="C7" s="58" t="s">
        <v>2</v>
      </c>
      <c r="D7" s="59" t="s">
        <v>1</v>
      </c>
      <c r="E7" s="59" t="s">
        <v>3</v>
      </c>
      <c r="F7" s="59" t="s">
        <v>2</v>
      </c>
      <c r="G7" s="60" t="s">
        <v>1</v>
      </c>
      <c r="H7" s="60" t="s">
        <v>3</v>
      </c>
      <c r="I7" s="60" t="s">
        <v>2</v>
      </c>
      <c r="J7" s="72" t="s">
        <v>1</v>
      </c>
      <c r="K7" s="72" t="s">
        <v>3</v>
      </c>
      <c r="L7" s="72" t="s">
        <v>2</v>
      </c>
      <c r="M7" s="53" t="s">
        <v>1</v>
      </c>
      <c r="N7" s="53" t="s">
        <v>3</v>
      </c>
      <c r="O7" s="53" t="s">
        <v>2</v>
      </c>
      <c r="P7" s="39"/>
      <c r="Q7" s="54" t="s">
        <v>9</v>
      </c>
      <c r="R7" s="54" t="s">
        <v>3</v>
      </c>
    </row>
    <row r="8" spans="1:18" x14ac:dyDescent="0.25">
      <c r="A8" s="25">
        <v>9855</v>
      </c>
      <c r="B8" s="61">
        <v>800</v>
      </c>
      <c r="C8" s="26" t="s">
        <v>303</v>
      </c>
      <c r="D8" s="20">
        <v>9901</v>
      </c>
      <c r="E8" s="82">
        <v>400</v>
      </c>
      <c r="F8" s="21"/>
      <c r="G8" s="17">
        <v>9937</v>
      </c>
      <c r="H8" s="79">
        <v>1000</v>
      </c>
      <c r="I8" s="18" t="s">
        <v>364</v>
      </c>
      <c r="J8" s="73">
        <v>9983</v>
      </c>
      <c r="K8" s="83">
        <v>160</v>
      </c>
      <c r="L8" s="74" t="s">
        <v>49</v>
      </c>
      <c r="M8" s="87">
        <v>10017</v>
      </c>
      <c r="N8" s="85">
        <v>320</v>
      </c>
      <c r="O8" s="23" t="s">
        <v>144</v>
      </c>
      <c r="Q8" s="44"/>
      <c r="R8" s="44"/>
    </row>
    <row r="9" spans="1:18" x14ac:dyDescent="0.25">
      <c r="A9" s="25"/>
      <c r="B9" s="61"/>
      <c r="C9" s="26" t="s">
        <v>25</v>
      </c>
      <c r="D9" s="20">
        <v>9902</v>
      </c>
      <c r="E9" s="82">
        <v>1050</v>
      </c>
      <c r="F9" s="21" t="s">
        <v>356</v>
      </c>
      <c r="G9" s="17"/>
      <c r="H9" s="79"/>
      <c r="I9" s="18" t="s">
        <v>27</v>
      </c>
      <c r="J9" s="73">
        <v>9984</v>
      </c>
      <c r="K9" s="83">
        <v>160</v>
      </c>
      <c r="L9" s="74" t="s">
        <v>49</v>
      </c>
      <c r="M9" s="87">
        <v>10018</v>
      </c>
      <c r="N9" s="85"/>
      <c r="O9" s="23" t="s">
        <v>373</v>
      </c>
    </row>
    <row r="10" spans="1:18" x14ac:dyDescent="0.25">
      <c r="A10" s="25">
        <v>9856</v>
      </c>
      <c r="B10" s="61">
        <v>600</v>
      </c>
      <c r="C10" s="26" t="s">
        <v>324</v>
      </c>
      <c r="D10" s="20"/>
      <c r="E10" s="82"/>
      <c r="F10" s="21" t="s">
        <v>357</v>
      </c>
      <c r="G10" s="17">
        <v>9938</v>
      </c>
      <c r="H10" s="79">
        <v>160</v>
      </c>
      <c r="I10" s="18" t="s">
        <v>49</v>
      </c>
      <c r="J10" s="73">
        <v>9985</v>
      </c>
      <c r="K10" s="83">
        <v>160</v>
      </c>
      <c r="L10" s="74" t="s">
        <v>49</v>
      </c>
      <c r="M10" s="87"/>
      <c r="N10" s="85"/>
      <c r="O10" s="23" t="s">
        <v>374</v>
      </c>
    </row>
    <row r="11" spans="1:18" x14ac:dyDescent="0.25">
      <c r="A11" s="25"/>
      <c r="B11" s="61"/>
      <c r="C11" s="26" t="s">
        <v>33</v>
      </c>
      <c r="D11" s="20"/>
      <c r="E11" s="82"/>
      <c r="F11" s="21" t="s">
        <v>76</v>
      </c>
      <c r="G11" s="17">
        <v>9939</v>
      </c>
      <c r="H11" s="79"/>
      <c r="I11" s="18" t="s">
        <v>73</v>
      </c>
      <c r="J11" s="73">
        <v>9986</v>
      </c>
      <c r="K11" s="83">
        <v>150</v>
      </c>
      <c r="L11" s="74"/>
      <c r="M11" s="87">
        <v>10019</v>
      </c>
      <c r="N11" s="85">
        <v>160</v>
      </c>
      <c r="O11" s="23" t="s">
        <v>49</v>
      </c>
    </row>
    <row r="12" spans="1:18" x14ac:dyDescent="0.25">
      <c r="A12" s="25">
        <v>9857</v>
      </c>
      <c r="B12" s="61">
        <v>300</v>
      </c>
      <c r="C12" s="26" t="s">
        <v>320</v>
      </c>
      <c r="D12" s="20">
        <v>9903</v>
      </c>
      <c r="E12" s="82">
        <v>160</v>
      </c>
      <c r="F12" s="21" t="s">
        <v>23</v>
      </c>
      <c r="G12" s="17">
        <v>9940</v>
      </c>
      <c r="H12" s="79">
        <v>1800</v>
      </c>
      <c r="I12" s="18" t="s">
        <v>345</v>
      </c>
      <c r="J12" s="73">
        <v>9987</v>
      </c>
      <c r="K12" s="83">
        <v>310</v>
      </c>
      <c r="L12" s="74" t="s">
        <v>370</v>
      </c>
      <c r="M12" s="87">
        <v>10020</v>
      </c>
      <c r="N12" s="85">
        <v>400</v>
      </c>
      <c r="O12" s="23" t="s">
        <v>347</v>
      </c>
    </row>
    <row r="13" spans="1:18" x14ac:dyDescent="0.25">
      <c r="A13" s="25">
        <v>9858</v>
      </c>
      <c r="B13" s="61">
        <v>400</v>
      </c>
      <c r="C13" s="26"/>
      <c r="D13" s="20">
        <v>9904</v>
      </c>
      <c r="E13" s="82">
        <v>400</v>
      </c>
      <c r="F13" s="21" t="s">
        <v>320</v>
      </c>
      <c r="G13" s="17"/>
      <c r="H13" s="79"/>
      <c r="I13" s="18" t="s">
        <v>365</v>
      </c>
      <c r="J13" s="73">
        <v>9988</v>
      </c>
      <c r="K13" s="83">
        <v>1200</v>
      </c>
      <c r="L13" s="74" t="s">
        <v>291</v>
      </c>
      <c r="M13" s="87"/>
      <c r="N13" s="85"/>
      <c r="O13" s="23" t="s">
        <v>27</v>
      </c>
    </row>
    <row r="14" spans="1:18" x14ac:dyDescent="0.25">
      <c r="A14" s="25">
        <v>9859</v>
      </c>
      <c r="B14" s="61">
        <v>400</v>
      </c>
      <c r="C14" s="26"/>
      <c r="D14" s="20">
        <v>9905</v>
      </c>
      <c r="E14" s="82">
        <v>800</v>
      </c>
      <c r="F14" s="21" t="s">
        <v>324</v>
      </c>
      <c r="G14" s="17">
        <v>9941</v>
      </c>
      <c r="H14" s="79"/>
      <c r="I14" s="18" t="s">
        <v>73</v>
      </c>
      <c r="J14" s="73"/>
      <c r="K14" s="83"/>
      <c r="L14" s="74" t="s">
        <v>25</v>
      </c>
      <c r="M14" s="87">
        <v>10021</v>
      </c>
      <c r="N14" s="85">
        <v>320</v>
      </c>
      <c r="O14" s="43" t="s">
        <v>166</v>
      </c>
    </row>
    <row r="15" spans="1:18" x14ac:dyDescent="0.25">
      <c r="A15" s="25">
        <v>9860</v>
      </c>
      <c r="B15" s="61">
        <v>400</v>
      </c>
      <c r="C15" s="26"/>
      <c r="D15" s="20"/>
      <c r="E15" s="82"/>
      <c r="F15" s="21" t="s">
        <v>25</v>
      </c>
      <c r="G15" s="17">
        <v>9942</v>
      </c>
      <c r="H15" s="79">
        <v>160</v>
      </c>
      <c r="I15" s="18" t="s">
        <v>172</v>
      </c>
      <c r="J15" s="73">
        <v>9989</v>
      </c>
      <c r="K15" s="83">
        <v>200</v>
      </c>
      <c r="L15" s="74"/>
      <c r="M15" s="87"/>
      <c r="N15" s="85"/>
      <c r="O15" s="23" t="s">
        <v>375</v>
      </c>
    </row>
    <row r="16" spans="1:18" x14ac:dyDescent="0.25">
      <c r="A16" s="25">
        <v>9861</v>
      </c>
      <c r="B16" s="61">
        <v>400</v>
      </c>
      <c r="C16" s="26" t="s">
        <v>324</v>
      </c>
      <c r="D16" s="20">
        <v>9906</v>
      </c>
      <c r="E16" s="82">
        <v>600</v>
      </c>
      <c r="F16" s="21" t="s">
        <v>303</v>
      </c>
      <c r="G16" s="17">
        <v>9943</v>
      </c>
      <c r="H16" s="79">
        <v>600</v>
      </c>
      <c r="I16" s="18" t="s">
        <v>320</v>
      </c>
      <c r="J16" s="73">
        <v>9990</v>
      </c>
      <c r="K16" s="83">
        <v>1200</v>
      </c>
      <c r="L16" s="74" t="s">
        <v>349</v>
      </c>
      <c r="M16" s="87">
        <v>10022</v>
      </c>
      <c r="N16" s="85">
        <v>720</v>
      </c>
      <c r="O16" s="23" t="s">
        <v>376</v>
      </c>
    </row>
    <row r="17" spans="1:15" x14ac:dyDescent="0.25">
      <c r="A17" s="25"/>
      <c r="B17" s="61"/>
      <c r="C17" s="26" t="s">
        <v>27</v>
      </c>
      <c r="D17" s="20"/>
      <c r="E17" s="82"/>
      <c r="F17" s="21" t="s">
        <v>33</v>
      </c>
      <c r="G17" s="17">
        <v>9944</v>
      </c>
      <c r="H17" s="79"/>
      <c r="I17" s="18" t="s">
        <v>320</v>
      </c>
      <c r="J17" s="73"/>
      <c r="K17" s="83"/>
      <c r="L17" s="74" t="s">
        <v>25</v>
      </c>
      <c r="M17" s="87"/>
      <c r="N17" s="85"/>
      <c r="O17" s="23" t="s">
        <v>129</v>
      </c>
    </row>
    <row r="18" spans="1:15" x14ac:dyDescent="0.25">
      <c r="A18" s="25">
        <v>9862</v>
      </c>
      <c r="B18" s="61">
        <v>1600</v>
      </c>
      <c r="C18" s="26" t="s">
        <v>285</v>
      </c>
      <c r="D18" s="20">
        <v>9907</v>
      </c>
      <c r="E18" s="82">
        <v>800</v>
      </c>
      <c r="F18" s="45" t="s">
        <v>303</v>
      </c>
      <c r="G18" s="17">
        <v>9945</v>
      </c>
      <c r="H18" s="79"/>
      <c r="I18" s="18" t="s">
        <v>320</v>
      </c>
      <c r="J18" s="73">
        <v>9991</v>
      </c>
      <c r="K18" s="83">
        <v>400</v>
      </c>
      <c r="L18" s="74"/>
      <c r="M18" s="87"/>
      <c r="N18" s="85"/>
      <c r="O18" s="23" t="s">
        <v>377</v>
      </c>
    </row>
    <row r="19" spans="1:15" x14ac:dyDescent="0.25">
      <c r="A19" s="25"/>
      <c r="B19" s="61"/>
      <c r="C19" s="26" t="s">
        <v>25</v>
      </c>
      <c r="D19" s="20"/>
      <c r="E19" s="82"/>
      <c r="F19" s="21" t="s">
        <v>25</v>
      </c>
      <c r="G19" s="17">
        <v>9946</v>
      </c>
      <c r="H19" s="79"/>
      <c r="I19" s="18" t="s">
        <v>259</v>
      </c>
      <c r="J19" s="73">
        <v>9992</v>
      </c>
      <c r="K19" s="83">
        <v>300</v>
      </c>
      <c r="L19" s="74"/>
      <c r="M19" s="87">
        <v>10023</v>
      </c>
      <c r="N19" s="85">
        <v>300</v>
      </c>
      <c r="O19" s="23" t="s">
        <v>320</v>
      </c>
    </row>
    <row r="20" spans="1:15" x14ac:dyDescent="0.25">
      <c r="A20" s="25">
        <v>9863</v>
      </c>
      <c r="B20" s="61">
        <v>400</v>
      </c>
      <c r="C20" s="26"/>
      <c r="D20" s="20">
        <v>9908</v>
      </c>
      <c r="E20" s="82">
        <v>560</v>
      </c>
      <c r="F20" s="21" t="s">
        <v>347</v>
      </c>
      <c r="G20" s="17"/>
      <c r="H20" s="79"/>
      <c r="I20" s="18" t="s">
        <v>25</v>
      </c>
      <c r="J20" s="73">
        <v>9993</v>
      </c>
      <c r="K20" s="83">
        <v>150</v>
      </c>
      <c r="L20" s="74"/>
      <c r="M20" s="87">
        <v>10024</v>
      </c>
      <c r="N20" s="85">
        <v>400</v>
      </c>
      <c r="O20" s="23" t="s">
        <v>378</v>
      </c>
    </row>
    <row r="21" spans="1:15" x14ac:dyDescent="0.25">
      <c r="A21" s="25">
        <v>9864</v>
      </c>
      <c r="B21" s="61">
        <v>600</v>
      </c>
      <c r="C21" s="26" t="s">
        <v>272</v>
      </c>
      <c r="D21" s="20"/>
      <c r="E21" s="82"/>
      <c r="F21" s="21" t="s">
        <v>358</v>
      </c>
      <c r="G21" s="17">
        <v>9947</v>
      </c>
      <c r="H21" s="79">
        <v>400</v>
      </c>
      <c r="I21" s="18"/>
      <c r="J21" s="73">
        <v>9994</v>
      </c>
      <c r="K21" s="83"/>
      <c r="L21" s="74" t="s">
        <v>73</v>
      </c>
      <c r="M21" s="87">
        <v>10025</v>
      </c>
      <c r="N21" s="85">
        <v>800</v>
      </c>
      <c r="O21" s="23" t="s">
        <v>347</v>
      </c>
    </row>
    <row r="22" spans="1:15" x14ac:dyDescent="0.25">
      <c r="A22" s="25"/>
      <c r="B22" s="61"/>
      <c r="C22" s="26" t="s">
        <v>27</v>
      </c>
      <c r="D22" s="20"/>
      <c r="E22" s="82"/>
      <c r="F22" s="21" t="s">
        <v>359</v>
      </c>
      <c r="G22" s="17">
        <v>9948</v>
      </c>
      <c r="H22" s="79">
        <v>600</v>
      </c>
      <c r="I22" s="18" t="s">
        <v>272</v>
      </c>
      <c r="J22" s="73">
        <v>9995</v>
      </c>
      <c r="K22" s="83">
        <v>250</v>
      </c>
      <c r="L22" s="74"/>
      <c r="M22" s="87"/>
      <c r="N22" s="85"/>
      <c r="O22" s="23" t="s">
        <v>25</v>
      </c>
    </row>
    <row r="23" spans="1:15" x14ac:dyDescent="0.25">
      <c r="A23" s="25">
        <v>9865</v>
      </c>
      <c r="B23" s="61">
        <v>400</v>
      </c>
      <c r="C23" s="26"/>
      <c r="D23" s="20">
        <v>9909</v>
      </c>
      <c r="E23" s="82">
        <v>200</v>
      </c>
      <c r="F23" s="21"/>
      <c r="G23" s="17"/>
      <c r="H23" s="79"/>
      <c r="I23" s="18" t="s">
        <v>27</v>
      </c>
      <c r="J23" s="73">
        <v>9996</v>
      </c>
      <c r="K23" s="83">
        <v>800</v>
      </c>
      <c r="L23" s="74" t="s">
        <v>347</v>
      </c>
      <c r="M23" s="87">
        <v>10026</v>
      </c>
      <c r="N23" s="85">
        <v>320</v>
      </c>
      <c r="O23" s="23" t="s">
        <v>379</v>
      </c>
    </row>
    <row r="24" spans="1:15" x14ac:dyDescent="0.25">
      <c r="A24" s="25">
        <v>9866</v>
      </c>
      <c r="B24" s="61">
        <v>800</v>
      </c>
      <c r="C24" s="26" t="s">
        <v>260</v>
      </c>
      <c r="D24" s="20">
        <v>9910</v>
      </c>
      <c r="E24" s="82">
        <v>800</v>
      </c>
      <c r="F24" s="21" t="s">
        <v>303</v>
      </c>
      <c r="G24" s="17">
        <v>9949</v>
      </c>
      <c r="H24" s="79">
        <v>400</v>
      </c>
      <c r="I24" s="18"/>
      <c r="J24" s="73"/>
      <c r="K24" s="83"/>
      <c r="L24" s="74" t="s">
        <v>25</v>
      </c>
      <c r="M24" s="87"/>
      <c r="N24" s="85"/>
      <c r="O24" s="23" t="s">
        <v>56</v>
      </c>
    </row>
    <row r="25" spans="1:15" x14ac:dyDescent="0.25">
      <c r="A25" s="25"/>
      <c r="B25" s="61"/>
      <c r="C25" s="26" t="s">
        <v>25</v>
      </c>
      <c r="D25" s="20"/>
      <c r="E25" s="82"/>
      <c r="F25" s="21" t="s">
        <v>25</v>
      </c>
      <c r="G25" s="17">
        <v>9950</v>
      </c>
      <c r="H25" s="79">
        <v>400</v>
      </c>
      <c r="I25" s="18"/>
      <c r="J25" s="73">
        <v>9997</v>
      </c>
      <c r="K25" s="83">
        <v>300</v>
      </c>
      <c r="L25" s="74" t="s">
        <v>274</v>
      </c>
      <c r="M25" s="87">
        <v>10027</v>
      </c>
      <c r="N25" s="85">
        <v>200</v>
      </c>
      <c r="O25" s="23"/>
    </row>
    <row r="26" spans="1:15" x14ac:dyDescent="0.25">
      <c r="A26" s="25">
        <v>9867</v>
      </c>
      <c r="B26" s="61">
        <v>800</v>
      </c>
      <c r="C26" s="26" t="s">
        <v>303</v>
      </c>
      <c r="D26" s="20">
        <v>9911</v>
      </c>
      <c r="E26" s="82">
        <v>1200</v>
      </c>
      <c r="F26" s="21" t="s">
        <v>344</v>
      </c>
      <c r="G26" s="17">
        <v>9951</v>
      </c>
      <c r="H26" s="79">
        <v>300</v>
      </c>
      <c r="I26" s="18"/>
      <c r="J26" s="73">
        <v>9998</v>
      </c>
      <c r="K26" s="83">
        <v>300</v>
      </c>
      <c r="L26" s="74"/>
      <c r="M26" s="87">
        <v>10028</v>
      </c>
      <c r="N26" s="85">
        <v>600</v>
      </c>
      <c r="O26" s="23" t="s">
        <v>324</v>
      </c>
    </row>
    <row r="27" spans="1:15" x14ac:dyDescent="0.25">
      <c r="A27" s="25"/>
      <c r="B27" s="61"/>
      <c r="C27" s="26" t="s">
        <v>25</v>
      </c>
      <c r="D27" s="20"/>
      <c r="E27" s="82"/>
      <c r="F27" s="81" t="s">
        <v>25</v>
      </c>
      <c r="G27" s="17">
        <v>9952</v>
      </c>
      <c r="H27" s="79">
        <v>400</v>
      </c>
      <c r="I27" s="18"/>
      <c r="J27" s="73">
        <v>9999</v>
      </c>
      <c r="K27" s="83">
        <v>460</v>
      </c>
      <c r="L27" s="74" t="s">
        <v>371</v>
      </c>
      <c r="M27" s="87"/>
      <c r="N27" s="85"/>
      <c r="O27" s="43" t="s">
        <v>33</v>
      </c>
    </row>
    <row r="28" spans="1:15" x14ac:dyDescent="0.25">
      <c r="A28" s="25">
        <v>9868</v>
      </c>
      <c r="B28" s="61">
        <v>400</v>
      </c>
      <c r="C28" s="26" t="s">
        <v>320</v>
      </c>
      <c r="D28" s="20">
        <v>9912</v>
      </c>
      <c r="E28" s="82">
        <v>800</v>
      </c>
      <c r="F28" s="21" t="s">
        <v>324</v>
      </c>
      <c r="G28" s="17">
        <v>9953</v>
      </c>
      <c r="H28" s="79">
        <v>800</v>
      </c>
      <c r="I28" s="18" t="s">
        <v>303</v>
      </c>
      <c r="J28" s="73"/>
      <c r="K28" s="83"/>
      <c r="L28" s="74" t="s">
        <v>372</v>
      </c>
      <c r="M28" s="87">
        <v>10029</v>
      </c>
      <c r="N28" s="85">
        <v>400</v>
      </c>
      <c r="O28" s="23"/>
    </row>
    <row r="29" spans="1:15" x14ac:dyDescent="0.25">
      <c r="A29" s="25">
        <v>9869</v>
      </c>
      <c r="B29" s="61">
        <v>400</v>
      </c>
      <c r="C29" s="26" t="s">
        <v>320</v>
      </c>
      <c r="D29" s="20"/>
      <c r="E29" s="82"/>
      <c r="F29" s="21" t="s">
        <v>25</v>
      </c>
      <c r="G29" s="17"/>
      <c r="H29" s="79"/>
      <c r="I29" s="18" t="s">
        <v>25</v>
      </c>
      <c r="J29" s="73">
        <v>10000</v>
      </c>
      <c r="K29" s="83"/>
      <c r="L29" s="74" t="s">
        <v>73</v>
      </c>
      <c r="M29" s="87">
        <v>10030</v>
      </c>
      <c r="N29" s="85">
        <v>300</v>
      </c>
      <c r="O29" s="23"/>
    </row>
    <row r="30" spans="1:15" x14ac:dyDescent="0.25">
      <c r="A30" s="25">
        <v>9870</v>
      </c>
      <c r="B30" s="61">
        <v>125</v>
      </c>
      <c r="C30" s="26" t="s">
        <v>320</v>
      </c>
      <c r="D30" s="20">
        <v>9913</v>
      </c>
      <c r="E30" s="82">
        <v>400</v>
      </c>
      <c r="F30" s="21"/>
      <c r="G30" s="17">
        <v>9954</v>
      </c>
      <c r="H30" s="79">
        <v>800</v>
      </c>
      <c r="I30" s="18" t="s">
        <v>366</v>
      </c>
      <c r="J30" s="73">
        <v>10001</v>
      </c>
      <c r="K30" s="83"/>
      <c r="L30" s="74" t="s">
        <v>73</v>
      </c>
      <c r="M30" s="87">
        <v>10031</v>
      </c>
      <c r="N30" s="85">
        <v>400</v>
      </c>
      <c r="O30" s="23"/>
    </row>
    <row r="31" spans="1:15" x14ac:dyDescent="0.25">
      <c r="A31" s="25">
        <v>9871</v>
      </c>
      <c r="B31" s="61">
        <v>400</v>
      </c>
      <c r="C31" s="26"/>
      <c r="D31" s="20">
        <v>9914</v>
      </c>
      <c r="E31" s="82">
        <v>3200</v>
      </c>
      <c r="F31" s="21" t="s">
        <v>360</v>
      </c>
      <c r="G31" s="17"/>
      <c r="H31" s="79"/>
      <c r="I31" s="18" t="s">
        <v>25</v>
      </c>
      <c r="J31" s="73">
        <v>10002</v>
      </c>
      <c r="K31" s="83">
        <v>200</v>
      </c>
      <c r="L31" s="74"/>
      <c r="M31" s="87">
        <v>10032</v>
      </c>
      <c r="N31" s="85">
        <v>1200</v>
      </c>
      <c r="O31" s="23" t="s">
        <v>259</v>
      </c>
    </row>
    <row r="32" spans="1:15" x14ac:dyDescent="0.25">
      <c r="A32" s="25">
        <v>9872</v>
      </c>
      <c r="B32" s="61">
        <v>800</v>
      </c>
      <c r="C32" s="26" t="s">
        <v>324</v>
      </c>
      <c r="D32" s="20"/>
      <c r="E32" s="82"/>
      <c r="F32" s="21" t="s">
        <v>33</v>
      </c>
      <c r="G32" s="17">
        <v>9955</v>
      </c>
      <c r="H32" s="79">
        <v>400</v>
      </c>
      <c r="I32" s="18"/>
      <c r="J32" s="73">
        <v>10003</v>
      </c>
      <c r="K32" s="83">
        <v>800</v>
      </c>
      <c r="L32" s="74" t="s">
        <v>347</v>
      </c>
      <c r="M32" s="87"/>
      <c r="N32" s="85"/>
      <c r="O32" s="23" t="s">
        <v>25</v>
      </c>
    </row>
    <row r="33" spans="1:15" x14ac:dyDescent="0.25">
      <c r="A33" s="25">
        <v>9873</v>
      </c>
      <c r="B33" s="61">
        <v>400</v>
      </c>
      <c r="C33" s="26" t="s">
        <v>320</v>
      </c>
      <c r="D33" s="20">
        <v>9915</v>
      </c>
      <c r="E33" s="82">
        <v>160</v>
      </c>
      <c r="F33" s="21" t="s">
        <v>23</v>
      </c>
      <c r="G33" s="17">
        <v>9956</v>
      </c>
      <c r="H33" s="79">
        <v>400</v>
      </c>
      <c r="I33" s="18" t="s">
        <v>320</v>
      </c>
      <c r="J33" s="73"/>
      <c r="K33" s="83"/>
      <c r="L33" s="74" t="s">
        <v>25</v>
      </c>
      <c r="M33" s="87">
        <v>10033</v>
      </c>
      <c r="N33" s="85">
        <v>800</v>
      </c>
      <c r="O33" s="23" t="s">
        <v>324</v>
      </c>
    </row>
    <row r="34" spans="1:15" x14ac:dyDescent="0.25">
      <c r="A34" s="25">
        <v>9874</v>
      </c>
      <c r="B34" s="61">
        <v>160</v>
      </c>
      <c r="C34" s="26" t="s">
        <v>23</v>
      </c>
      <c r="D34" s="20"/>
      <c r="E34" s="82"/>
      <c r="F34" s="21" t="s">
        <v>361</v>
      </c>
      <c r="G34" s="17">
        <v>9957</v>
      </c>
      <c r="H34" s="79">
        <v>400</v>
      </c>
      <c r="I34" s="18"/>
      <c r="J34" s="73">
        <v>10004</v>
      </c>
      <c r="K34" s="83">
        <v>1360</v>
      </c>
      <c r="L34" s="74" t="s">
        <v>259</v>
      </c>
      <c r="M34" s="87"/>
      <c r="N34" s="85"/>
      <c r="O34" s="43" t="s">
        <v>25</v>
      </c>
    </row>
    <row r="35" spans="1:15" x14ac:dyDescent="0.25">
      <c r="A35" s="25"/>
      <c r="B35" s="61"/>
      <c r="C35" s="26" t="s">
        <v>355</v>
      </c>
      <c r="D35" s="20">
        <v>9916</v>
      </c>
      <c r="E35" s="82">
        <v>400</v>
      </c>
      <c r="F35" s="21"/>
      <c r="G35" s="17">
        <v>9958</v>
      </c>
      <c r="H35" s="79">
        <v>160</v>
      </c>
      <c r="I35" s="18" t="s">
        <v>23</v>
      </c>
      <c r="J35" s="73"/>
      <c r="K35" s="83"/>
      <c r="L35" s="74" t="s">
        <v>123</v>
      </c>
      <c r="M35" s="87">
        <v>10034</v>
      </c>
      <c r="N35" s="85">
        <v>400</v>
      </c>
      <c r="O35" s="23"/>
    </row>
    <row r="36" spans="1:15" x14ac:dyDescent="0.25">
      <c r="A36" s="25">
        <v>9875</v>
      </c>
      <c r="B36" s="61">
        <v>400</v>
      </c>
      <c r="C36" s="26"/>
      <c r="D36" s="20">
        <v>9917</v>
      </c>
      <c r="E36" s="82">
        <v>1200</v>
      </c>
      <c r="F36" s="21" t="s">
        <v>291</v>
      </c>
      <c r="G36" s="17"/>
      <c r="H36" s="79"/>
      <c r="I36" s="18" t="s">
        <v>367</v>
      </c>
      <c r="J36" s="73">
        <v>10005</v>
      </c>
      <c r="K36" s="83">
        <v>400</v>
      </c>
      <c r="L36" s="74" t="s">
        <v>320</v>
      </c>
      <c r="M36" s="87">
        <v>10035</v>
      </c>
      <c r="N36" s="85">
        <v>200</v>
      </c>
      <c r="O36" s="23" t="s">
        <v>320</v>
      </c>
    </row>
    <row r="37" spans="1:15" x14ac:dyDescent="0.25">
      <c r="A37" s="25">
        <v>9876</v>
      </c>
      <c r="B37" s="61">
        <v>350</v>
      </c>
      <c r="C37" s="26" t="s">
        <v>320</v>
      </c>
      <c r="D37" s="20"/>
      <c r="E37" s="82"/>
      <c r="F37" s="21" t="s">
        <v>25</v>
      </c>
      <c r="G37" s="17">
        <v>9959</v>
      </c>
      <c r="H37" s="79">
        <v>400</v>
      </c>
      <c r="I37" s="18"/>
      <c r="J37" s="73">
        <v>10006</v>
      </c>
      <c r="K37" s="83">
        <v>800</v>
      </c>
      <c r="L37" s="74" t="s">
        <v>324</v>
      </c>
      <c r="M37" s="87">
        <v>10036</v>
      </c>
      <c r="N37" s="85">
        <v>400</v>
      </c>
      <c r="O37" s="23"/>
    </row>
    <row r="38" spans="1:15" x14ac:dyDescent="0.25">
      <c r="A38" s="25">
        <v>9877</v>
      </c>
      <c r="B38" s="61">
        <v>400</v>
      </c>
      <c r="C38" s="26" t="s">
        <v>320</v>
      </c>
      <c r="D38" s="20">
        <v>9918</v>
      </c>
      <c r="E38" s="82">
        <v>400</v>
      </c>
      <c r="F38" s="21"/>
      <c r="G38" s="17">
        <v>9960</v>
      </c>
      <c r="H38" s="79">
        <v>300</v>
      </c>
      <c r="I38" s="18"/>
      <c r="J38" s="73"/>
      <c r="K38" s="83"/>
      <c r="L38" s="74" t="s">
        <v>25</v>
      </c>
      <c r="M38" s="87">
        <v>10037</v>
      </c>
      <c r="N38" s="85">
        <v>800</v>
      </c>
      <c r="O38" s="23" t="s">
        <v>324</v>
      </c>
    </row>
    <row r="39" spans="1:15" x14ac:dyDescent="0.25">
      <c r="A39" s="25">
        <v>9878</v>
      </c>
      <c r="B39" s="61">
        <v>300</v>
      </c>
      <c r="C39" s="26"/>
      <c r="D39" s="20">
        <v>9919</v>
      </c>
      <c r="E39" s="82">
        <v>400</v>
      </c>
      <c r="F39" s="21" t="s">
        <v>114</v>
      </c>
      <c r="G39" s="17">
        <v>9961</v>
      </c>
      <c r="H39" s="79">
        <v>400</v>
      </c>
      <c r="I39" s="18" t="s">
        <v>274</v>
      </c>
      <c r="J39" s="73">
        <v>10007</v>
      </c>
      <c r="K39" s="83">
        <v>400</v>
      </c>
      <c r="L39" s="74"/>
      <c r="M39" s="87"/>
      <c r="N39" s="85"/>
      <c r="O39" s="23" t="s">
        <v>25</v>
      </c>
    </row>
    <row r="40" spans="1:15" x14ac:dyDescent="0.25">
      <c r="A40" s="25">
        <v>9879</v>
      </c>
      <c r="B40" s="61">
        <v>300</v>
      </c>
      <c r="C40" s="26"/>
      <c r="D40" s="20">
        <v>9920</v>
      </c>
      <c r="E40" s="82"/>
      <c r="F40" s="21" t="s">
        <v>73</v>
      </c>
      <c r="G40" s="17">
        <v>9962</v>
      </c>
      <c r="H40" s="79">
        <v>200</v>
      </c>
      <c r="I40" s="18"/>
      <c r="J40" s="73">
        <v>10008</v>
      </c>
      <c r="K40" s="83">
        <v>800</v>
      </c>
      <c r="L40" s="74" t="s">
        <v>324</v>
      </c>
      <c r="M40" s="87">
        <v>10038</v>
      </c>
      <c r="N40" s="85">
        <v>560</v>
      </c>
      <c r="O40" s="23" t="s">
        <v>380</v>
      </c>
    </row>
    <row r="41" spans="1:15" x14ac:dyDescent="0.25">
      <c r="A41" s="25">
        <v>9880</v>
      </c>
      <c r="B41" s="61">
        <v>160</v>
      </c>
      <c r="C41" s="26" t="s">
        <v>49</v>
      </c>
      <c r="D41" s="20">
        <v>9921</v>
      </c>
      <c r="E41" s="82">
        <v>700</v>
      </c>
      <c r="F41" s="21" t="s">
        <v>362</v>
      </c>
      <c r="G41" s="17">
        <v>9963</v>
      </c>
      <c r="H41" s="79">
        <v>360</v>
      </c>
      <c r="I41" s="18" t="s">
        <v>368</v>
      </c>
      <c r="J41" s="73"/>
      <c r="K41" s="83"/>
      <c r="L41" s="74" t="s">
        <v>25</v>
      </c>
      <c r="M41" s="87"/>
      <c r="N41" s="85"/>
      <c r="O41" s="23" t="s">
        <v>88</v>
      </c>
    </row>
    <row r="42" spans="1:15" x14ac:dyDescent="0.25">
      <c r="A42" s="25">
        <v>9881</v>
      </c>
      <c r="B42" s="61">
        <v>400</v>
      </c>
      <c r="C42" s="26" t="s">
        <v>320</v>
      </c>
      <c r="D42" s="20"/>
      <c r="E42" s="82"/>
      <c r="F42" s="21" t="s">
        <v>86</v>
      </c>
      <c r="G42" s="17">
        <v>9964</v>
      </c>
      <c r="H42" s="79">
        <v>1200</v>
      </c>
      <c r="I42" s="18" t="s">
        <v>291</v>
      </c>
      <c r="J42" s="73">
        <v>10009</v>
      </c>
      <c r="K42" s="83">
        <v>400</v>
      </c>
      <c r="L42" s="74"/>
      <c r="M42" s="87">
        <v>10039</v>
      </c>
      <c r="N42" s="85">
        <v>400</v>
      </c>
      <c r="O42" s="23"/>
    </row>
    <row r="43" spans="1:15" x14ac:dyDescent="0.25">
      <c r="A43" s="25">
        <v>9882</v>
      </c>
      <c r="B43" s="61">
        <v>1000</v>
      </c>
      <c r="C43" s="26" t="s">
        <v>315</v>
      </c>
      <c r="D43" s="20">
        <v>9922</v>
      </c>
      <c r="E43" s="82">
        <v>400</v>
      </c>
      <c r="F43" s="21"/>
      <c r="G43" s="17"/>
      <c r="H43" s="79"/>
      <c r="I43" s="18" t="s">
        <v>25</v>
      </c>
      <c r="J43" s="73">
        <v>10010</v>
      </c>
      <c r="K43" s="83">
        <v>1120</v>
      </c>
      <c r="L43" s="74" t="s">
        <v>347</v>
      </c>
      <c r="M43" s="87">
        <v>10040</v>
      </c>
      <c r="N43" s="85">
        <v>300</v>
      </c>
      <c r="O43" s="23"/>
    </row>
    <row r="44" spans="1:15" x14ac:dyDescent="0.25">
      <c r="A44" s="25"/>
      <c r="B44" s="61"/>
      <c r="C44" s="26" t="s">
        <v>81</v>
      </c>
      <c r="D44" s="20">
        <v>9923</v>
      </c>
      <c r="E44" s="82">
        <v>400</v>
      </c>
      <c r="F44" s="21"/>
      <c r="G44" s="17">
        <v>9965</v>
      </c>
      <c r="H44" s="79">
        <v>800</v>
      </c>
      <c r="I44" s="18" t="s">
        <v>324</v>
      </c>
      <c r="J44" s="73"/>
      <c r="K44" s="83"/>
      <c r="L44" s="74" t="s">
        <v>295</v>
      </c>
      <c r="M44" s="87">
        <v>10041</v>
      </c>
      <c r="N44" s="85">
        <v>400</v>
      </c>
      <c r="O44" s="23" t="s">
        <v>324</v>
      </c>
    </row>
    <row r="45" spans="1:15" x14ac:dyDescent="0.25">
      <c r="A45" s="25">
        <v>9883</v>
      </c>
      <c r="B45" s="61">
        <v>600</v>
      </c>
      <c r="C45" s="26" t="s">
        <v>232</v>
      </c>
      <c r="D45" s="20">
        <v>9924</v>
      </c>
      <c r="E45" s="82"/>
      <c r="F45" s="21" t="s">
        <v>73</v>
      </c>
      <c r="G45" s="17"/>
      <c r="H45" s="79"/>
      <c r="I45" s="18" t="s">
        <v>25</v>
      </c>
      <c r="J45" s="73">
        <v>10011</v>
      </c>
      <c r="K45" s="83">
        <v>400</v>
      </c>
      <c r="L45" s="74"/>
      <c r="M45" s="87"/>
      <c r="N45" s="85"/>
      <c r="O45" s="23" t="s">
        <v>27</v>
      </c>
    </row>
    <row r="46" spans="1:15" x14ac:dyDescent="0.25">
      <c r="A46" s="25"/>
      <c r="B46" s="61"/>
      <c r="C46" s="26" t="s">
        <v>27</v>
      </c>
      <c r="D46" s="20">
        <v>9925</v>
      </c>
      <c r="E46" s="82">
        <v>600</v>
      </c>
      <c r="F46" s="21" t="s">
        <v>324</v>
      </c>
      <c r="G46" s="17">
        <v>9966</v>
      </c>
      <c r="H46" s="79">
        <v>400</v>
      </c>
      <c r="I46" s="18" t="s">
        <v>366</v>
      </c>
      <c r="J46" s="73">
        <v>10012</v>
      </c>
      <c r="K46" s="83">
        <v>800</v>
      </c>
      <c r="L46" s="74" t="s">
        <v>303</v>
      </c>
      <c r="M46" s="87">
        <v>10042</v>
      </c>
      <c r="N46" s="85">
        <v>300</v>
      </c>
      <c r="O46" s="23" t="s">
        <v>378</v>
      </c>
    </row>
    <row r="47" spans="1:15" x14ac:dyDescent="0.25">
      <c r="A47" s="25">
        <v>9884</v>
      </c>
      <c r="B47" s="61">
        <v>200</v>
      </c>
      <c r="C47" s="26"/>
      <c r="D47" s="20"/>
      <c r="E47" s="82"/>
      <c r="F47" s="21" t="s">
        <v>33</v>
      </c>
      <c r="G47" s="17"/>
      <c r="H47" s="79"/>
      <c r="I47" s="18" t="s">
        <v>27</v>
      </c>
      <c r="J47" s="73"/>
      <c r="K47" s="83"/>
      <c r="L47" s="74" t="s">
        <v>25</v>
      </c>
      <c r="M47" s="87">
        <v>10043</v>
      </c>
      <c r="N47" s="85">
        <v>350</v>
      </c>
      <c r="O47" s="23"/>
    </row>
    <row r="48" spans="1:15" x14ac:dyDescent="0.25">
      <c r="A48" s="25">
        <v>9885</v>
      </c>
      <c r="B48" s="61">
        <v>300</v>
      </c>
      <c r="C48" s="26"/>
      <c r="D48" s="20">
        <v>9926</v>
      </c>
      <c r="E48" s="82">
        <v>160</v>
      </c>
      <c r="F48" s="21" t="s">
        <v>49</v>
      </c>
      <c r="G48" s="17">
        <v>9967</v>
      </c>
      <c r="H48" s="79">
        <v>350</v>
      </c>
      <c r="I48" s="18"/>
      <c r="J48" s="73">
        <v>10013</v>
      </c>
      <c r="K48" s="83">
        <v>800</v>
      </c>
      <c r="L48" s="74" t="s">
        <v>324</v>
      </c>
      <c r="M48" s="87">
        <v>10044</v>
      </c>
      <c r="N48" s="85">
        <v>300</v>
      </c>
      <c r="O48" s="23" t="s">
        <v>222</v>
      </c>
    </row>
    <row r="49" spans="1:15" x14ac:dyDescent="0.25">
      <c r="A49" s="25">
        <v>9886</v>
      </c>
      <c r="B49" s="61">
        <v>300</v>
      </c>
      <c r="C49" s="26"/>
      <c r="D49" s="20">
        <v>9927</v>
      </c>
      <c r="E49" s="82">
        <v>150</v>
      </c>
      <c r="F49" s="21"/>
      <c r="G49" s="17">
        <v>9968</v>
      </c>
      <c r="H49" s="79">
        <v>400</v>
      </c>
      <c r="I49" s="18" t="s">
        <v>320</v>
      </c>
      <c r="J49" s="73"/>
      <c r="K49" s="83"/>
      <c r="L49" s="74" t="s">
        <v>25</v>
      </c>
      <c r="M49" s="87">
        <v>10045</v>
      </c>
      <c r="N49" s="85">
        <v>350</v>
      </c>
      <c r="O49" s="23" t="s">
        <v>378</v>
      </c>
    </row>
    <row r="50" spans="1:15" x14ac:dyDescent="0.25">
      <c r="A50" s="25">
        <v>9887</v>
      </c>
      <c r="B50" s="61">
        <v>400</v>
      </c>
      <c r="C50" s="26"/>
      <c r="D50" s="20">
        <v>9928</v>
      </c>
      <c r="E50" s="82">
        <v>400</v>
      </c>
      <c r="F50" s="21"/>
      <c r="G50" s="17">
        <v>9969</v>
      </c>
      <c r="H50" s="79">
        <v>200</v>
      </c>
      <c r="I50" s="18" t="s">
        <v>320</v>
      </c>
      <c r="J50" s="73">
        <v>10014</v>
      </c>
      <c r="K50" s="83">
        <v>800</v>
      </c>
      <c r="L50" s="74" t="s">
        <v>260</v>
      </c>
      <c r="M50" s="87">
        <v>10046</v>
      </c>
      <c r="N50" s="85">
        <v>160</v>
      </c>
      <c r="O50" s="23" t="s">
        <v>49</v>
      </c>
    </row>
    <row r="51" spans="1:15" x14ac:dyDescent="0.25">
      <c r="A51" s="25">
        <v>9888</v>
      </c>
      <c r="B51" s="61">
        <v>600</v>
      </c>
      <c r="C51" s="26" t="s">
        <v>303</v>
      </c>
      <c r="D51" s="20">
        <v>9929</v>
      </c>
      <c r="E51" s="82">
        <v>400</v>
      </c>
      <c r="F51" s="21" t="s">
        <v>274</v>
      </c>
      <c r="G51" s="17">
        <v>9970</v>
      </c>
      <c r="H51" s="79">
        <v>300</v>
      </c>
      <c r="I51" s="18"/>
      <c r="J51" s="73"/>
      <c r="K51" s="83"/>
      <c r="L51" s="74" t="s">
        <v>25</v>
      </c>
      <c r="M51" s="87">
        <v>10047</v>
      </c>
      <c r="N51" s="85">
        <v>400</v>
      </c>
      <c r="O51" s="23" t="s">
        <v>378</v>
      </c>
    </row>
    <row r="52" spans="1:15" x14ac:dyDescent="0.25">
      <c r="A52" s="25"/>
      <c r="B52" s="61"/>
      <c r="C52" s="26" t="s">
        <v>33</v>
      </c>
      <c r="D52" s="20">
        <v>9930</v>
      </c>
      <c r="E52" s="82">
        <v>400</v>
      </c>
      <c r="F52" s="21"/>
      <c r="G52" s="17">
        <v>9971</v>
      </c>
      <c r="H52" s="79">
        <v>1200</v>
      </c>
      <c r="I52" s="18" t="s">
        <v>272</v>
      </c>
      <c r="J52" s="73">
        <v>10015</v>
      </c>
      <c r="K52" s="83">
        <v>150</v>
      </c>
      <c r="L52" s="74"/>
      <c r="M52" s="87">
        <v>10048</v>
      </c>
      <c r="N52" s="85">
        <v>160</v>
      </c>
      <c r="O52" s="23" t="s">
        <v>23</v>
      </c>
    </row>
    <row r="53" spans="1:15" x14ac:dyDescent="0.25">
      <c r="A53" s="25">
        <v>9889</v>
      </c>
      <c r="B53" s="61">
        <v>200</v>
      </c>
      <c r="C53" s="26"/>
      <c r="D53" s="20">
        <v>9931</v>
      </c>
      <c r="E53" s="82">
        <v>200</v>
      </c>
      <c r="F53" s="21"/>
      <c r="G53" s="17"/>
      <c r="H53" s="79"/>
      <c r="I53" s="18" t="s">
        <v>25</v>
      </c>
      <c r="J53" s="73">
        <v>10016</v>
      </c>
      <c r="K53" s="83">
        <v>600</v>
      </c>
      <c r="L53" s="74" t="s">
        <v>347</v>
      </c>
      <c r="M53" s="87"/>
      <c r="N53" s="85"/>
      <c r="O53" s="23" t="s">
        <v>381</v>
      </c>
    </row>
    <row r="54" spans="1:15" x14ac:dyDescent="0.25">
      <c r="A54" s="25">
        <v>9890</v>
      </c>
      <c r="B54" s="61">
        <v>400</v>
      </c>
      <c r="C54" s="26"/>
      <c r="D54" s="20">
        <v>9932</v>
      </c>
      <c r="E54" s="82">
        <v>400</v>
      </c>
      <c r="F54" s="21"/>
      <c r="G54" s="17">
        <v>9972</v>
      </c>
      <c r="H54" s="79">
        <v>2000</v>
      </c>
      <c r="I54" s="18" t="s">
        <v>369</v>
      </c>
      <c r="J54" s="73"/>
      <c r="K54" s="83"/>
      <c r="L54" s="74" t="s">
        <v>25</v>
      </c>
      <c r="M54" s="87">
        <v>10049</v>
      </c>
      <c r="N54" s="85">
        <v>1200</v>
      </c>
      <c r="O54" s="23" t="s">
        <v>382</v>
      </c>
    </row>
    <row r="55" spans="1:15" x14ac:dyDescent="0.25">
      <c r="A55" s="25">
        <v>9891</v>
      </c>
      <c r="B55" s="61">
        <v>800</v>
      </c>
      <c r="C55" s="26" t="s">
        <v>324</v>
      </c>
      <c r="D55" s="20">
        <v>9933</v>
      </c>
      <c r="E55" s="82">
        <v>1200</v>
      </c>
      <c r="F55" s="21" t="s">
        <v>363</v>
      </c>
      <c r="G55" s="17"/>
      <c r="H55" s="79"/>
      <c r="I55" s="18" t="s">
        <v>25</v>
      </c>
      <c r="J55" s="73"/>
      <c r="K55" s="83"/>
      <c r="L55" s="74"/>
      <c r="M55" s="87"/>
      <c r="N55" s="85"/>
      <c r="O55" s="23" t="s">
        <v>25</v>
      </c>
    </row>
    <row r="56" spans="1:15" x14ac:dyDescent="0.25">
      <c r="A56" s="25"/>
      <c r="B56" s="61"/>
      <c r="C56" s="26" t="s">
        <v>25</v>
      </c>
      <c r="D56" s="20"/>
      <c r="E56" s="82"/>
      <c r="F56" s="21" t="s">
        <v>33</v>
      </c>
      <c r="G56" s="17">
        <v>9973</v>
      </c>
      <c r="H56" s="79">
        <v>160</v>
      </c>
      <c r="I56" s="18" t="s">
        <v>49</v>
      </c>
      <c r="J56" s="73"/>
      <c r="K56" s="83"/>
      <c r="L56" s="74"/>
      <c r="M56" s="87">
        <v>10050</v>
      </c>
      <c r="N56" s="85">
        <v>400</v>
      </c>
      <c r="O56" s="23" t="s">
        <v>320</v>
      </c>
    </row>
    <row r="57" spans="1:15" x14ac:dyDescent="0.25">
      <c r="A57" s="25">
        <v>9892</v>
      </c>
      <c r="B57" s="61">
        <v>600</v>
      </c>
      <c r="C57" s="26" t="s">
        <v>303</v>
      </c>
      <c r="D57" s="20">
        <v>9934</v>
      </c>
      <c r="E57" s="82">
        <v>400</v>
      </c>
      <c r="F57" s="21"/>
      <c r="G57" s="17">
        <v>9974</v>
      </c>
      <c r="H57" s="79">
        <v>800</v>
      </c>
      <c r="I57" s="18" t="s">
        <v>324</v>
      </c>
      <c r="J57" s="73"/>
      <c r="K57" s="83"/>
      <c r="L57" s="74"/>
      <c r="M57" s="87">
        <v>10051</v>
      </c>
      <c r="N57" s="85">
        <v>800</v>
      </c>
      <c r="O57" s="23" t="s">
        <v>324</v>
      </c>
    </row>
    <row r="58" spans="1:15" x14ac:dyDescent="0.25">
      <c r="A58" s="25"/>
      <c r="B58" s="61"/>
      <c r="C58" s="26" t="s">
        <v>33</v>
      </c>
      <c r="D58" s="20">
        <v>9935</v>
      </c>
      <c r="E58" s="82">
        <v>800</v>
      </c>
      <c r="F58" s="21" t="s">
        <v>324</v>
      </c>
      <c r="G58" s="17"/>
      <c r="H58" s="79"/>
      <c r="I58" s="18" t="s">
        <v>25</v>
      </c>
      <c r="J58" s="73"/>
      <c r="K58" s="83"/>
      <c r="L58" s="74"/>
      <c r="M58" s="87"/>
      <c r="N58" s="85"/>
      <c r="O58" s="23" t="s">
        <v>25</v>
      </c>
    </row>
    <row r="59" spans="1:15" x14ac:dyDescent="0.25">
      <c r="A59" s="25">
        <v>9893</v>
      </c>
      <c r="B59" s="61">
        <v>400</v>
      </c>
      <c r="C59" s="26" t="s">
        <v>320</v>
      </c>
      <c r="D59" s="20"/>
      <c r="E59" s="82"/>
      <c r="F59" s="21" t="s">
        <v>25</v>
      </c>
      <c r="G59" s="17">
        <v>9975</v>
      </c>
      <c r="H59" s="79">
        <v>400</v>
      </c>
      <c r="I59" s="18"/>
      <c r="J59" s="73"/>
      <c r="K59" s="83"/>
      <c r="L59" s="74"/>
      <c r="M59" s="87">
        <v>10052</v>
      </c>
      <c r="N59" s="85">
        <v>400</v>
      </c>
      <c r="O59" s="23" t="s">
        <v>378</v>
      </c>
    </row>
    <row r="60" spans="1:15" x14ac:dyDescent="0.25">
      <c r="A60" s="25">
        <v>9894</v>
      </c>
      <c r="B60" s="61">
        <v>400</v>
      </c>
      <c r="C60" s="26"/>
      <c r="D60" s="20">
        <v>9936</v>
      </c>
      <c r="E60" s="82">
        <v>800</v>
      </c>
      <c r="F60" s="21" t="s">
        <v>324</v>
      </c>
      <c r="G60" s="17">
        <v>9976</v>
      </c>
      <c r="H60" s="79">
        <v>400</v>
      </c>
      <c r="I60" s="18"/>
      <c r="J60" s="73"/>
      <c r="K60" s="83"/>
      <c r="L60" s="74"/>
      <c r="M60" s="87">
        <v>10053</v>
      </c>
      <c r="N60" s="85">
        <v>400</v>
      </c>
      <c r="O60" s="23" t="s">
        <v>378</v>
      </c>
    </row>
    <row r="61" spans="1:15" x14ac:dyDescent="0.25">
      <c r="A61" s="25">
        <v>9895</v>
      </c>
      <c r="B61" s="61">
        <v>400</v>
      </c>
      <c r="C61" s="26"/>
      <c r="D61" s="20"/>
      <c r="E61" s="82"/>
      <c r="F61" s="21" t="s">
        <v>25</v>
      </c>
      <c r="G61" s="17">
        <v>9977</v>
      </c>
      <c r="H61" s="79">
        <v>800</v>
      </c>
      <c r="I61" s="18" t="s">
        <v>260</v>
      </c>
      <c r="J61" s="73"/>
      <c r="K61" s="83"/>
      <c r="L61" s="74"/>
      <c r="M61" s="87">
        <v>10054</v>
      </c>
      <c r="N61" s="85">
        <v>400</v>
      </c>
      <c r="O61" s="23" t="s">
        <v>378</v>
      </c>
    </row>
    <row r="62" spans="1:15" x14ac:dyDescent="0.25">
      <c r="A62" s="25">
        <v>9896</v>
      </c>
      <c r="B62" s="61">
        <v>250</v>
      </c>
      <c r="C62" s="26" t="s">
        <v>320</v>
      </c>
      <c r="D62" s="20"/>
      <c r="E62" s="82"/>
      <c r="F62" s="21"/>
      <c r="G62" s="17"/>
      <c r="H62" s="79"/>
      <c r="I62" s="18" t="s">
        <v>25</v>
      </c>
      <c r="J62" s="73"/>
      <c r="K62" s="83"/>
      <c r="L62" s="74"/>
      <c r="M62" s="107">
        <v>10200</v>
      </c>
      <c r="N62" s="85">
        <v>400</v>
      </c>
      <c r="O62" s="23" t="s">
        <v>555</v>
      </c>
    </row>
    <row r="63" spans="1:15" x14ac:dyDescent="0.25">
      <c r="A63" s="25">
        <v>9897</v>
      </c>
      <c r="B63" s="61">
        <v>1200</v>
      </c>
      <c r="C63" s="26" t="s">
        <v>349</v>
      </c>
      <c r="D63" s="20"/>
      <c r="E63" s="82"/>
      <c r="F63" s="21"/>
      <c r="G63" s="17">
        <v>9978</v>
      </c>
      <c r="H63" s="79">
        <v>400</v>
      </c>
      <c r="I63" s="18" t="s">
        <v>274</v>
      </c>
      <c r="J63" s="73"/>
      <c r="K63" s="83"/>
      <c r="L63" s="74"/>
      <c r="M63" s="107">
        <v>10201</v>
      </c>
      <c r="N63" s="85">
        <v>300</v>
      </c>
      <c r="O63" s="23" t="s">
        <v>555</v>
      </c>
    </row>
    <row r="64" spans="1:15" x14ac:dyDescent="0.25">
      <c r="A64" s="25"/>
      <c r="B64" s="61"/>
      <c r="C64" s="26" t="s">
        <v>25</v>
      </c>
      <c r="D64" s="20"/>
      <c r="E64" s="82"/>
      <c r="F64" s="21"/>
      <c r="G64" s="17">
        <v>9979</v>
      </c>
      <c r="H64" s="79">
        <v>400</v>
      </c>
      <c r="I64" s="18"/>
      <c r="J64" s="73"/>
      <c r="K64" s="83"/>
      <c r="L64" s="74"/>
      <c r="M64" s="107"/>
      <c r="N64" s="85">
        <v>11000</v>
      </c>
      <c r="O64" s="23" t="s">
        <v>556</v>
      </c>
    </row>
    <row r="65" spans="1:15" x14ac:dyDescent="0.25">
      <c r="A65" s="25">
        <v>9898</v>
      </c>
      <c r="B65" s="61">
        <v>400</v>
      </c>
      <c r="C65" s="26"/>
      <c r="D65" s="20"/>
      <c r="E65" s="82"/>
      <c r="F65" s="21"/>
      <c r="G65" s="17">
        <v>9980</v>
      </c>
      <c r="H65" s="79">
        <v>400</v>
      </c>
      <c r="I65" s="18"/>
      <c r="J65" s="73"/>
      <c r="K65" s="83"/>
      <c r="L65" s="74"/>
      <c r="M65" s="107">
        <v>10202</v>
      </c>
      <c r="N65" s="85">
        <v>600</v>
      </c>
      <c r="O65" s="23" t="s">
        <v>557</v>
      </c>
    </row>
    <row r="66" spans="1:15" x14ac:dyDescent="0.25">
      <c r="A66" s="25">
        <v>9899</v>
      </c>
      <c r="B66" s="61">
        <v>350</v>
      </c>
      <c r="C66" s="26"/>
      <c r="D66" s="20"/>
      <c r="E66" s="82"/>
      <c r="F66" s="21"/>
      <c r="G66" s="17">
        <v>9981</v>
      </c>
      <c r="H66" s="79">
        <v>400</v>
      </c>
      <c r="I66" s="18"/>
      <c r="J66" s="73"/>
      <c r="K66" s="83"/>
      <c r="L66" s="74"/>
      <c r="M66" s="87"/>
      <c r="N66" s="85"/>
      <c r="O66" s="23" t="s">
        <v>555</v>
      </c>
    </row>
    <row r="67" spans="1:15" x14ac:dyDescent="0.25">
      <c r="A67" s="25">
        <v>9900</v>
      </c>
      <c r="B67" s="61">
        <v>400</v>
      </c>
      <c r="C67" s="26"/>
      <c r="D67" s="20"/>
      <c r="E67" s="82"/>
      <c r="F67" s="21"/>
      <c r="G67" s="17">
        <v>9982</v>
      </c>
      <c r="H67" s="79">
        <v>800</v>
      </c>
      <c r="I67" s="18" t="s">
        <v>324</v>
      </c>
      <c r="J67" s="73"/>
      <c r="K67" s="83"/>
      <c r="L67" s="74"/>
      <c r="M67" s="87"/>
      <c r="N67" s="85"/>
      <c r="O67" s="23"/>
    </row>
    <row r="68" spans="1:15" x14ac:dyDescent="0.25">
      <c r="A68" s="25"/>
      <c r="B68" s="61"/>
      <c r="C68" s="26"/>
      <c r="D68" s="20"/>
      <c r="E68" s="82"/>
      <c r="F68" s="21"/>
      <c r="G68" s="17"/>
      <c r="H68" s="79"/>
      <c r="I68" s="18" t="s">
        <v>25</v>
      </c>
      <c r="J68" s="73"/>
      <c r="K68" s="83"/>
      <c r="L68" s="74"/>
      <c r="M68" s="87"/>
      <c r="N68" s="85"/>
      <c r="O68" s="23"/>
    </row>
    <row r="69" spans="1:15" x14ac:dyDescent="0.25">
      <c r="A69" s="25"/>
      <c r="B69" s="61"/>
      <c r="C69" s="26"/>
      <c r="D69" s="20"/>
      <c r="E69" s="82"/>
      <c r="F69" s="21"/>
      <c r="G69" s="17"/>
      <c r="H69" s="79"/>
      <c r="I69" s="18"/>
      <c r="J69" s="73"/>
      <c r="K69" s="83"/>
      <c r="L69" s="74"/>
      <c r="M69" s="87"/>
      <c r="N69" s="85"/>
      <c r="O69" s="23"/>
    </row>
    <row r="70" spans="1:15" x14ac:dyDescent="0.25">
      <c r="A70" s="25"/>
      <c r="B70" s="61"/>
      <c r="C70" s="26"/>
      <c r="D70" s="20"/>
      <c r="E70" s="82"/>
      <c r="F70" s="21"/>
      <c r="G70" s="17"/>
      <c r="H70" s="79"/>
      <c r="I70" s="18"/>
      <c r="J70" s="73"/>
      <c r="K70" s="83"/>
      <c r="L70" s="74"/>
      <c r="M70" s="87"/>
      <c r="N70" s="85"/>
      <c r="O70" s="23"/>
    </row>
    <row r="71" spans="1:15" x14ac:dyDescent="0.25">
      <c r="A71" s="25"/>
      <c r="B71" s="61"/>
      <c r="C71" s="26"/>
      <c r="D71" s="20"/>
      <c r="E71" s="82"/>
      <c r="F71" s="21"/>
      <c r="G71" s="17"/>
      <c r="H71" s="79"/>
      <c r="I71" s="18"/>
      <c r="J71" s="73"/>
      <c r="K71" s="83"/>
      <c r="L71" s="74"/>
      <c r="M71" s="87"/>
      <c r="N71" s="85"/>
      <c r="O71" s="23"/>
    </row>
    <row r="72" spans="1:15" x14ac:dyDescent="0.25">
      <c r="A72" s="25"/>
      <c r="B72" s="61"/>
      <c r="C72" s="26"/>
      <c r="D72" s="20"/>
      <c r="E72" s="82"/>
      <c r="F72" s="21"/>
      <c r="G72" s="17"/>
      <c r="H72" s="79"/>
      <c r="I72" s="18"/>
      <c r="J72" s="73"/>
      <c r="K72" s="83"/>
      <c r="L72" s="74"/>
      <c r="M72" s="87"/>
      <c r="N72" s="85"/>
      <c r="O72" s="23"/>
    </row>
    <row r="73" spans="1:15" x14ac:dyDescent="0.25">
      <c r="A73" s="25"/>
      <c r="B73" s="61"/>
      <c r="C73" s="26"/>
      <c r="D73" s="20"/>
      <c r="E73" s="82"/>
      <c r="F73" s="21"/>
      <c r="G73" s="17"/>
      <c r="H73" s="79"/>
      <c r="I73" s="18"/>
      <c r="J73" s="73"/>
      <c r="K73" s="83"/>
      <c r="L73" s="74"/>
      <c r="M73" s="87"/>
      <c r="N73" s="85"/>
      <c r="O73" s="23"/>
    </row>
    <row r="74" spans="1:15" x14ac:dyDescent="0.25">
      <c r="A74" s="25"/>
      <c r="B74" s="61"/>
      <c r="C74" s="26"/>
      <c r="D74" s="20"/>
      <c r="E74" s="82"/>
      <c r="F74" s="21"/>
      <c r="G74" s="17"/>
      <c r="H74" s="79"/>
      <c r="I74" s="18"/>
      <c r="J74" s="73"/>
      <c r="K74" s="83"/>
      <c r="L74" s="74"/>
      <c r="M74" s="87"/>
      <c r="N74" s="85"/>
      <c r="O74" s="23"/>
    </row>
    <row r="75" spans="1:15" x14ac:dyDescent="0.25">
      <c r="A75" s="25"/>
      <c r="B75" s="61"/>
      <c r="C75" s="26"/>
      <c r="D75" s="20"/>
      <c r="E75" s="82"/>
      <c r="F75" s="21"/>
      <c r="G75" s="17"/>
      <c r="H75" s="79"/>
      <c r="I75" s="18"/>
      <c r="J75" s="73"/>
      <c r="K75" s="83"/>
      <c r="L75" s="74"/>
      <c r="M75" s="87"/>
      <c r="N75" s="85"/>
      <c r="O75" s="23"/>
    </row>
    <row r="76" spans="1:15" x14ac:dyDescent="0.25">
      <c r="A76" s="25"/>
      <c r="B76" s="61"/>
      <c r="C76" s="26"/>
      <c r="D76" s="20"/>
      <c r="E76" s="82"/>
      <c r="F76" s="21"/>
      <c r="G76" s="17"/>
      <c r="H76" s="79"/>
      <c r="I76" s="18"/>
      <c r="J76" s="73"/>
      <c r="K76" s="83"/>
      <c r="L76" s="74"/>
      <c r="M76" s="87"/>
      <c r="N76" s="85"/>
      <c r="O76" s="23"/>
    </row>
    <row r="77" spans="1:15" x14ac:dyDescent="0.25">
      <c r="A77" s="25"/>
      <c r="B77" s="61"/>
      <c r="C77" s="26"/>
      <c r="D77" s="20"/>
      <c r="E77" s="82"/>
      <c r="F77" s="21"/>
      <c r="G77" s="17"/>
      <c r="H77" s="79"/>
      <c r="I77" s="18"/>
      <c r="J77" s="73"/>
      <c r="K77" s="83"/>
      <c r="L77" s="74"/>
      <c r="M77" s="87"/>
      <c r="N77" s="85"/>
      <c r="O77" s="23"/>
    </row>
    <row r="78" spans="1:15" x14ac:dyDescent="0.25">
      <c r="A78" s="25"/>
      <c r="B78" s="61"/>
      <c r="C78" s="26"/>
      <c r="D78" s="20"/>
      <c r="E78" s="82"/>
      <c r="F78" s="21"/>
      <c r="G78" s="17"/>
      <c r="H78" s="79"/>
      <c r="I78" s="18"/>
      <c r="J78" s="73"/>
      <c r="K78" s="83"/>
      <c r="L78" s="74"/>
      <c r="M78" s="87"/>
      <c r="N78" s="85"/>
      <c r="O78" s="23"/>
    </row>
    <row r="79" spans="1:15" x14ac:dyDescent="0.25">
      <c r="A79" s="25"/>
      <c r="B79" s="61"/>
      <c r="C79" s="26"/>
      <c r="D79" s="20"/>
      <c r="E79" s="82"/>
      <c r="F79" s="21"/>
      <c r="G79" s="17"/>
      <c r="H79" s="79"/>
      <c r="I79" s="18"/>
      <c r="J79" s="73"/>
      <c r="K79" s="83"/>
      <c r="L79" s="74"/>
      <c r="M79" s="87"/>
      <c r="N79" s="85"/>
      <c r="O79" s="23"/>
    </row>
    <row r="80" spans="1:15" x14ac:dyDescent="0.25">
      <c r="A80" s="25"/>
      <c r="B80" s="61"/>
      <c r="C80" s="26"/>
      <c r="D80" s="20"/>
      <c r="E80" s="82"/>
      <c r="F80" s="21"/>
      <c r="G80" s="17"/>
      <c r="H80" s="79"/>
      <c r="I80" s="18"/>
      <c r="J80" s="73"/>
      <c r="K80" s="83"/>
      <c r="L80" s="74"/>
      <c r="M80" s="87"/>
      <c r="N80" s="85"/>
      <c r="O80" s="23"/>
    </row>
    <row r="81" spans="1:15" x14ac:dyDescent="0.25">
      <c r="A81" s="25"/>
      <c r="B81" s="61"/>
      <c r="C81" s="26"/>
      <c r="D81" s="20"/>
      <c r="E81" s="82"/>
      <c r="F81" s="21"/>
      <c r="G81" s="17"/>
      <c r="H81" s="79"/>
      <c r="I81" s="18"/>
      <c r="J81" s="73"/>
      <c r="K81" s="83"/>
      <c r="L81" s="74"/>
      <c r="M81" s="87"/>
      <c r="N81" s="85"/>
      <c r="O81" s="23"/>
    </row>
    <row r="82" spans="1:15" x14ac:dyDescent="0.25">
      <c r="A82" s="25"/>
      <c r="B82" s="61"/>
      <c r="C82" s="26"/>
      <c r="D82" s="20"/>
      <c r="E82" s="82"/>
      <c r="F82" s="21"/>
      <c r="G82" s="17"/>
      <c r="H82" s="79"/>
      <c r="I82" s="18"/>
      <c r="J82" s="73"/>
      <c r="K82" s="83"/>
      <c r="L82" s="74"/>
      <c r="M82" s="87"/>
      <c r="N82" s="85"/>
      <c r="O82" s="23"/>
    </row>
    <row r="83" spans="1:15" x14ac:dyDescent="0.25">
      <c r="A83" s="25"/>
      <c r="B83" s="61"/>
      <c r="C83" s="26"/>
      <c r="D83" s="20"/>
      <c r="E83" s="82"/>
      <c r="F83" s="21"/>
      <c r="G83" s="17"/>
      <c r="H83" s="79"/>
      <c r="I83" s="18"/>
      <c r="J83" s="73"/>
      <c r="K83" s="83"/>
      <c r="L83" s="74"/>
      <c r="M83" s="87"/>
      <c r="N83" s="85"/>
      <c r="O83" s="23"/>
    </row>
    <row r="84" spans="1:15" x14ac:dyDescent="0.25">
      <c r="A84" s="25"/>
      <c r="B84" s="61"/>
      <c r="C84" s="26"/>
      <c r="D84" s="20"/>
      <c r="E84" s="82"/>
      <c r="F84" s="21"/>
      <c r="G84" s="17"/>
      <c r="H84" s="79"/>
      <c r="I84" s="18"/>
      <c r="J84" s="73"/>
      <c r="K84" s="83"/>
      <c r="L84" s="74"/>
      <c r="M84" s="87"/>
      <c r="N84" s="85"/>
      <c r="O84" s="23"/>
    </row>
    <row r="85" spans="1:15" x14ac:dyDescent="0.25">
      <c r="A85" s="25"/>
      <c r="B85" s="61"/>
      <c r="C85" s="26"/>
      <c r="D85" s="20"/>
      <c r="E85" s="82"/>
      <c r="F85" s="21"/>
      <c r="G85" s="17"/>
      <c r="H85" s="79"/>
      <c r="I85" s="18"/>
      <c r="J85" s="73"/>
      <c r="K85" s="83"/>
      <c r="L85" s="74"/>
      <c r="M85" s="87"/>
      <c r="N85" s="85"/>
      <c r="O85" s="23"/>
    </row>
    <row r="86" spans="1:15" x14ac:dyDescent="0.25">
      <c r="A86" s="25"/>
      <c r="B86" s="61"/>
      <c r="C86" s="26"/>
      <c r="D86" s="20"/>
      <c r="E86" s="82"/>
      <c r="F86" s="21"/>
      <c r="G86" s="17"/>
      <c r="H86" s="79"/>
      <c r="I86" s="18"/>
      <c r="J86" s="73"/>
      <c r="K86" s="83"/>
      <c r="L86" s="74"/>
      <c r="M86" s="87"/>
      <c r="N86" s="85"/>
      <c r="O86" s="23"/>
    </row>
    <row r="87" spans="1:15" x14ac:dyDescent="0.25">
      <c r="A87" s="25"/>
      <c r="B87" s="61"/>
      <c r="C87" s="26"/>
      <c r="D87" s="20"/>
      <c r="E87" s="82"/>
      <c r="F87" s="21"/>
      <c r="G87" s="17"/>
      <c r="H87" s="79"/>
      <c r="I87" s="18"/>
      <c r="J87" s="73"/>
      <c r="K87" s="83"/>
      <c r="L87" s="74"/>
      <c r="M87" s="87"/>
      <c r="N87" s="85"/>
      <c r="O87" s="23"/>
    </row>
    <row r="88" spans="1:15" x14ac:dyDescent="0.25">
      <c r="A88" s="25"/>
      <c r="B88" s="61"/>
      <c r="C88" s="26"/>
      <c r="D88" s="20"/>
      <c r="E88" s="82"/>
      <c r="F88" s="21"/>
      <c r="G88" s="17"/>
      <c r="H88" s="79"/>
      <c r="I88" s="18"/>
      <c r="J88" s="73"/>
      <c r="K88" s="83"/>
      <c r="L88" s="74"/>
      <c r="M88" s="87"/>
      <c r="N88" s="85"/>
      <c r="O88" s="23"/>
    </row>
    <row r="89" spans="1:15" x14ac:dyDescent="0.25">
      <c r="A89" s="25"/>
      <c r="B89" s="61"/>
      <c r="C89" s="26"/>
      <c r="D89" s="20"/>
      <c r="E89" s="82"/>
      <c r="F89" s="21"/>
      <c r="G89" s="17"/>
      <c r="H89" s="79"/>
      <c r="I89" s="18"/>
      <c r="J89" s="73"/>
      <c r="K89" s="83"/>
      <c r="L89" s="74"/>
      <c r="M89" s="87"/>
      <c r="N89" s="85"/>
      <c r="O89" s="23"/>
    </row>
    <row r="90" spans="1:15" x14ac:dyDescent="0.25">
      <c r="A90" s="25"/>
      <c r="B90" s="61"/>
      <c r="C90" s="26"/>
      <c r="D90" s="20"/>
      <c r="E90" s="82"/>
      <c r="F90" s="21"/>
      <c r="G90" s="17"/>
      <c r="H90" s="79"/>
      <c r="I90" s="18"/>
      <c r="J90" s="73"/>
      <c r="K90" s="83"/>
      <c r="L90" s="74"/>
      <c r="M90" s="23"/>
      <c r="N90" s="85"/>
      <c r="O90" s="23"/>
    </row>
    <row r="91" spans="1:15" x14ac:dyDescent="0.25">
      <c r="A91" s="25"/>
      <c r="B91" s="61"/>
      <c r="C91" s="26"/>
      <c r="D91" s="20"/>
      <c r="E91" s="82"/>
      <c r="F91" s="21"/>
      <c r="G91" s="17"/>
      <c r="H91" s="79"/>
      <c r="I91" s="18"/>
      <c r="J91" s="73"/>
      <c r="K91" s="83"/>
      <c r="L91" s="74"/>
      <c r="M91" s="23"/>
      <c r="N91" s="85"/>
      <c r="O91" s="23"/>
    </row>
    <row r="92" spans="1:15" x14ac:dyDescent="0.25">
      <c r="A92" s="25"/>
      <c r="B92" s="61"/>
      <c r="C92" s="26"/>
      <c r="D92" s="20"/>
      <c r="E92" s="82"/>
      <c r="F92" s="21"/>
      <c r="G92" s="17"/>
      <c r="H92" s="79"/>
      <c r="I92" s="18"/>
      <c r="J92" s="73"/>
      <c r="K92" s="83"/>
      <c r="L92" s="74"/>
      <c r="M92" s="23"/>
      <c r="N92" s="85"/>
      <c r="O92" s="23"/>
    </row>
    <row r="93" spans="1:15" x14ac:dyDescent="0.25">
      <c r="A93" s="25"/>
      <c r="B93" s="61"/>
      <c r="C93" s="26"/>
      <c r="D93" s="20"/>
      <c r="E93" s="82"/>
      <c r="F93" s="21"/>
      <c r="G93" s="17"/>
      <c r="H93" s="79"/>
      <c r="I93" s="18"/>
      <c r="J93" s="73"/>
      <c r="K93" s="83"/>
      <c r="L93" s="74"/>
      <c r="M93" s="23"/>
      <c r="N93" s="85"/>
      <c r="O93" s="23"/>
    </row>
    <row r="94" spans="1:15" x14ac:dyDescent="0.25">
      <c r="A94" s="25"/>
      <c r="B94" s="61"/>
      <c r="C94" s="26"/>
      <c r="D94" s="20"/>
      <c r="E94" s="82"/>
      <c r="F94" s="21"/>
      <c r="G94" s="17"/>
      <c r="H94" s="79"/>
      <c r="I94" s="18"/>
      <c r="J94" s="73"/>
      <c r="K94" s="83"/>
      <c r="L94" s="74"/>
      <c r="M94" s="23"/>
      <c r="N94" s="85"/>
      <c r="O94" s="23"/>
    </row>
    <row r="95" spans="1:15" x14ac:dyDescent="0.25">
      <c r="A95" s="37"/>
      <c r="B95" s="78"/>
      <c r="C95" s="70"/>
      <c r="D95" s="37"/>
      <c r="E95" s="70"/>
      <c r="F95" s="70"/>
      <c r="G95" s="37"/>
      <c r="H95" s="70"/>
      <c r="I95" s="70"/>
      <c r="J95" s="37"/>
      <c r="K95" s="70"/>
      <c r="L95" s="70"/>
      <c r="M95" s="70"/>
      <c r="N95" s="70"/>
      <c r="O95" s="70"/>
    </row>
    <row r="96" spans="1:15" x14ac:dyDescent="0.25">
      <c r="A96" s="37"/>
      <c r="B96" s="78"/>
      <c r="C96" s="70"/>
      <c r="D96" s="37"/>
      <c r="E96" s="70"/>
      <c r="F96" s="70"/>
      <c r="G96" s="37"/>
      <c r="H96" s="70"/>
      <c r="I96" s="70"/>
      <c r="J96" s="37"/>
      <c r="K96" s="70"/>
      <c r="L96" s="70"/>
      <c r="M96" s="70"/>
      <c r="N96" s="70"/>
      <c r="O96" s="70"/>
    </row>
    <row r="97" spans="1:15" x14ac:dyDescent="0.25">
      <c r="A97" s="37"/>
      <c r="B97" s="78"/>
      <c r="C97" s="70"/>
      <c r="D97" s="37"/>
      <c r="E97" s="70"/>
      <c r="F97" s="70"/>
      <c r="G97" s="37"/>
      <c r="H97" s="70"/>
      <c r="I97" s="70"/>
      <c r="J97" s="37"/>
      <c r="K97" s="70"/>
      <c r="L97" s="70"/>
      <c r="M97" s="70"/>
      <c r="N97" s="70"/>
      <c r="O97" s="70"/>
    </row>
    <row r="98" spans="1:15" x14ac:dyDescent="0.25">
      <c r="A98" s="37"/>
      <c r="B98" s="78"/>
      <c r="C98" s="70"/>
      <c r="D98" s="37"/>
      <c r="E98" s="70"/>
      <c r="F98" s="70"/>
      <c r="G98" s="37"/>
      <c r="H98" s="70"/>
      <c r="I98" s="70"/>
      <c r="J98" s="37"/>
      <c r="K98" s="70"/>
      <c r="L98" s="70"/>
      <c r="M98" s="70"/>
      <c r="N98" s="70"/>
      <c r="O98" s="70"/>
    </row>
    <row r="99" spans="1:15" x14ac:dyDescent="0.25">
      <c r="A99" s="37"/>
      <c r="B99" s="78"/>
      <c r="C99" s="70"/>
      <c r="D99" s="37"/>
      <c r="E99" s="70"/>
      <c r="F99" s="70"/>
      <c r="G99" s="37"/>
      <c r="H99" s="70"/>
      <c r="I99" s="70"/>
      <c r="J99" s="37"/>
      <c r="K99" s="70"/>
      <c r="L99" s="70"/>
      <c r="M99" s="70"/>
      <c r="N99" s="70"/>
      <c r="O99" s="70"/>
    </row>
    <row r="100" spans="1:15" x14ac:dyDescent="0.25">
      <c r="A100" s="37"/>
      <c r="B100" s="78"/>
      <c r="C100" s="70"/>
      <c r="D100" s="37"/>
      <c r="E100" s="70"/>
      <c r="F100" s="70"/>
      <c r="G100" s="37"/>
      <c r="H100" s="70"/>
      <c r="I100" s="70"/>
      <c r="J100" s="37"/>
      <c r="K100" s="70"/>
      <c r="L100" s="70"/>
      <c r="M100" s="70"/>
      <c r="N100" s="70"/>
      <c r="O100" s="70"/>
    </row>
    <row r="101" spans="1:15" x14ac:dyDescent="0.25">
      <c r="A101" s="37"/>
      <c r="B101" s="78"/>
      <c r="C101" s="70"/>
      <c r="D101" s="37"/>
      <c r="E101" s="70"/>
      <c r="F101" s="70"/>
      <c r="G101" s="37"/>
      <c r="H101" s="70"/>
      <c r="I101" s="70"/>
      <c r="J101" s="37"/>
      <c r="K101" s="70"/>
      <c r="L101" s="70"/>
      <c r="M101" s="70"/>
      <c r="N101" s="70"/>
      <c r="O101" s="70"/>
    </row>
    <row r="102" spans="1:15" x14ac:dyDescent="0.25">
      <c r="A102" s="37"/>
      <c r="B102" s="78"/>
      <c r="C102" s="70"/>
      <c r="D102" s="37"/>
      <c r="E102" s="70"/>
      <c r="F102" s="70"/>
      <c r="G102" s="37"/>
      <c r="H102" s="70"/>
      <c r="I102" s="70"/>
      <c r="J102" s="37"/>
      <c r="K102" s="70"/>
      <c r="L102" s="70"/>
      <c r="M102" s="70"/>
      <c r="N102" s="70"/>
      <c r="O102" s="70"/>
    </row>
    <row r="103" spans="1:15" x14ac:dyDescent="0.25">
      <c r="A103" s="37"/>
      <c r="B103" s="78"/>
      <c r="C103" s="70"/>
      <c r="D103" s="37"/>
      <c r="E103" s="70"/>
      <c r="F103" s="70"/>
      <c r="G103" s="37"/>
      <c r="H103" s="70"/>
      <c r="I103" s="70"/>
      <c r="J103" s="37"/>
      <c r="K103" s="70"/>
      <c r="L103" s="70"/>
      <c r="M103" s="70"/>
      <c r="N103" s="70"/>
      <c r="O103" s="70"/>
    </row>
    <row r="104" spans="1:15" x14ac:dyDescent="0.25">
      <c r="A104" s="37"/>
      <c r="B104" s="78"/>
      <c r="C104" s="70"/>
      <c r="D104" s="37"/>
      <c r="E104" s="70"/>
      <c r="F104" s="70"/>
      <c r="G104" s="37"/>
      <c r="H104" s="70"/>
      <c r="I104" s="70"/>
      <c r="J104" s="37"/>
      <c r="K104" s="70"/>
      <c r="L104" s="70"/>
      <c r="M104" s="70"/>
      <c r="N104" s="70"/>
      <c r="O104" s="70"/>
    </row>
    <row r="105" spans="1:15" x14ac:dyDescent="0.25">
      <c r="A105" s="37"/>
      <c r="B105" s="78"/>
      <c r="C105" s="70"/>
      <c r="D105" s="37"/>
      <c r="E105" s="70"/>
      <c r="F105" s="70"/>
      <c r="G105" s="37"/>
      <c r="H105" s="70"/>
      <c r="I105" s="70"/>
      <c r="J105" s="37"/>
      <c r="K105" s="70"/>
      <c r="L105" s="70"/>
      <c r="M105" s="70"/>
      <c r="N105" s="70"/>
      <c r="O105" s="70"/>
    </row>
    <row r="106" spans="1:15" x14ac:dyDescent="0.25">
      <c r="A106" s="37"/>
      <c r="B106" s="78"/>
      <c r="C106" s="70"/>
      <c r="D106" s="37"/>
      <c r="E106" s="70"/>
      <c r="F106" s="70"/>
      <c r="G106" s="37"/>
      <c r="H106" s="70"/>
      <c r="I106" s="70"/>
      <c r="J106" s="37"/>
      <c r="K106" s="70"/>
      <c r="L106" s="70"/>
      <c r="M106" s="70"/>
      <c r="N106" s="70"/>
      <c r="O106" s="70"/>
    </row>
    <row r="107" spans="1:15" x14ac:dyDescent="0.25">
      <c r="A107" s="37"/>
      <c r="B107" s="78"/>
      <c r="C107" s="70"/>
      <c r="D107" s="37"/>
      <c r="E107" s="70"/>
      <c r="F107" s="70"/>
      <c r="G107" s="37"/>
      <c r="H107" s="70"/>
      <c r="I107" s="70"/>
      <c r="J107" s="37"/>
      <c r="K107" s="70"/>
      <c r="L107" s="70"/>
      <c r="M107" s="70"/>
      <c r="N107" s="70"/>
      <c r="O107" s="70"/>
    </row>
    <row r="108" spans="1:15" x14ac:dyDescent="0.25">
      <c r="A108" s="37"/>
      <c r="B108" s="78"/>
      <c r="C108" s="70"/>
      <c r="D108" s="37"/>
      <c r="E108" s="70"/>
      <c r="F108" s="70"/>
      <c r="G108" s="37"/>
      <c r="H108" s="70"/>
      <c r="I108" s="70"/>
      <c r="J108" s="37"/>
      <c r="K108" s="70"/>
      <c r="L108" s="70"/>
      <c r="M108" s="70"/>
      <c r="N108" s="70"/>
      <c r="O108" s="70"/>
    </row>
    <row r="109" spans="1:15" x14ac:dyDescent="0.25">
      <c r="A109" s="37"/>
      <c r="B109" s="78"/>
      <c r="C109" s="70"/>
      <c r="D109" s="37"/>
      <c r="E109" s="70"/>
      <c r="F109" s="70"/>
      <c r="G109" s="37"/>
      <c r="H109" s="70"/>
      <c r="I109" s="70"/>
      <c r="J109" s="37"/>
      <c r="K109" s="70"/>
      <c r="L109" s="70"/>
      <c r="M109" s="70"/>
      <c r="N109" s="70"/>
      <c r="O109" s="70"/>
    </row>
    <row r="110" spans="1:15" x14ac:dyDescent="0.25">
      <c r="A110" s="37"/>
      <c r="B110" s="78"/>
      <c r="C110" s="70"/>
      <c r="D110" s="37"/>
      <c r="E110" s="70"/>
      <c r="F110" s="70"/>
      <c r="G110" s="37"/>
      <c r="H110" s="70"/>
      <c r="I110" s="70"/>
      <c r="J110" s="37"/>
      <c r="K110" s="70"/>
      <c r="L110" s="70"/>
      <c r="M110" s="70"/>
      <c r="N110" s="70"/>
      <c r="O110" s="70"/>
    </row>
    <row r="111" spans="1:15" x14ac:dyDescent="0.25">
      <c r="A111" s="37"/>
      <c r="B111" s="78"/>
      <c r="C111" s="70"/>
      <c r="D111" s="37"/>
      <c r="E111" s="70"/>
      <c r="F111" s="70"/>
      <c r="G111" s="37"/>
      <c r="H111" s="70"/>
      <c r="I111" s="70"/>
      <c r="J111" s="37"/>
      <c r="K111" s="70"/>
      <c r="L111" s="70"/>
      <c r="M111" s="70"/>
      <c r="N111" s="70"/>
      <c r="O111" s="70"/>
    </row>
    <row r="112" spans="1:15" x14ac:dyDescent="0.25">
      <c r="A112" s="37"/>
      <c r="B112" s="78"/>
      <c r="C112" s="70"/>
      <c r="D112" s="37"/>
      <c r="E112" s="70"/>
      <c r="F112" s="70"/>
      <c r="G112" s="37"/>
      <c r="H112" s="70"/>
      <c r="I112" s="70"/>
      <c r="J112" s="37"/>
      <c r="K112" s="70"/>
      <c r="L112" s="70"/>
      <c r="M112" s="70"/>
      <c r="N112" s="70"/>
      <c r="O112" s="70"/>
    </row>
    <row r="113" spans="1:15" x14ac:dyDescent="0.25">
      <c r="A113" s="37"/>
      <c r="B113" s="78"/>
      <c r="C113" s="70"/>
      <c r="D113" s="37"/>
      <c r="E113" s="70"/>
      <c r="F113" s="70"/>
      <c r="G113" s="37"/>
      <c r="H113" s="70"/>
      <c r="I113" s="70"/>
      <c r="J113" s="37"/>
      <c r="K113" s="70"/>
      <c r="L113" s="70"/>
      <c r="M113" s="70"/>
      <c r="N113" s="70"/>
      <c r="O113" s="70"/>
    </row>
    <row r="114" spans="1:15" x14ac:dyDescent="0.25">
      <c r="A114" s="37"/>
      <c r="B114" s="78"/>
      <c r="C114" s="70"/>
      <c r="D114" s="37"/>
      <c r="E114" s="70"/>
      <c r="F114" s="70"/>
      <c r="G114" s="37"/>
      <c r="H114" s="70"/>
      <c r="I114" s="70"/>
      <c r="J114" s="37"/>
      <c r="K114" s="70"/>
      <c r="L114" s="70"/>
      <c r="M114" s="70"/>
      <c r="N114" s="70"/>
      <c r="O114" s="70"/>
    </row>
    <row r="115" spans="1:15" x14ac:dyDescent="0.25">
      <c r="A115" s="37"/>
      <c r="B115" s="78"/>
      <c r="C115" s="70"/>
      <c r="D115" s="37"/>
      <c r="E115" s="70"/>
      <c r="F115" s="70"/>
      <c r="G115" s="37"/>
      <c r="H115" s="70"/>
      <c r="I115" s="70"/>
      <c r="J115" s="37"/>
      <c r="K115" s="70"/>
      <c r="L115" s="70"/>
      <c r="M115" s="70"/>
      <c r="N115" s="70"/>
      <c r="O115" s="70"/>
    </row>
    <row r="116" spans="1:15" x14ac:dyDescent="0.25">
      <c r="A116" s="37"/>
      <c r="B116" s="78"/>
      <c r="C116" s="70"/>
      <c r="D116" s="37"/>
      <c r="E116" s="70"/>
      <c r="F116" s="70"/>
      <c r="G116" s="37"/>
      <c r="H116" s="70"/>
      <c r="I116" s="70"/>
      <c r="J116" s="37"/>
      <c r="K116" s="70"/>
      <c r="L116" s="70"/>
      <c r="M116" s="70"/>
      <c r="N116" s="70"/>
      <c r="O116" s="70"/>
    </row>
    <row r="117" spans="1:15" x14ac:dyDescent="0.25">
      <c r="A117" s="37"/>
      <c r="B117" s="78"/>
      <c r="C117" s="70"/>
      <c r="D117" s="37"/>
      <c r="E117" s="70"/>
      <c r="F117" s="70"/>
      <c r="G117" s="37"/>
      <c r="H117" s="70"/>
      <c r="I117" s="70"/>
      <c r="J117" s="37"/>
      <c r="K117" s="70"/>
      <c r="L117" s="70"/>
      <c r="M117" s="70"/>
      <c r="N117" s="70"/>
      <c r="O117" s="70"/>
    </row>
    <row r="118" spans="1:15" x14ac:dyDescent="0.25">
      <c r="A118" s="37"/>
      <c r="B118" s="78"/>
      <c r="C118" s="70"/>
      <c r="D118" s="37"/>
      <c r="E118" s="70"/>
      <c r="F118" s="70"/>
      <c r="G118" s="37"/>
      <c r="H118" s="70"/>
      <c r="I118" s="70"/>
      <c r="J118" s="37"/>
      <c r="K118" s="70"/>
      <c r="L118" s="70"/>
      <c r="M118" s="70"/>
      <c r="N118" s="70"/>
      <c r="O118" s="70"/>
    </row>
    <row r="119" spans="1:15" x14ac:dyDescent="0.25">
      <c r="A119" s="37"/>
      <c r="B119" s="78"/>
      <c r="C119" s="70"/>
      <c r="D119" s="37"/>
      <c r="E119" s="70"/>
      <c r="F119" s="70"/>
      <c r="G119" s="37"/>
      <c r="H119" s="70"/>
      <c r="I119" s="70"/>
      <c r="J119" s="37"/>
      <c r="K119" s="70"/>
      <c r="L119" s="70"/>
      <c r="M119" s="70"/>
      <c r="N119" s="70"/>
      <c r="O119" s="70"/>
    </row>
    <row r="120" spans="1:15" x14ac:dyDescent="0.25">
      <c r="A120" s="37"/>
      <c r="B120" s="78"/>
      <c r="C120" s="70"/>
      <c r="D120" s="37"/>
      <c r="E120" s="70"/>
      <c r="F120" s="70"/>
      <c r="G120" s="37"/>
      <c r="H120" s="70"/>
      <c r="I120" s="70"/>
      <c r="J120" s="37"/>
      <c r="K120" s="70"/>
      <c r="L120" s="70"/>
      <c r="M120" s="70"/>
      <c r="N120" s="70"/>
      <c r="O120" s="70"/>
    </row>
    <row r="121" spans="1:15" x14ac:dyDescent="0.25">
      <c r="A121" s="37"/>
      <c r="B121" s="78"/>
      <c r="C121" s="70"/>
      <c r="D121" s="37"/>
      <c r="E121" s="70"/>
      <c r="F121" s="70"/>
      <c r="G121" s="37"/>
      <c r="H121" s="70"/>
      <c r="I121" s="70"/>
      <c r="J121" s="37"/>
      <c r="K121" s="70"/>
      <c r="L121" s="70"/>
      <c r="M121" s="70"/>
      <c r="N121" s="70"/>
      <c r="O121" s="70"/>
    </row>
    <row r="122" spans="1:15" x14ac:dyDescent="0.25">
      <c r="A122" s="37"/>
      <c r="B122" s="78"/>
      <c r="C122" s="70"/>
      <c r="D122" s="37"/>
      <c r="E122" s="70"/>
      <c r="F122" s="70"/>
      <c r="G122" s="37"/>
      <c r="H122" s="70"/>
      <c r="I122" s="70"/>
      <c r="J122" s="37"/>
      <c r="K122" s="70"/>
      <c r="L122" s="70"/>
      <c r="M122" s="70"/>
      <c r="N122" s="70"/>
      <c r="O122" s="70"/>
    </row>
    <row r="123" spans="1:15" x14ac:dyDescent="0.25">
      <c r="A123" s="37"/>
      <c r="B123" s="78"/>
      <c r="C123" s="70"/>
      <c r="D123" s="37"/>
      <c r="E123" s="70"/>
      <c r="F123" s="70"/>
      <c r="G123" s="37"/>
      <c r="H123" s="70"/>
      <c r="I123" s="70"/>
      <c r="J123" s="37"/>
      <c r="K123" s="70"/>
      <c r="L123" s="70"/>
      <c r="M123" s="70"/>
      <c r="N123" s="70"/>
      <c r="O123" s="70"/>
    </row>
    <row r="124" spans="1:15" x14ac:dyDescent="0.25">
      <c r="A124" s="37"/>
      <c r="B124" s="78"/>
      <c r="C124" s="70"/>
      <c r="D124" s="37"/>
      <c r="E124" s="70"/>
      <c r="F124" s="70"/>
      <c r="G124" s="37"/>
      <c r="H124" s="70"/>
      <c r="I124" s="70"/>
      <c r="J124" s="37"/>
      <c r="K124" s="70"/>
      <c r="L124" s="70"/>
      <c r="M124" s="70"/>
      <c r="N124" s="70"/>
      <c r="O124" s="70"/>
    </row>
    <row r="125" spans="1:15" x14ac:dyDescent="0.25">
      <c r="A125" s="37"/>
      <c r="B125" s="78"/>
      <c r="C125" s="70"/>
      <c r="D125" s="37"/>
      <c r="E125" s="70"/>
      <c r="F125" s="70"/>
      <c r="G125" s="37"/>
      <c r="H125" s="70"/>
      <c r="I125" s="70"/>
      <c r="J125" s="37"/>
      <c r="K125" s="70"/>
      <c r="L125" s="70"/>
      <c r="M125" s="70"/>
      <c r="N125" s="70"/>
      <c r="O125" s="70"/>
    </row>
    <row r="126" spans="1:15" x14ac:dyDescent="0.25">
      <c r="A126" s="37"/>
      <c r="B126" s="78"/>
      <c r="C126" s="70"/>
      <c r="D126" s="37"/>
      <c r="E126" s="70"/>
      <c r="F126" s="70"/>
      <c r="G126" s="37"/>
      <c r="H126" s="70"/>
      <c r="I126" s="70"/>
      <c r="J126" s="37"/>
      <c r="K126" s="70"/>
      <c r="L126" s="70"/>
      <c r="M126" s="70"/>
      <c r="N126" s="70"/>
      <c r="O126" s="70"/>
    </row>
    <row r="127" spans="1:15" x14ac:dyDescent="0.25">
      <c r="A127" s="37"/>
      <c r="B127" s="78"/>
      <c r="C127" s="70"/>
      <c r="D127" s="37"/>
      <c r="E127" s="70"/>
      <c r="F127" s="70"/>
      <c r="G127" s="37"/>
      <c r="H127" s="70"/>
      <c r="I127" s="70"/>
      <c r="J127" s="37"/>
      <c r="K127" s="70"/>
      <c r="L127" s="70"/>
      <c r="M127" s="70"/>
      <c r="N127" s="70"/>
      <c r="O127" s="70"/>
    </row>
    <row r="128" spans="1:15" x14ac:dyDescent="0.25">
      <c r="A128" s="37"/>
      <c r="B128" s="78"/>
      <c r="C128" s="70"/>
      <c r="D128" s="37"/>
      <c r="E128" s="70"/>
      <c r="F128" s="70"/>
      <c r="G128" s="37"/>
      <c r="H128" s="70"/>
      <c r="I128" s="70"/>
      <c r="J128" s="37"/>
      <c r="K128" s="70"/>
      <c r="L128" s="70"/>
      <c r="M128" s="70"/>
      <c r="N128" s="70"/>
      <c r="O128" s="70"/>
    </row>
    <row r="129" spans="1:15" x14ac:dyDescent="0.25">
      <c r="A129" s="37"/>
      <c r="B129" s="78"/>
      <c r="C129" s="70"/>
      <c r="D129" s="37"/>
      <c r="E129" s="70"/>
      <c r="F129" s="70"/>
      <c r="G129" s="37"/>
      <c r="H129" s="70"/>
      <c r="I129" s="70"/>
      <c r="J129" s="37"/>
      <c r="K129" s="70"/>
      <c r="L129" s="70"/>
      <c r="M129" s="70"/>
      <c r="N129" s="70"/>
      <c r="O129" s="70"/>
    </row>
    <row r="130" spans="1:15" x14ac:dyDescent="0.25">
      <c r="A130" s="37"/>
      <c r="B130" s="78"/>
      <c r="C130" s="70"/>
      <c r="D130" s="37"/>
      <c r="E130" s="70"/>
      <c r="F130" s="70"/>
      <c r="G130" s="37"/>
      <c r="H130" s="70"/>
      <c r="I130" s="70"/>
      <c r="J130" s="37"/>
      <c r="K130" s="70"/>
      <c r="L130" s="70"/>
      <c r="M130" s="70"/>
      <c r="N130" s="70"/>
      <c r="O130" s="70"/>
    </row>
    <row r="131" spans="1:15" x14ac:dyDescent="0.25">
      <c r="A131" s="37"/>
      <c r="B131" s="78"/>
      <c r="C131" s="70"/>
      <c r="D131" s="37"/>
      <c r="E131" s="70"/>
      <c r="F131" s="70"/>
      <c r="G131" s="37"/>
      <c r="H131" s="70"/>
      <c r="I131" s="70"/>
      <c r="J131" s="37"/>
      <c r="K131" s="70"/>
      <c r="L131" s="70"/>
      <c r="M131" s="70"/>
      <c r="N131" s="70"/>
      <c r="O131" s="70"/>
    </row>
    <row r="132" spans="1:15" x14ac:dyDescent="0.25">
      <c r="A132" s="37"/>
      <c r="B132" s="78"/>
      <c r="C132" s="70"/>
      <c r="D132" s="37"/>
      <c r="E132" s="70"/>
      <c r="F132" s="70"/>
      <c r="G132" s="37"/>
      <c r="H132" s="70"/>
      <c r="I132" s="70"/>
      <c r="J132" s="37"/>
      <c r="K132" s="70"/>
      <c r="L132" s="70"/>
      <c r="M132" s="70"/>
      <c r="N132" s="70"/>
      <c r="O132" s="70"/>
    </row>
    <row r="133" spans="1:15" x14ac:dyDescent="0.25">
      <c r="A133" s="37"/>
      <c r="B133" s="78"/>
      <c r="C133" s="70"/>
      <c r="D133" s="37"/>
      <c r="E133" s="70"/>
      <c r="F133" s="70"/>
      <c r="G133" s="37"/>
      <c r="H133" s="70"/>
      <c r="I133" s="70"/>
      <c r="J133" s="37"/>
      <c r="K133" s="70"/>
      <c r="L133" s="70"/>
      <c r="M133" s="70"/>
      <c r="N133" s="70"/>
      <c r="O133" s="70"/>
    </row>
    <row r="134" spans="1:15" x14ac:dyDescent="0.25">
      <c r="A134" s="37"/>
      <c r="B134" s="78"/>
      <c r="C134" s="70"/>
      <c r="D134" s="37"/>
      <c r="E134" s="70"/>
      <c r="F134" s="70"/>
      <c r="G134" s="37"/>
      <c r="H134" s="70"/>
      <c r="I134" s="70"/>
      <c r="J134" s="37"/>
      <c r="K134" s="70"/>
      <c r="L134" s="70"/>
      <c r="M134" s="70"/>
      <c r="N134" s="70"/>
      <c r="O134" s="70"/>
    </row>
    <row r="135" spans="1:15" x14ac:dyDescent="0.25">
      <c r="A135" s="37"/>
      <c r="B135" s="78"/>
      <c r="C135" s="70"/>
      <c r="D135" s="37"/>
      <c r="E135" s="70"/>
      <c r="F135" s="70"/>
      <c r="G135" s="37"/>
      <c r="H135" s="70"/>
      <c r="I135" s="70"/>
      <c r="J135" s="37"/>
      <c r="K135" s="70"/>
      <c r="L135" s="70"/>
      <c r="M135" s="70"/>
      <c r="N135" s="70"/>
      <c r="O135" s="70"/>
    </row>
    <row r="136" spans="1:15" x14ac:dyDescent="0.25">
      <c r="A136" s="37"/>
      <c r="B136" s="78"/>
      <c r="C136" s="70"/>
      <c r="D136" s="37"/>
      <c r="E136" s="70"/>
      <c r="F136" s="70"/>
      <c r="G136" s="37"/>
      <c r="H136" s="70"/>
      <c r="I136" s="70"/>
      <c r="J136" s="37"/>
      <c r="K136" s="70"/>
      <c r="L136" s="70"/>
      <c r="M136" s="70"/>
      <c r="N136" s="70"/>
      <c r="O136" s="70"/>
    </row>
    <row r="137" spans="1:15" x14ac:dyDescent="0.25">
      <c r="A137" s="37"/>
      <c r="B137" s="78"/>
      <c r="C137" s="70"/>
      <c r="D137" s="37"/>
      <c r="E137" s="70"/>
      <c r="F137" s="70"/>
      <c r="G137" s="37"/>
      <c r="H137" s="70"/>
      <c r="I137" s="70"/>
      <c r="J137" s="37"/>
      <c r="K137" s="70"/>
      <c r="L137" s="70"/>
      <c r="M137" s="70"/>
      <c r="N137" s="70"/>
      <c r="O137" s="70"/>
    </row>
    <row r="138" spans="1:15" x14ac:dyDescent="0.25">
      <c r="A138" s="37"/>
      <c r="B138" s="78"/>
      <c r="C138" s="70"/>
      <c r="D138" s="37"/>
      <c r="E138" s="70"/>
      <c r="F138" s="70"/>
      <c r="G138" s="37"/>
      <c r="H138" s="70"/>
      <c r="I138" s="70"/>
      <c r="J138" s="37"/>
      <c r="K138" s="70"/>
      <c r="L138" s="70"/>
      <c r="M138" s="70"/>
      <c r="N138" s="70"/>
      <c r="O138" s="70"/>
    </row>
    <row r="139" spans="1:15" x14ac:dyDescent="0.25">
      <c r="A139" s="37"/>
      <c r="B139" s="78"/>
      <c r="C139" s="70"/>
      <c r="D139" s="37"/>
      <c r="E139" s="70"/>
      <c r="F139" s="70"/>
      <c r="G139" s="37"/>
      <c r="H139" s="70"/>
      <c r="I139" s="70"/>
      <c r="J139" s="37"/>
      <c r="K139" s="70"/>
      <c r="L139" s="70"/>
      <c r="M139" s="70"/>
      <c r="N139" s="70"/>
      <c r="O139" s="70"/>
    </row>
    <row r="140" spans="1:15" x14ac:dyDescent="0.25">
      <c r="A140" s="37"/>
      <c r="B140" s="78"/>
      <c r="C140" s="70"/>
      <c r="D140" s="37"/>
      <c r="E140" s="70"/>
      <c r="F140" s="70"/>
      <c r="G140" s="37"/>
      <c r="H140" s="70"/>
      <c r="I140" s="70"/>
      <c r="J140" s="37"/>
      <c r="K140" s="70"/>
      <c r="L140" s="70"/>
      <c r="M140" s="70"/>
      <c r="N140" s="70"/>
      <c r="O140" s="70"/>
    </row>
    <row r="141" spans="1:15" x14ac:dyDescent="0.25">
      <c r="A141" s="37"/>
      <c r="B141" s="78"/>
      <c r="C141" s="70"/>
      <c r="D141" s="37"/>
      <c r="E141" s="70"/>
      <c r="F141" s="70"/>
      <c r="G141" s="37"/>
      <c r="H141" s="70"/>
      <c r="I141" s="70"/>
      <c r="J141" s="37"/>
      <c r="K141" s="70"/>
      <c r="L141" s="70"/>
      <c r="M141" s="70"/>
      <c r="N141" s="70"/>
      <c r="O141" s="70"/>
    </row>
    <row r="142" spans="1:15" x14ac:dyDescent="0.25">
      <c r="A142" s="37"/>
      <c r="B142" s="78"/>
      <c r="C142" s="70"/>
      <c r="D142" s="37"/>
      <c r="E142" s="70"/>
      <c r="F142" s="70"/>
      <c r="G142" s="37"/>
      <c r="H142" s="70"/>
      <c r="I142" s="70"/>
      <c r="J142" s="37"/>
      <c r="K142" s="70"/>
      <c r="L142" s="70"/>
      <c r="M142" s="70"/>
      <c r="N142" s="70"/>
      <c r="O142" s="70"/>
    </row>
    <row r="143" spans="1:15" x14ac:dyDescent="0.25">
      <c r="A143" s="37"/>
      <c r="B143" s="78"/>
      <c r="C143" s="70"/>
      <c r="D143" s="37"/>
      <c r="E143" s="70"/>
      <c r="F143" s="70"/>
      <c r="G143" s="37"/>
      <c r="H143" s="70"/>
      <c r="I143" s="70"/>
      <c r="J143" s="37"/>
      <c r="K143" s="70"/>
      <c r="L143" s="70"/>
      <c r="M143" s="70"/>
      <c r="N143" s="70"/>
      <c r="O143" s="70"/>
    </row>
    <row r="144" spans="1:15" x14ac:dyDescent="0.25">
      <c r="A144" s="37"/>
      <c r="B144" s="78"/>
      <c r="C144" s="70"/>
      <c r="D144" s="37"/>
      <c r="E144" s="70"/>
      <c r="F144" s="70"/>
      <c r="G144" s="37"/>
      <c r="H144" s="70"/>
      <c r="I144" s="70"/>
      <c r="J144" s="37"/>
      <c r="K144" s="70"/>
      <c r="L144" s="70"/>
      <c r="M144" s="70"/>
      <c r="N144" s="70"/>
      <c r="O144" s="70"/>
    </row>
    <row r="145" spans="1:15" x14ac:dyDescent="0.25">
      <c r="A145" s="37"/>
      <c r="B145" s="78"/>
      <c r="C145" s="70"/>
      <c r="D145" s="37"/>
      <c r="E145" s="70"/>
      <c r="F145" s="70"/>
      <c r="G145" s="37"/>
      <c r="H145" s="70"/>
      <c r="I145" s="70"/>
      <c r="J145" s="37"/>
      <c r="K145" s="70"/>
      <c r="L145" s="70"/>
      <c r="M145" s="70"/>
      <c r="N145" s="70"/>
      <c r="O145" s="70"/>
    </row>
    <row r="146" spans="1:15" x14ac:dyDescent="0.25">
      <c r="A146" s="37"/>
      <c r="B146" s="78"/>
      <c r="C146" s="70"/>
      <c r="D146" s="37"/>
      <c r="E146" s="70"/>
      <c r="F146" s="70"/>
      <c r="G146" s="37"/>
      <c r="H146" s="70"/>
      <c r="I146" s="70"/>
      <c r="J146" s="37"/>
      <c r="K146" s="70"/>
      <c r="L146" s="70"/>
      <c r="M146" s="70"/>
      <c r="N146" s="70"/>
      <c r="O146" s="70"/>
    </row>
    <row r="147" spans="1:15" x14ac:dyDescent="0.25">
      <c r="A147" s="37"/>
      <c r="B147" s="78"/>
      <c r="C147" s="70"/>
      <c r="D147" s="37"/>
      <c r="E147" s="70"/>
      <c r="F147" s="70"/>
      <c r="G147" s="37"/>
      <c r="H147" s="70"/>
      <c r="I147" s="70"/>
      <c r="J147" s="37"/>
      <c r="K147" s="70"/>
      <c r="L147" s="70"/>
      <c r="M147" s="70"/>
      <c r="N147" s="70"/>
      <c r="O147" s="70"/>
    </row>
    <row r="148" spans="1:15" x14ac:dyDescent="0.25">
      <c r="A148" s="37"/>
      <c r="B148" s="78"/>
      <c r="C148" s="70"/>
      <c r="D148" s="37"/>
      <c r="E148" s="70"/>
      <c r="F148" s="70"/>
      <c r="G148" s="37"/>
      <c r="H148" s="70"/>
      <c r="I148" s="70"/>
      <c r="J148" s="37"/>
      <c r="K148" s="70"/>
      <c r="L148" s="70"/>
      <c r="M148" s="70"/>
      <c r="N148" s="70"/>
      <c r="O148" s="70"/>
    </row>
    <row r="149" spans="1:15" x14ac:dyDescent="0.25">
      <c r="A149" s="37"/>
      <c r="B149" s="78"/>
      <c r="C149" s="70"/>
      <c r="D149" s="37"/>
      <c r="E149" s="70"/>
      <c r="F149" s="70"/>
      <c r="G149" s="37"/>
      <c r="H149" s="70"/>
      <c r="I149" s="70"/>
      <c r="J149" s="37"/>
      <c r="K149" s="70"/>
      <c r="L149" s="70"/>
      <c r="M149" s="70"/>
      <c r="N149" s="70"/>
      <c r="O149" s="70"/>
    </row>
    <row r="150" spans="1:15" x14ac:dyDescent="0.25">
      <c r="A150" s="37"/>
      <c r="B150" s="78"/>
      <c r="C150" s="70"/>
      <c r="D150" s="37"/>
      <c r="E150" s="70"/>
      <c r="F150" s="70"/>
      <c r="G150" s="37"/>
      <c r="H150" s="70"/>
      <c r="I150" s="70"/>
      <c r="J150" s="37"/>
      <c r="K150" s="70"/>
      <c r="L150" s="70"/>
      <c r="M150" s="70"/>
      <c r="N150" s="70"/>
      <c r="O150" s="70"/>
    </row>
    <row r="151" spans="1:15" x14ac:dyDescent="0.25">
      <c r="A151" s="37"/>
      <c r="B151" s="78"/>
      <c r="C151" s="70"/>
      <c r="D151" s="37"/>
      <c r="E151" s="70"/>
      <c r="F151" s="70"/>
      <c r="G151" s="37"/>
      <c r="H151" s="70"/>
      <c r="I151" s="70"/>
      <c r="J151" s="37"/>
      <c r="K151" s="70"/>
      <c r="L151" s="70"/>
      <c r="M151" s="70"/>
      <c r="N151" s="70"/>
      <c r="O151" s="70"/>
    </row>
    <row r="152" spans="1:15" x14ac:dyDescent="0.25">
      <c r="A152" s="37"/>
      <c r="B152" s="78"/>
      <c r="C152" s="70"/>
      <c r="D152" s="37"/>
      <c r="E152" s="70"/>
      <c r="F152" s="70"/>
      <c r="G152" s="37"/>
      <c r="H152" s="70"/>
      <c r="I152" s="70"/>
      <c r="J152" s="37"/>
      <c r="K152" s="70"/>
      <c r="L152" s="70"/>
      <c r="M152" s="70"/>
      <c r="N152" s="70"/>
      <c r="O152" s="70"/>
    </row>
    <row r="153" spans="1:15" x14ac:dyDescent="0.25">
      <c r="A153" s="37"/>
      <c r="B153" s="78"/>
      <c r="C153" s="70"/>
      <c r="D153" s="37"/>
      <c r="E153" s="70"/>
      <c r="F153" s="70"/>
      <c r="G153" s="37"/>
      <c r="H153" s="70"/>
      <c r="I153" s="70"/>
      <c r="J153" s="37"/>
      <c r="K153" s="70"/>
      <c r="L153" s="70"/>
      <c r="M153" s="70"/>
      <c r="N153" s="70"/>
      <c r="O153" s="70"/>
    </row>
    <row r="154" spans="1:15" x14ac:dyDescent="0.25">
      <c r="A154" s="37"/>
      <c r="B154" s="78"/>
      <c r="C154" s="70"/>
      <c r="D154" s="37"/>
      <c r="E154" s="70"/>
      <c r="F154" s="70"/>
      <c r="G154" s="37"/>
      <c r="H154" s="70"/>
      <c r="I154" s="70"/>
      <c r="J154" s="37"/>
      <c r="K154" s="70"/>
      <c r="L154" s="70"/>
      <c r="M154" s="70"/>
      <c r="N154" s="70"/>
      <c r="O154" s="70"/>
    </row>
    <row r="155" spans="1:15" x14ac:dyDescent="0.25">
      <c r="A155" s="37"/>
      <c r="B155" s="78"/>
      <c r="C155" s="70"/>
      <c r="D155" s="37"/>
      <c r="E155" s="70"/>
      <c r="F155" s="70"/>
      <c r="G155" s="37"/>
      <c r="H155" s="70"/>
      <c r="I155" s="70"/>
      <c r="J155" s="37"/>
      <c r="K155" s="70"/>
      <c r="L155" s="70"/>
      <c r="M155" s="70"/>
      <c r="N155" s="70"/>
      <c r="O155" s="70"/>
    </row>
    <row r="156" spans="1:15" x14ac:dyDescent="0.25">
      <c r="A156" s="37"/>
      <c r="B156" s="78"/>
      <c r="C156" s="70"/>
      <c r="D156" s="37"/>
      <c r="E156" s="70"/>
      <c r="F156" s="70"/>
      <c r="G156" s="37"/>
      <c r="H156" s="70"/>
      <c r="I156" s="70"/>
      <c r="J156" s="37"/>
      <c r="K156" s="70"/>
      <c r="L156" s="70"/>
      <c r="M156" s="70"/>
      <c r="N156" s="70"/>
      <c r="O156" s="70"/>
    </row>
    <row r="157" spans="1:15" x14ac:dyDescent="0.25">
      <c r="A157" s="37"/>
      <c r="B157" s="78"/>
      <c r="C157" s="70"/>
      <c r="D157" s="37"/>
      <c r="E157" s="70"/>
      <c r="F157" s="70"/>
      <c r="G157" s="37"/>
      <c r="H157" s="70"/>
      <c r="I157" s="70"/>
      <c r="J157" s="37"/>
      <c r="K157" s="70"/>
      <c r="L157" s="70"/>
      <c r="M157" s="70"/>
      <c r="N157" s="70"/>
      <c r="O157" s="70"/>
    </row>
    <row r="158" spans="1:15" x14ac:dyDescent="0.25">
      <c r="A158" s="37"/>
      <c r="B158" s="78"/>
      <c r="C158" s="70"/>
      <c r="D158" s="37"/>
      <c r="E158" s="70"/>
      <c r="F158" s="70"/>
      <c r="G158" s="37"/>
      <c r="H158" s="70"/>
      <c r="I158" s="70"/>
      <c r="J158" s="37"/>
      <c r="K158" s="70"/>
      <c r="L158" s="70"/>
      <c r="M158" s="70"/>
      <c r="N158" s="70"/>
      <c r="O158" s="70"/>
    </row>
    <row r="159" spans="1:15" x14ac:dyDescent="0.25">
      <c r="A159" s="37"/>
      <c r="B159" s="78"/>
      <c r="C159" s="70"/>
      <c r="D159" s="37"/>
      <c r="E159" s="70"/>
      <c r="F159" s="70"/>
      <c r="G159" s="37"/>
      <c r="H159" s="70"/>
      <c r="I159" s="70"/>
      <c r="J159" s="37"/>
      <c r="K159" s="70"/>
      <c r="L159" s="70"/>
      <c r="M159" s="70"/>
      <c r="N159" s="70"/>
      <c r="O159" s="70"/>
    </row>
    <row r="160" spans="1:15" x14ac:dyDescent="0.25">
      <c r="A160" s="37"/>
      <c r="B160" s="78"/>
      <c r="C160" s="70"/>
      <c r="D160" s="37"/>
      <c r="E160" s="70"/>
      <c r="F160" s="70"/>
      <c r="G160" s="37"/>
      <c r="H160" s="70"/>
      <c r="I160" s="70"/>
      <c r="J160" s="37"/>
      <c r="K160" s="70"/>
      <c r="L160" s="70"/>
      <c r="M160" s="70"/>
      <c r="N160" s="70"/>
      <c r="O160" s="70"/>
    </row>
    <row r="161" spans="1:15" x14ac:dyDescent="0.25">
      <c r="A161" s="37"/>
      <c r="B161" s="78"/>
      <c r="C161" s="70"/>
      <c r="D161" s="37"/>
      <c r="E161" s="70"/>
      <c r="F161" s="70"/>
      <c r="G161" s="37"/>
      <c r="H161" s="70"/>
      <c r="I161" s="70"/>
      <c r="J161" s="37"/>
      <c r="K161" s="70"/>
      <c r="L161" s="70"/>
      <c r="M161" s="70"/>
      <c r="N161" s="70"/>
      <c r="O161" s="70"/>
    </row>
    <row r="162" spans="1:15" x14ac:dyDescent="0.25">
      <c r="A162" s="37"/>
      <c r="B162" s="78"/>
      <c r="C162" s="70"/>
      <c r="D162" s="37"/>
      <c r="E162" s="70"/>
      <c r="F162" s="70"/>
      <c r="G162" s="37"/>
      <c r="H162" s="70"/>
      <c r="I162" s="70"/>
      <c r="J162" s="37"/>
      <c r="K162" s="70"/>
      <c r="L162" s="70"/>
      <c r="M162" s="70"/>
      <c r="N162" s="70"/>
      <c r="O162" s="70"/>
    </row>
    <row r="163" spans="1:15" x14ac:dyDescent="0.25">
      <c r="A163" s="37"/>
      <c r="B163" s="78"/>
      <c r="C163" s="70"/>
      <c r="D163" s="37"/>
      <c r="E163" s="70"/>
      <c r="F163" s="70"/>
      <c r="G163" s="37"/>
      <c r="H163" s="70"/>
      <c r="I163" s="70"/>
      <c r="J163" s="37"/>
      <c r="K163" s="70"/>
      <c r="L163" s="70"/>
      <c r="M163" s="70"/>
      <c r="N163" s="70"/>
      <c r="O163" s="70"/>
    </row>
    <row r="164" spans="1:15" x14ac:dyDescent="0.25">
      <c r="A164" s="37"/>
      <c r="B164" s="78"/>
      <c r="C164" s="70"/>
      <c r="D164" s="37"/>
      <c r="E164" s="70"/>
      <c r="F164" s="70"/>
      <c r="G164" s="37"/>
      <c r="H164" s="70"/>
      <c r="I164" s="70"/>
      <c r="J164" s="37"/>
      <c r="K164" s="70"/>
      <c r="L164" s="70"/>
      <c r="M164" s="70"/>
      <c r="N164" s="70"/>
      <c r="O164" s="70"/>
    </row>
    <row r="165" spans="1:15" x14ac:dyDescent="0.25">
      <c r="A165" s="37"/>
      <c r="B165" s="78"/>
      <c r="C165" s="70"/>
      <c r="D165" s="37"/>
      <c r="E165" s="70"/>
      <c r="F165" s="70"/>
      <c r="G165" s="37"/>
      <c r="H165" s="70"/>
      <c r="I165" s="70"/>
      <c r="J165" s="37"/>
      <c r="K165" s="70"/>
      <c r="L165" s="70"/>
      <c r="M165" s="70"/>
      <c r="N165" s="70"/>
      <c r="O165" s="70"/>
    </row>
    <row r="166" spans="1:15" x14ac:dyDescent="0.25">
      <c r="A166" s="37"/>
      <c r="B166" s="78"/>
      <c r="C166" s="70"/>
      <c r="D166" s="37"/>
      <c r="E166" s="70"/>
      <c r="F166" s="70"/>
      <c r="G166" s="37"/>
      <c r="H166" s="70"/>
      <c r="I166" s="70"/>
      <c r="J166" s="37"/>
      <c r="K166" s="70"/>
      <c r="L166" s="70"/>
      <c r="M166" s="70"/>
      <c r="N166" s="70"/>
      <c r="O166" s="70"/>
    </row>
    <row r="167" spans="1:15" x14ac:dyDescent="0.25">
      <c r="A167" s="37"/>
      <c r="B167" s="78"/>
      <c r="C167" s="70"/>
      <c r="D167" s="37"/>
      <c r="E167" s="70"/>
      <c r="F167" s="70"/>
      <c r="G167" s="37"/>
      <c r="H167" s="70"/>
      <c r="I167" s="70"/>
      <c r="J167" s="37"/>
      <c r="K167" s="70"/>
      <c r="L167" s="70"/>
      <c r="M167" s="70"/>
      <c r="N167" s="70"/>
      <c r="O167" s="70"/>
    </row>
    <row r="168" spans="1:15" x14ac:dyDescent="0.25">
      <c r="A168" s="37"/>
      <c r="B168" s="78"/>
      <c r="C168" s="70"/>
      <c r="D168" s="37"/>
      <c r="E168" s="70"/>
      <c r="F168" s="70"/>
      <c r="G168" s="37"/>
      <c r="H168" s="70"/>
      <c r="I168" s="70"/>
      <c r="J168" s="37"/>
      <c r="K168" s="70"/>
      <c r="L168" s="70"/>
      <c r="M168" s="70"/>
      <c r="N168" s="70"/>
      <c r="O168" s="70"/>
    </row>
    <row r="169" spans="1:15" x14ac:dyDescent="0.25">
      <c r="A169" s="37"/>
      <c r="B169" s="78"/>
      <c r="C169" s="70"/>
      <c r="D169" s="37"/>
      <c r="E169" s="70"/>
      <c r="F169" s="70"/>
      <c r="G169" s="37"/>
      <c r="H169" s="70"/>
      <c r="I169" s="70"/>
      <c r="J169" s="37"/>
      <c r="K169" s="70"/>
      <c r="L169" s="70"/>
      <c r="M169" s="70"/>
      <c r="N169" s="70"/>
      <c r="O169" s="70"/>
    </row>
    <row r="170" spans="1:15" x14ac:dyDescent="0.25">
      <c r="A170" s="37"/>
      <c r="B170" s="78"/>
      <c r="C170" s="70"/>
      <c r="D170" s="37"/>
      <c r="E170" s="70"/>
      <c r="F170" s="70"/>
      <c r="G170" s="37"/>
      <c r="H170" s="70"/>
      <c r="I170" s="70"/>
      <c r="J170" s="37"/>
      <c r="K170" s="70"/>
      <c r="L170" s="70"/>
      <c r="M170" s="70"/>
      <c r="N170" s="70"/>
      <c r="O170" s="70"/>
    </row>
    <row r="171" spans="1:15" x14ac:dyDescent="0.25">
      <c r="A171" s="37"/>
      <c r="B171" s="78"/>
      <c r="C171" s="70"/>
      <c r="D171" s="37"/>
      <c r="E171" s="70"/>
      <c r="F171" s="70"/>
      <c r="G171" s="37"/>
      <c r="H171" s="70"/>
      <c r="I171" s="70"/>
      <c r="J171" s="37"/>
      <c r="K171" s="70"/>
      <c r="L171" s="70"/>
      <c r="M171" s="70"/>
      <c r="N171" s="70"/>
      <c r="O171" s="70"/>
    </row>
    <row r="172" spans="1:15" x14ac:dyDescent="0.25">
      <c r="A172" s="37"/>
      <c r="B172" s="78"/>
      <c r="C172" s="70"/>
      <c r="D172" s="37"/>
      <c r="E172" s="70"/>
      <c r="F172" s="70"/>
      <c r="G172" s="37"/>
      <c r="H172" s="70"/>
      <c r="I172" s="70"/>
      <c r="J172" s="37"/>
      <c r="K172" s="70"/>
      <c r="L172" s="70"/>
      <c r="M172" s="70"/>
      <c r="N172" s="70"/>
      <c r="O172" s="70"/>
    </row>
    <row r="173" spans="1:15" x14ac:dyDescent="0.25">
      <c r="A173" s="37"/>
      <c r="B173" s="78"/>
      <c r="C173" s="70"/>
      <c r="D173" s="37"/>
      <c r="E173" s="70"/>
      <c r="F173" s="70"/>
      <c r="G173" s="37"/>
      <c r="H173" s="70"/>
      <c r="I173" s="70"/>
      <c r="J173" s="37"/>
      <c r="K173" s="70"/>
      <c r="L173" s="70"/>
      <c r="M173" s="70"/>
      <c r="N173" s="70"/>
      <c r="O173" s="70"/>
    </row>
    <row r="174" spans="1:15" x14ac:dyDescent="0.25">
      <c r="A174" s="37"/>
      <c r="B174" s="78"/>
      <c r="C174" s="70"/>
      <c r="D174" s="37"/>
      <c r="E174" s="70"/>
      <c r="F174" s="70"/>
      <c r="G174" s="37"/>
      <c r="H174" s="70"/>
      <c r="I174" s="70"/>
      <c r="J174" s="37"/>
      <c r="K174" s="70"/>
      <c r="L174" s="70"/>
      <c r="M174" s="70"/>
      <c r="N174" s="70"/>
      <c r="O174" s="70"/>
    </row>
    <row r="175" spans="1:15" x14ac:dyDescent="0.25">
      <c r="A175" s="37"/>
      <c r="B175" s="78"/>
      <c r="C175" s="70"/>
      <c r="D175" s="37"/>
      <c r="E175" s="70"/>
      <c r="F175" s="70"/>
      <c r="G175" s="37"/>
      <c r="H175" s="70"/>
      <c r="I175" s="70"/>
      <c r="J175" s="37"/>
      <c r="K175" s="70"/>
      <c r="L175" s="70"/>
      <c r="M175" s="70"/>
      <c r="N175" s="70"/>
      <c r="O175" s="70"/>
    </row>
    <row r="176" spans="1:15" x14ac:dyDescent="0.25">
      <c r="A176" s="37"/>
      <c r="B176" s="78"/>
      <c r="C176" s="70"/>
      <c r="D176" s="37"/>
      <c r="E176" s="70"/>
      <c r="F176" s="70"/>
      <c r="G176" s="37"/>
      <c r="H176" s="70"/>
      <c r="I176" s="70"/>
      <c r="J176" s="37"/>
      <c r="K176" s="70"/>
      <c r="L176" s="70"/>
      <c r="M176" s="70"/>
      <c r="N176" s="70"/>
      <c r="O176" s="70"/>
    </row>
    <row r="177" spans="1:15" x14ac:dyDescent="0.25">
      <c r="A177" s="37"/>
      <c r="B177" s="78"/>
      <c r="C177" s="70"/>
      <c r="D177" s="37"/>
      <c r="E177" s="70"/>
      <c r="F177" s="70"/>
      <c r="G177" s="37"/>
      <c r="H177" s="70"/>
      <c r="I177" s="70"/>
      <c r="J177" s="37"/>
      <c r="K177" s="70"/>
      <c r="L177" s="70"/>
      <c r="M177" s="70"/>
      <c r="N177" s="70"/>
      <c r="O177" s="70"/>
    </row>
    <row r="178" spans="1:15" x14ac:dyDescent="0.25">
      <c r="A178" s="37"/>
      <c r="B178" s="78"/>
      <c r="C178" s="70"/>
      <c r="D178" s="37"/>
      <c r="E178" s="70"/>
      <c r="F178" s="70"/>
      <c r="G178" s="37"/>
      <c r="H178" s="70"/>
      <c r="I178" s="70"/>
      <c r="J178" s="37"/>
      <c r="K178" s="70"/>
      <c r="L178" s="70"/>
      <c r="M178" s="70"/>
      <c r="N178" s="70"/>
      <c r="O178" s="70"/>
    </row>
    <row r="179" spans="1:15" x14ac:dyDescent="0.25">
      <c r="A179" s="37"/>
      <c r="B179" s="78"/>
      <c r="C179" s="70"/>
      <c r="D179" s="37"/>
      <c r="E179" s="70"/>
      <c r="F179" s="70"/>
      <c r="G179" s="37"/>
      <c r="H179" s="70"/>
      <c r="I179" s="70"/>
      <c r="J179" s="37"/>
      <c r="K179" s="70"/>
      <c r="L179" s="70"/>
      <c r="M179" s="70"/>
      <c r="N179" s="70"/>
      <c r="O179" s="70"/>
    </row>
    <row r="180" spans="1:15" x14ac:dyDescent="0.25">
      <c r="A180" s="37"/>
      <c r="B180" s="78"/>
      <c r="C180" s="70"/>
      <c r="D180" s="37"/>
      <c r="E180" s="70"/>
      <c r="F180" s="70"/>
      <c r="G180" s="37"/>
      <c r="H180" s="70"/>
      <c r="I180" s="70"/>
      <c r="J180" s="37"/>
      <c r="K180" s="70"/>
      <c r="L180" s="70"/>
      <c r="M180" s="70"/>
      <c r="N180" s="70"/>
      <c r="O180" s="70"/>
    </row>
    <row r="181" spans="1:15" x14ac:dyDescent="0.25">
      <c r="A181" s="37"/>
      <c r="B181" s="78"/>
      <c r="C181" s="70"/>
      <c r="D181" s="37"/>
      <c r="E181" s="70"/>
      <c r="F181" s="70"/>
      <c r="G181" s="37"/>
      <c r="H181" s="70"/>
      <c r="I181" s="70"/>
      <c r="J181" s="37"/>
      <c r="K181" s="70"/>
      <c r="L181" s="70"/>
      <c r="M181" s="70"/>
      <c r="N181" s="70"/>
      <c r="O181" s="70"/>
    </row>
    <row r="182" spans="1:15" x14ac:dyDescent="0.25">
      <c r="A182" s="37"/>
      <c r="B182" s="78"/>
      <c r="C182" s="70"/>
      <c r="D182" s="37"/>
      <c r="E182" s="70"/>
      <c r="F182" s="70"/>
      <c r="G182" s="37"/>
      <c r="H182" s="70"/>
      <c r="I182" s="70"/>
      <c r="J182" s="37"/>
      <c r="K182" s="70"/>
      <c r="L182" s="70"/>
      <c r="M182" s="70"/>
      <c r="N182" s="70"/>
      <c r="O182" s="70"/>
    </row>
    <row r="183" spans="1:15" x14ac:dyDescent="0.25">
      <c r="A183" s="37"/>
      <c r="B183" s="78"/>
      <c r="C183" s="70"/>
      <c r="D183" s="37"/>
      <c r="E183" s="70"/>
      <c r="F183" s="70"/>
      <c r="G183" s="37"/>
      <c r="H183" s="70"/>
      <c r="I183" s="70"/>
      <c r="J183" s="37"/>
      <c r="K183" s="70"/>
      <c r="L183" s="70"/>
      <c r="M183" s="70"/>
      <c r="N183" s="70"/>
      <c r="O183" s="70"/>
    </row>
    <row r="184" spans="1:15" x14ac:dyDescent="0.25">
      <c r="A184" s="37"/>
      <c r="B184" s="78"/>
      <c r="C184" s="70"/>
      <c r="D184" s="37"/>
      <c r="E184" s="70"/>
      <c r="F184" s="70"/>
      <c r="G184" s="37"/>
      <c r="H184" s="70"/>
      <c r="I184" s="70"/>
      <c r="J184" s="37"/>
      <c r="K184" s="70"/>
      <c r="L184" s="70"/>
      <c r="M184" s="70"/>
      <c r="N184" s="70"/>
      <c r="O184" s="70"/>
    </row>
    <row r="185" spans="1:15" x14ac:dyDescent="0.25">
      <c r="A185" s="37"/>
      <c r="B185" s="78"/>
      <c r="C185" s="70"/>
      <c r="D185" s="37"/>
      <c r="E185" s="70"/>
      <c r="F185" s="70"/>
      <c r="G185" s="37"/>
      <c r="H185" s="70"/>
      <c r="I185" s="70"/>
      <c r="J185" s="37"/>
      <c r="K185" s="70"/>
      <c r="L185" s="70"/>
      <c r="M185" s="70"/>
      <c r="N185" s="70"/>
      <c r="O185" s="70"/>
    </row>
    <row r="186" spans="1:15" x14ac:dyDescent="0.25">
      <c r="A186" s="37"/>
      <c r="B186" s="78"/>
      <c r="C186" s="70"/>
      <c r="D186" s="37"/>
      <c r="E186" s="70"/>
      <c r="F186" s="70"/>
      <c r="G186" s="37"/>
      <c r="H186" s="70"/>
      <c r="I186" s="70"/>
      <c r="J186" s="37"/>
      <c r="K186" s="70"/>
      <c r="L186" s="70"/>
      <c r="M186" s="70"/>
      <c r="N186" s="70"/>
      <c r="O186" s="70"/>
    </row>
    <row r="187" spans="1:15" x14ac:dyDescent="0.25">
      <c r="A187" s="37"/>
      <c r="B187" s="78"/>
      <c r="C187" s="70"/>
      <c r="D187" s="37"/>
      <c r="E187" s="70"/>
      <c r="F187" s="70"/>
      <c r="G187" s="37"/>
      <c r="H187" s="70"/>
      <c r="I187" s="70"/>
      <c r="J187" s="37"/>
      <c r="K187" s="70"/>
      <c r="L187" s="70"/>
      <c r="M187" s="70"/>
      <c r="N187" s="70"/>
      <c r="O187" s="70"/>
    </row>
    <row r="188" spans="1:15" x14ac:dyDescent="0.25">
      <c r="A188" s="37"/>
      <c r="B188" s="78"/>
      <c r="C188" s="70"/>
      <c r="D188" s="37"/>
      <c r="E188" s="70"/>
      <c r="F188" s="70"/>
      <c r="G188" s="37"/>
      <c r="H188" s="70"/>
      <c r="I188" s="70"/>
      <c r="J188" s="37"/>
      <c r="K188" s="70"/>
      <c r="L188" s="70"/>
      <c r="M188" s="70"/>
      <c r="N188" s="70"/>
      <c r="O188" s="70"/>
    </row>
    <row r="189" spans="1:15" x14ac:dyDescent="0.25">
      <c r="A189" s="37"/>
      <c r="B189" s="78"/>
      <c r="C189" s="70"/>
      <c r="D189" s="37"/>
      <c r="E189" s="70"/>
      <c r="F189" s="70"/>
      <c r="G189" s="37"/>
      <c r="H189" s="70"/>
      <c r="I189" s="70"/>
      <c r="J189" s="37"/>
      <c r="K189" s="70"/>
      <c r="L189" s="70"/>
      <c r="M189" s="70"/>
      <c r="N189" s="70"/>
      <c r="O189" s="70"/>
    </row>
    <row r="190" spans="1:15" x14ac:dyDescent="0.25">
      <c r="A190" s="37"/>
      <c r="B190" s="78"/>
      <c r="C190" s="70"/>
      <c r="D190" s="37"/>
      <c r="E190" s="70"/>
      <c r="F190" s="70"/>
      <c r="G190" s="37"/>
      <c r="H190" s="70"/>
      <c r="I190" s="70"/>
      <c r="J190" s="37"/>
      <c r="K190" s="70"/>
      <c r="L190" s="70"/>
      <c r="M190" s="70"/>
      <c r="N190" s="70"/>
      <c r="O190" s="70"/>
    </row>
    <row r="191" spans="1:15" x14ac:dyDescent="0.25">
      <c r="A191" s="37"/>
      <c r="B191" s="78"/>
      <c r="C191" s="70"/>
      <c r="D191" s="37"/>
      <c r="E191" s="70"/>
      <c r="F191" s="70"/>
      <c r="G191" s="37"/>
      <c r="H191" s="70"/>
      <c r="I191" s="70"/>
      <c r="J191" s="37"/>
      <c r="K191" s="70"/>
      <c r="L191" s="70"/>
      <c r="M191" s="70"/>
      <c r="N191" s="70"/>
      <c r="O191" s="70"/>
    </row>
    <row r="192" spans="1:15" x14ac:dyDescent="0.25">
      <c r="A192" s="37"/>
      <c r="B192" s="78"/>
      <c r="C192" s="70"/>
      <c r="D192" s="37"/>
      <c r="E192" s="70"/>
      <c r="F192" s="70"/>
      <c r="G192" s="37"/>
      <c r="H192" s="70"/>
      <c r="I192" s="70"/>
      <c r="J192" s="37"/>
      <c r="K192" s="70"/>
      <c r="L192" s="70"/>
      <c r="M192" s="70"/>
      <c r="N192" s="70"/>
      <c r="O192" s="70"/>
    </row>
    <row r="193" spans="1:15" x14ac:dyDescent="0.25">
      <c r="A193" s="37"/>
      <c r="B193" s="78"/>
      <c r="C193" s="70"/>
      <c r="D193" s="37"/>
      <c r="E193" s="70"/>
      <c r="F193" s="70"/>
      <c r="G193" s="37"/>
      <c r="H193" s="70"/>
      <c r="I193" s="70"/>
      <c r="J193" s="37"/>
      <c r="K193" s="70"/>
      <c r="L193" s="70"/>
      <c r="M193" s="70"/>
      <c r="N193" s="70"/>
      <c r="O193" s="70"/>
    </row>
    <row r="194" spans="1:15" x14ac:dyDescent="0.25">
      <c r="A194" s="37"/>
      <c r="B194" s="78"/>
      <c r="C194" s="70"/>
      <c r="D194" s="37"/>
      <c r="E194" s="70"/>
      <c r="F194" s="70"/>
      <c r="G194" s="37"/>
      <c r="H194" s="70"/>
      <c r="I194" s="70"/>
      <c r="J194" s="37"/>
      <c r="K194" s="70"/>
      <c r="L194" s="70"/>
      <c r="M194" s="70"/>
      <c r="N194" s="70"/>
      <c r="O194" s="70"/>
    </row>
    <row r="195" spans="1:15" x14ac:dyDescent="0.25">
      <c r="A195" s="37"/>
      <c r="B195" s="78"/>
      <c r="C195" s="70"/>
      <c r="D195" s="37"/>
      <c r="E195" s="70"/>
      <c r="F195" s="70"/>
      <c r="G195" s="37"/>
      <c r="H195" s="70"/>
      <c r="I195" s="70"/>
      <c r="J195" s="37"/>
      <c r="K195" s="70"/>
      <c r="L195" s="70"/>
      <c r="M195" s="70"/>
      <c r="N195" s="70"/>
      <c r="O195" s="70"/>
    </row>
    <row r="196" spans="1:15" x14ac:dyDescent="0.25">
      <c r="A196" s="37"/>
      <c r="B196" s="78"/>
      <c r="C196" s="70"/>
      <c r="D196" s="37"/>
      <c r="E196" s="70"/>
      <c r="F196" s="70"/>
      <c r="G196" s="37"/>
      <c r="H196" s="70"/>
      <c r="I196" s="70"/>
      <c r="J196" s="37"/>
      <c r="K196" s="70"/>
      <c r="L196" s="70"/>
      <c r="M196" s="70"/>
      <c r="N196" s="70"/>
      <c r="O196" s="70"/>
    </row>
    <row r="197" spans="1:15" x14ac:dyDescent="0.25">
      <c r="A197" s="37"/>
      <c r="B197" s="78"/>
      <c r="C197" s="70"/>
      <c r="D197" s="37"/>
      <c r="E197" s="70"/>
      <c r="F197" s="70"/>
      <c r="G197" s="37"/>
      <c r="H197" s="70"/>
      <c r="I197" s="70"/>
      <c r="J197" s="37"/>
      <c r="K197" s="70"/>
      <c r="L197" s="70"/>
      <c r="M197" s="70"/>
      <c r="N197" s="70"/>
      <c r="O197" s="70"/>
    </row>
    <row r="198" spans="1:15" x14ac:dyDescent="0.25">
      <c r="A198" s="37"/>
      <c r="B198" s="78"/>
      <c r="C198" s="70"/>
      <c r="D198" s="37"/>
      <c r="E198" s="70"/>
      <c r="F198" s="70"/>
      <c r="G198" s="37"/>
      <c r="H198" s="70"/>
      <c r="I198" s="70"/>
      <c r="J198" s="37"/>
      <c r="K198" s="70"/>
      <c r="L198" s="70"/>
      <c r="M198" s="70"/>
      <c r="N198" s="70"/>
      <c r="O198" s="70"/>
    </row>
    <row r="199" spans="1:15" x14ac:dyDescent="0.25">
      <c r="A199" s="37"/>
      <c r="B199" s="78"/>
      <c r="C199" s="70"/>
      <c r="D199" s="37"/>
      <c r="E199" s="70"/>
      <c r="F199" s="70"/>
      <c r="G199" s="37"/>
      <c r="H199" s="70"/>
      <c r="I199" s="70"/>
      <c r="J199" s="37"/>
      <c r="K199" s="70"/>
      <c r="L199" s="70"/>
      <c r="M199" s="70"/>
      <c r="N199" s="70"/>
      <c r="O199" s="70"/>
    </row>
    <row r="200" spans="1:15" x14ac:dyDescent="0.25">
      <c r="A200" s="37"/>
      <c r="B200" s="78"/>
      <c r="C200" s="70"/>
      <c r="D200" s="37"/>
      <c r="E200" s="70"/>
      <c r="F200" s="70"/>
      <c r="G200" s="37"/>
      <c r="H200" s="70"/>
      <c r="I200" s="70"/>
      <c r="J200" s="37"/>
      <c r="K200" s="70"/>
      <c r="L200" s="70"/>
      <c r="M200" s="70"/>
      <c r="N200" s="70"/>
      <c r="O200" s="70"/>
    </row>
    <row r="201" spans="1:15" x14ac:dyDescent="0.25">
      <c r="A201" s="37"/>
      <c r="B201" s="78"/>
      <c r="C201" s="70"/>
      <c r="D201" s="37"/>
      <c r="E201" s="70"/>
      <c r="F201" s="70"/>
      <c r="G201" s="37"/>
      <c r="H201" s="70"/>
      <c r="I201" s="70"/>
      <c r="J201" s="37"/>
      <c r="K201" s="70"/>
      <c r="L201" s="70"/>
      <c r="M201" s="70"/>
      <c r="N201" s="70"/>
      <c r="O201" s="70"/>
    </row>
    <row r="202" spans="1:15" x14ac:dyDescent="0.25">
      <c r="A202" s="37"/>
      <c r="B202" s="78"/>
      <c r="C202" s="70"/>
      <c r="D202" s="37"/>
      <c r="E202" s="70"/>
      <c r="F202" s="70"/>
      <c r="G202" s="37"/>
      <c r="H202" s="70"/>
      <c r="I202" s="70"/>
      <c r="J202" s="37"/>
      <c r="K202" s="70"/>
      <c r="L202" s="70"/>
      <c r="M202" s="70"/>
      <c r="N202" s="70"/>
      <c r="O202" s="70"/>
    </row>
    <row r="203" spans="1:15" x14ac:dyDescent="0.25">
      <c r="A203" s="37"/>
      <c r="B203" s="78"/>
      <c r="C203" s="70"/>
      <c r="D203" s="37"/>
      <c r="E203" s="70"/>
      <c r="F203" s="70"/>
      <c r="G203" s="37"/>
      <c r="H203" s="70"/>
      <c r="I203" s="70"/>
      <c r="J203" s="37"/>
      <c r="K203" s="70"/>
      <c r="L203" s="70"/>
      <c r="M203" s="70"/>
      <c r="N203" s="70"/>
      <c r="O203" s="70"/>
    </row>
    <row r="204" spans="1:15" x14ac:dyDescent="0.25">
      <c r="A204" s="37"/>
      <c r="B204" s="78"/>
      <c r="C204" s="70"/>
      <c r="D204" s="37"/>
      <c r="E204" s="70"/>
      <c r="F204" s="70"/>
      <c r="G204" s="37"/>
      <c r="H204" s="70"/>
      <c r="I204" s="70"/>
      <c r="J204" s="37"/>
      <c r="K204" s="70"/>
      <c r="L204" s="70"/>
      <c r="M204" s="70"/>
      <c r="N204" s="70"/>
      <c r="O204" s="70"/>
    </row>
    <row r="205" spans="1:15" x14ac:dyDescent="0.25">
      <c r="A205" s="37"/>
      <c r="B205" s="78"/>
      <c r="C205" s="70"/>
      <c r="D205" s="37"/>
      <c r="E205" s="70"/>
      <c r="F205" s="70"/>
      <c r="G205" s="37"/>
      <c r="H205" s="70"/>
      <c r="I205" s="70"/>
      <c r="J205" s="37"/>
      <c r="K205" s="70"/>
      <c r="L205" s="70"/>
      <c r="M205" s="70"/>
      <c r="N205" s="70"/>
      <c r="O205" s="70"/>
    </row>
    <row r="206" spans="1:15" x14ac:dyDescent="0.25">
      <c r="A206" s="37"/>
      <c r="B206" s="78"/>
      <c r="C206" s="70"/>
      <c r="D206" s="37"/>
      <c r="E206" s="70"/>
      <c r="F206" s="70"/>
      <c r="G206" s="37"/>
      <c r="H206" s="70"/>
      <c r="I206" s="70"/>
      <c r="J206" s="37"/>
      <c r="K206" s="70"/>
      <c r="L206" s="70"/>
      <c r="M206" s="70"/>
      <c r="N206" s="70"/>
      <c r="O206" s="70"/>
    </row>
    <row r="207" spans="1:15" x14ac:dyDescent="0.25">
      <c r="A207" s="37"/>
      <c r="B207" s="78"/>
      <c r="C207" s="70"/>
      <c r="D207" s="37"/>
      <c r="E207" s="70"/>
      <c r="F207" s="70"/>
      <c r="G207" s="37"/>
      <c r="H207" s="70"/>
      <c r="I207" s="70"/>
      <c r="J207" s="37"/>
      <c r="K207" s="70"/>
      <c r="L207" s="70"/>
      <c r="M207" s="70"/>
      <c r="N207" s="70"/>
      <c r="O207" s="70"/>
    </row>
    <row r="208" spans="1:15" x14ac:dyDescent="0.25">
      <c r="A208" s="37"/>
      <c r="B208" s="78"/>
      <c r="C208" s="70"/>
      <c r="D208" s="37"/>
      <c r="E208" s="70"/>
      <c r="F208" s="70"/>
      <c r="G208" s="37"/>
      <c r="H208" s="70"/>
      <c r="I208" s="70"/>
      <c r="J208" s="37"/>
      <c r="K208" s="70"/>
      <c r="L208" s="70"/>
      <c r="M208" s="70"/>
      <c r="N208" s="70"/>
      <c r="O208" s="70"/>
    </row>
    <row r="209" spans="1:15" x14ac:dyDescent="0.25">
      <c r="A209" s="37"/>
      <c r="B209" s="78"/>
      <c r="C209" s="70"/>
      <c r="D209" s="37"/>
      <c r="E209" s="70"/>
      <c r="F209" s="70"/>
      <c r="G209" s="37"/>
      <c r="H209" s="70"/>
      <c r="I209" s="70"/>
      <c r="J209" s="37"/>
      <c r="K209" s="70"/>
      <c r="L209" s="70"/>
      <c r="M209" s="70"/>
      <c r="N209" s="70"/>
      <c r="O209" s="70"/>
    </row>
    <row r="210" spans="1:15" x14ac:dyDescent="0.25">
      <c r="A210" s="37"/>
      <c r="B210" s="78"/>
      <c r="C210" s="70"/>
      <c r="D210" s="37"/>
      <c r="E210" s="70"/>
      <c r="F210" s="70"/>
      <c r="G210" s="37"/>
      <c r="H210" s="70"/>
      <c r="I210" s="70"/>
      <c r="J210" s="37"/>
      <c r="K210" s="70"/>
      <c r="L210" s="70"/>
      <c r="M210" s="70"/>
      <c r="N210" s="70"/>
      <c r="O210" s="70"/>
    </row>
    <row r="211" spans="1:15" x14ac:dyDescent="0.25">
      <c r="A211" s="37"/>
      <c r="B211" s="78"/>
      <c r="C211" s="70"/>
      <c r="D211" s="37"/>
      <c r="E211" s="70"/>
      <c r="F211" s="70"/>
      <c r="G211" s="37"/>
      <c r="H211" s="70"/>
      <c r="I211" s="70"/>
      <c r="J211" s="37"/>
      <c r="K211" s="70"/>
      <c r="L211" s="70"/>
      <c r="M211" s="70"/>
      <c r="N211" s="70"/>
      <c r="O211" s="70"/>
    </row>
    <row r="212" spans="1:15" x14ac:dyDescent="0.25">
      <c r="A212" s="37"/>
      <c r="B212" s="78"/>
      <c r="C212" s="70"/>
      <c r="D212" s="37"/>
      <c r="E212" s="70"/>
      <c r="F212" s="70"/>
      <c r="G212" s="37"/>
      <c r="H212" s="70"/>
      <c r="I212" s="70"/>
      <c r="J212" s="37"/>
      <c r="K212" s="70"/>
      <c r="L212" s="70"/>
      <c r="M212" s="70"/>
      <c r="N212" s="70"/>
      <c r="O212" s="70"/>
    </row>
    <row r="213" spans="1:15" x14ac:dyDescent="0.25">
      <c r="A213" s="37"/>
      <c r="B213" s="78"/>
      <c r="C213" s="70"/>
      <c r="D213" s="37"/>
      <c r="E213" s="70"/>
      <c r="F213" s="70"/>
      <c r="G213" s="37"/>
      <c r="H213" s="70"/>
      <c r="I213" s="70"/>
      <c r="J213" s="37"/>
      <c r="K213" s="70"/>
      <c r="L213" s="70"/>
      <c r="M213" s="70"/>
      <c r="N213" s="70"/>
      <c r="O213" s="70"/>
    </row>
    <row r="214" spans="1:15" x14ac:dyDescent="0.25">
      <c r="A214" s="37"/>
      <c r="B214" s="78"/>
      <c r="C214" s="70"/>
      <c r="D214" s="37"/>
      <c r="E214" s="70"/>
      <c r="F214" s="70"/>
      <c r="G214" s="37"/>
      <c r="H214" s="70"/>
      <c r="I214" s="70"/>
      <c r="J214" s="37"/>
      <c r="K214" s="70"/>
      <c r="L214" s="70"/>
      <c r="M214" s="70"/>
      <c r="N214" s="70"/>
      <c r="O214" s="70"/>
    </row>
    <row r="215" spans="1:15" x14ac:dyDescent="0.25">
      <c r="A215" s="37"/>
      <c r="B215" s="78"/>
      <c r="C215" s="70"/>
      <c r="D215" s="37"/>
      <c r="E215" s="70"/>
      <c r="F215" s="70"/>
      <c r="G215" s="37"/>
      <c r="H215" s="70"/>
      <c r="I215" s="70"/>
      <c r="J215" s="37"/>
      <c r="K215" s="70"/>
      <c r="L215" s="70"/>
      <c r="M215" s="70"/>
      <c r="N215" s="70"/>
      <c r="O215" s="70"/>
    </row>
    <row r="216" spans="1:15" x14ac:dyDescent="0.25">
      <c r="A216" s="37"/>
      <c r="B216" s="78"/>
      <c r="C216" s="70"/>
      <c r="D216" s="37"/>
      <c r="E216" s="70"/>
      <c r="F216" s="70"/>
      <c r="G216" s="37"/>
      <c r="H216" s="70"/>
      <c r="I216" s="70"/>
      <c r="J216" s="37"/>
      <c r="K216" s="70"/>
      <c r="L216" s="70"/>
      <c r="M216" s="70"/>
      <c r="N216" s="70"/>
      <c r="O216" s="70"/>
    </row>
    <row r="217" spans="1:15" x14ac:dyDescent="0.25">
      <c r="A217" s="37"/>
      <c r="B217" s="78"/>
      <c r="C217" s="70"/>
      <c r="D217" s="37"/>
      <c r="E217" s="70"/>
      <c r="F217" s="70"/>
      <c r="G217" s="37"/>
      <c r="H217" s="70"/>
      <c r="I217" s="70"/>
      <c r="J217" s="37"/>
      <c r="K217" s="70"/>
      <c r="L217" s="70"/>
      <c r="M217" s="70"/>
      <c r="N217" s="70"/>
      <c r="O217" s="70"/>
    </row>
    <row r="218" spans="1:15" x14ac:dyDescent="0.25">
      <c r="A218" s="37"/>
      <c r="B218" s="78"/>
      <c r="C218" s="70"/>
      <c r="D218" s="37"/>
      <c r="E218" s="70"/>
      <c r="F218" s="70"/>
      <c r="G218" s="37"/>
      <c r="H218" s="70"/>
      <c r="I218" s="70"/>
      <c r="J218" s="37"/>
      <c r="K218" s="70"/>
      <c r="L218" s="70"/>
      <c r="M218" s="70"/>
      <c r="N218" s="70"/>
      <c r="O218" s="70"/>
    </row>
    <row r="219" spans="1:15" x14ac:dyDescent="0.25">
      <c r="A219" s="37"/>
      <c r="B219" s="78"/>
      <c r="C219" s="70"/>
      <c r="D219" s="37"/>
      <c r="E219" s="70"/>
      <c r="F219" s="70"/>
      <c r="G219" s="37"/>
      <c r="H219" s="70"/>
      <c r="I219" s="70"/>
      <c r="J219" s="37"/>
      <c r="K219" s="70"/>
      <c r="L219" s="70"/>
      <c r="M219" s="70"/>
      <c r="N219" s="70"/>
      <c r="O219" s="70"/>
    </row>
    <row r="220" spans="1:15" x14ac:dyDescent="0.25">
      <c r="A220" s="37"/>
      <c r="B220" s="78"/>
      <c r="C220" s="70"/>
      <c r="D220" s="37"/>
      <c r="E220" s="70"/>
      <c r="F220" s="70"/>
      <c r="G220" s="37"/>
      <c r="H220" s="70"/>
      <c r="I220" s="70"/>
      <c r="J220" s="37"/>
      <c r="K220" s="70"/>
      <c r="L220" s="70"/>
      <c r="M220" s="70"/>
      <c r="N220" s="70"/>
      <c r="O220" s="70"/>
    </row>
    <row r="221" spans="1:15" x14ac:dyDescent="0.25">
      <c r="A221" s="37"/>
      <c r="B221" s="78"/>
      <c r="C221" s="70"/>
      <c r="D221" s="37"/>
      <c r="E221" s="70"/>
      <c r="F221" s="70"/>
      <c r="G221" s="37"/>
      <c r="H221" s="70"/>
      <c r="I221" s="70"/>
      <c r="J221" s="37"/>
      <c r="K221" s="70"/>
      <c r="L221" s="70"/>
      <c r="M221" s="70"/>
      <c r="N221" s="70"/>
      <c r="O221" s="70"/>
    </row>
    <row r="222" spans="1:15" x14ac:dyDescent="0.25">
      <c r="A222" s="37"/>
      <c r="B222" s="78"/>
      <c r="C222" s="70"/>
      <c r="D222" s="37"/>
      <c r="E222" s="70"/>
      <c r="F222" s="70"/>
      <c r="G222" s="37"/>
      <c r="H222" s="70"/>
      <c r="I222" s="70"/>
      <c r="J222" s="37"/>
      <c r="K222" s="70"/>
      <c r="L222" s="70"/>
      <c r="M222" s="70"/>
      <c r="N222" s="70"/>
      <c r="O222" s="70"/>
    </row>
    <row r="223" spans="1:15" x14ac:dyDescent="0.25">
      <c r="A223" s="37"/>
      <c r="B223" s="78"/>
      <c r="C223" s="70"/>
      <c r="D223" s="37"/>
      <c r="E223" s="70"/>
      <c r="F223" s="70"/>
      <c r="G223" s="37"/>
      <c r="H223" s="70"/>
      <c r="I223" s="70"/>
      <c r="J223" s="37"/>
      <c r="K223" s="70"/>
      <c r="L223" s="70"/>
      <c r="M223" s="70"/>
      <c r="N223" s="70"/>
      <c r="O223" s="70"/>
    </row>
    <row r="224" spans="1:15" x14ac:dyDescent="0.25">
      <c r="A224" s="37"/>
      <c r="B224" s="78"/>
      <c r="C224" s="70"/>
      <c r="D224" s="37"/>
      <c r="E224" s="70"/>
      <c r="F224" s="70"/>
      <c r="G224" s="37"/>
      <c r="H224" s="70"/>
      <c r="I224" s="70"/>
      <c r="J224" s="37"/>
      <c r="K224" s="70"/>
      <c r="L224" s="70"/>
      <c r="M224" s="70"/>
      <c r="N224" s="70"/>
      <c r="O224" s="70"/>
    </row>
    <row r="225" spans="1:15" x14ac:dyDescent="0.25">
      <c r="A225" s="37"/>
      <c r="B225" s="78"/>
      <c r="C225" s="70"/>
      <c r="D225" s="37"/>
      <c r="E225" s="70"/>
      <c r="F225" s="70"/>
      <c r="G225" s="37"/>
      <c r="H225" s="70"/>
      <c r="I225" s="70"/>
      <c r="J225" s="37"/>
      <c r="K225" s="70"/>
      <c r="L225" s="70"/>
      <c r="M225" s="70"/>
      <c r="N225" s="70"/>
      <c r="O225" s="70"/>
    </row>
    <row r="226" spans="1:15" x14ac:dyDescent="0.25">
      <c r="A226" s="37"/>
      <c r="B226" s="78"/>
      <c r="C226" s="70"/>
      <c r="D226" s="37"/>
      <c r="E226" s="70"/>
      <c r="F226" s="70"/>
      <c r="G226" s="37"/>
      <c r="H226" s="70"/>
      <c r="I226" s="70"/>
      <c r="J226" s="37"/>
      <c r="K226" s="70"/>
      <c r="L226" s="70"/>
      <c r="M226" s="70"/>
      <c r="N226" s="70"/>
      <c r="O226" s="70"/>
    </row>
    <row r="227" spans="1:15" x14ac:dyDescent="0.25">
      <c r="A227" s="37"/>
      <c r="B227" s="78"/>
      <c r="C227" s="70"/>
      <c r="D227" s="37"/>
      <c r="E227" s="70"/>
      <c r="F227" s="70"/>
      <c r="G227" s="37"/>
      <c r="H227" s="70"/>
      <c r="I227" s="70"/>
      <c r="J227" s="37"/>
      <c r="K227" s="70"/>
      <c r="L227" s="70"/>
      <c r="M227" s="70"/>
      <c r="N227" s="70"/>
      <c r="O227" s="70"/>
    </row>
    <row r="228" spans="1:15" x14ac:dyDescent="0.25">
      <c r="A228" s="37"/>
      <c r="B228" s="78"/>
      <c r="C228" s="70"/>
      <c r="D228" s="37"/>
      <c r="E228" s="70"/>
      <c r="F228" s="70"/>
      <c r="G228" s="37"/>
      <c r="H228" s="70"/>
      <c r="I228" s="70"/>
      <c r="J228" s="37"/>
      <c r="K228" s="70"/>
      <c r="L228" s="70"/>
      <c r="M228" s="70"/>
      <c r="N228" s="70"/>
      <c r="O228" s="70"/>
    </row>
    <row r="229" spans="1:15" x14ac:dyDescent="0.25">
      <c r="A229" s="37"/>
      <c r="B229" s="78"/>
      <c r="C229" s="70"/>
      <c r="D229" s="37"/>
      <c r="E229" s="70"/>
      <c r="F229" s="70"/>
      <c r="G229" s="37"/>
      <c r="H229" s="70"/>
      <c r="I229" s="70"/>
      <c r="J229" s="37"/>
      <c r="K229" s="70"/>
      <c r="L229" s="70"/>
      <c r="M229" s="70"/>
      <c r="N229" s="70"/>
      <c r="O229" s="70"/>
    </row>
    <row r="230" spans="1:15" x14ac:dyDescent="0.25">
      <c r="A230" s="37"/>
      <c r="B230" s="78"/>
      <c r="C230" s="70"/>
      <c r="D230" s="37"/>
      <c r="E230" s="70"/>
      <c r="F230" s="70"/>
      <c r="G230" s="37"/>
      <c r="H230" s="70"/>
      <c r="I230" s="70"/>
      <c r="J230" s="37"/>
      <c r="K230" s="70"/>
      <c r="L230" s="70"/>
      <c r="M230" s="70"/>
      <c r="N230" s="70"/>
      <c r="O230" s="70"/>
    </row>
    <row r="231" spans="1:15" x14ac:dyDescent="0.25">
      <c r="A231" s="37"/>
      <c r="B231" s="78"/>
      <c r="C231" s="70"/>
      <c r="D231" s="37"/>
      <c r="E231" s="70"/>
      <c r="F231" s="70"/>
      <c r="G231" s="37"/>
      <c r="H231" s="70"/>
      <c r="I231" s="70"/>
      <c r="J231" s="37"/>
      <c r="K231" s="70"/>
      <c r="L231" s="70"/>
      <c r="M231" s="70"/>
      <c r="N231" s="70"/>
      <c r="O231" s="70"/>
    </row>
    <row r="232" spans="1:15" x14ac:dyDescent="0.25">
      <c r="A232" s="37"/>
      <c r="B232" s="78"/>
      <c r="C232" s="70"/>
      <c r="D232" s="37"/>
      <c r="E232" s="70"/>
      <c r="F232" s="70"/>
      <c r="G232" s="37"/>
      <c r="H232" s="70"/>
      <c r="I232" s="70"/>
      <c r="J232" s="37"/>
      <c r="K232" s="70"/>
      <c r="L232" s="70"/>
      <c r="M232" s="70"/>
      <c r="N232" s="70"/>
      <c r="O232" s="70"/>
    </row>
    <row r="233" spans="1:15" x14ac:dyDescent="0.25">
      <c r="A233" s="37"/>
      <c r="B233" s="78"/>
      <c r="C233" s="70"/>
      <c r="D233" s="37"/>
      <c r="E233" s="70"/>
      <c r="F233" s="70"/>
      <c r="G233" s="37"/>
      <c r="H233" s="70"/>
      <c r="I233" s="70"/>
      <c r="J233" s="37"/>
      <c r="K233" s="70"/>
      <c r="L233" s="70"/>
      <c r="M233" s="70"/>
      <c r="N233" s="70"/>
      <c r="O233" s="70"/>
    </row>
    <row r="234" spans="1:15" x14ac:dyDescent="0.25">
      <c r="A234" s="37"/>
      <c r="B234" s="78"/>
      <c r="C234" s="70"/>
      <c r="D234" s="37"/>
      <c r="E234" s="70"/>
      <c r="F234" s="70"/>
      <c r="G234" s="37"/>
      <c r="H234" s="70"/>
      <c r="I234" s="70"/>
      <c r="J234" s="37"/>
      <c r="K234" s="70"/>
      <c r="L234" s="70"/>
      <c r="M234" s="70"/>
      <c r="N234" s="70"/>
      <c r="O234" s="70"/>
    </row>
    <row r="235" spans="1:15" x14ac:dyDescent="0.25">
      <c r="A235" s="37"/>
      <c r="B235" s="78"/>
      <c r="C235" s="70"/>
      <c r="D235" s="37"/>
      <c r="E235" s="70"/>
      <c r="F235" s="70"/>
      <c r="G235" s="37"/>
      <c r="H235" s="70"/>
      <c r="I235" s="70"/>
      <c r="J235" s="37"/>
      <c r="K235" s="70"/>
      <c r="L235" s="70"/>
      <c r="M235" s="70"/>
      <c r="N235" s="70"/>
      <c r="O235" s="70"/>
    </row>
    <row r="236" spans="1:15" x14ac:dyDescent="0.25">
      <c r="A236" s="37"/>
      <c r="B236" s="78"/>
      <c r="C236" s="70"/>
      <c r="D236" s="37"/>
      <c r="E236" s="70"/>
      <c r="F236" s="70"/>
      <c r="G236" s="37"/>
      <c r="H236" s="70"/>
      <c r="I236" s="70"/>
      <c r="J236" s="37"/>
      <c r="K236" s="70"/>
      <c r="L236" s="70"/>
      <c r="M236" s="70"/>
      <c r="N236" s="70"/>
      <c r="O236" s="70"/>
    </row>
    <row r="237" spans="1:15" x14ac:dyDescent="0.25">
      <c r="A237" s="37"/>
      <c r="B237" s="78"/>
      <c r="C237" s="70"/>
      <c r="D237" s="37"/>
      <c r="E237" s="70"/>
      <c r="F237" s="70"/>
      <c r="G237" s="37"/>
      <c r="H237" s="70"/>
      <c r="I237" s="70"/>
      <c r="J237" s="37"/>
      <c r="K237" s="70"/>
      <c r="L237" s="70"/>
      <c r="M237" s="70"/>
      <c r="N237" s="70"/>
      <c r="O237" s="70"/>
    </row>
    <row r="238" spans="1:15" x14ac:dyDescent="0.25">
      <c r="A238" s="37"/>
      <c r="B238" s="78"/>
      <c r="C238" s="70"/>
      <c r="D238" s="37"/>
      <c r="E238" s="70"/>
      <c r="F238" s="70"/>
      <c r="G238" s="37"/>
      <c r="H238" s="70"/>
      <c r="I238" s="70"/>
      <c r="J238" s="37"/>
      <c r="K238" s="70"/>
      <c r="L238" s="70"/>
      <c r="M238" s="70"/>
      <c r="N238" s="70"/>
      <c r="O238" s="70"/>
    </row>
    <row r="239" spans="1:15" x14ac:dyDescent="0.25">
      <c r="A239" s="37"/>
      <c r="B239" s="78"/>
      <c r="C239" s="70"/>
      <c r="D239" s="37"/>
      <c r="E239" s="70"/>
      <c r="F239" s="70"/>
      <c r="G239" s="37"/>
      <c r="H239" s="70"/>
      <c r="I239" s="70"/>
      <c r="J239" s="37"/>
      <c r="K239" s="70"/>
      <c r="L239" s="70"/>
      <c r="M239" s="70"/>
      <c r="N239" s="70"/>
      <c r="O239" s="70"/>
    </row>
    <row r="240" spans="1:15" x14ac:dyDescent="0.25">
      <c r="A240" s="37"/>
      <c r="B240" s="78"/>
      <c r="C240" s="70"/>
      <c r="D240" s="37"/>
      <c r="E240" s="70"/>
      <c r="F240" s="70"/>
      <c r="G240" s="37"/>
      <c r="H240" s="70"/>
      <c r="I240" s="70"/>
      <c r="J240" s="37"/>
      <c r="K240" s="70"/>
      <c r="L240" s="70"/>
      <c r="M240" s="70"/>
      <c r="N240" s="70"/>
      <c r="O240" s="70"/>
    </row>
    <row r="241" spans="1:15" x14ac:dyDescent="0.25">
      <c r="A241" s="37"/>
      <c r="B241" s="78"/>
      <c r="C241" s="70"/>
      <c r="D241" s="37"/>
      <c r="E241" s="70"/>
      <c r="F241" s="70"/>
      <c r="G241" s="37"/>
      <c r="H241" s="70"/>
      <c r="I241" s="70"/>
      <c r="J241" s="37"/>
      <c r="K241" s="70"/>
      <c r="L241" s="70"/>
      <c r="M241" s="70"/>
      <c r="N241" s="70"/>
      <c r="O241" s="70"/>
    </row>
    <row r="242" spans="1:15" x14ac:dyDescent="0.25">
      <c r="A242" s="37"/>
      <c r="B242" s="78"/>
      <c r="C242" s="70"/>
      <c r="D242" s="37"/>
      <c r="E242" s="70"/>
      <c r="F242" s="70"/>
      <c r="G242" s="37"/>
      <c r="H242" s="70"/>
      <c r="I242" s="70"/>
      <c r="J242" s="37"/>
      <c r="K242" s="70"/>
      <c r="L242" s="70"/>
      <c r="M242" s="70"/>
      <c r="N242" s="70"/>
      <c r="O242" s="70"/>
    </row>
    <row r="243" spans="1:15" x14ac:dyDescent="0.25">
      <c r="A243" s="37"/>
      <c r="B243" s="78"/>
      <c r="C243" s="70"/>
      <c r="D243" s="37"/>
      <c r="E243" s="70"/>
      <c r="F243" s="70"/>
      <c r="G243" s="37"/>
      <c r="H243" s="70"/>
      <c r="I243" s="70"/>
      <c r="J243" s="37"/>
      <c r="K243" s="70"/>
      <c r="L243" s="70"/>
      <c r="M243" s="70"/>
      <c r="N243" s="70"/>
      <c r="O243" s="70"/>
    </row>
    <row r="244" spans="1:15" x14ac:dyDescent="0.25">
      <c r="A244" s="37"/>
      <c r="B244" s="78"/>
      <c r="C244" s="70"/>
      <c r="D244" s="37"/>
      <c r="E244" s="70"/>
      <c r="F244" s="70"/>
      <c r="G244" s="37"/>
      <c r="H244" s="70"/>
      <c r="I244" s="70"/>
      <c r="J244" s="37"/>
      <c r="K244" s="70"/>
      <c r="L244" s="70"/>
      <c r="M244" s="70"/>
      <c r="N244" s="70"/>
      <c r="O244" s="70"/>
    </row>
    <row r="245" spans="1:15" x14ac:dyDescent="0.25">
      <c r="A245" s="37"/>
      <c r="B245" s="78"/>
      <c r="C245" s="70"/>
      <c r="D245" s="37"/>
      <c r="E245" s="70"/>
      <c r="F245" s="70"/>
      <c r="G245" s="37"/>
      <c r="H245" s="70"/>
      <c r="I245" s="70"/>
      <c r="J245" s="37"/>
      <c r="K245" s="70"/>
      <c r="L245" s="70"/>
      <c r="M245" s="70"/>
      <c r="N245" s="70"/>
      <c r="O245" s="70"/>
    </row>
    <row r="246" spans="1:15" x14ac:dyDescent="0.25">
      <c r="A246" s="37"/>
      <c r="B246" s="78"/>
      <c r="C246" s="70"/>
      <c r="D246" s="37"/>
      <c r="E246" s="70"/>
      <c r="F246" s="70"/>
      <c r="G246" s="37"/>
      <c r="H246" s="70"/>
      <c r="I246" s="70"/>
      <c r="J246" s="37"/>
      <c r="K246" s="70"/>
      <c r="L246" s="70"/>
      <c r="M246" s="70"/>
      <c r="N246" s="70"/>
      <c r="O246" s="70"/>
    </row>
    <row r="247" spans="1:15" x14ac:dyDescent="0.25">
      <c r="A247" s="37"/>
      <c r="B247" s="78"/>
      <c r="C247" s="70"/>
      <c r="D247" s="37"/>
      <c r="E247" s="70"/>
      <c r="F247" s="70"/>
      <c r="G247" s="37"/>
      <c r="H247" s="70"/>
      <c r="I247" s="70"/>
      <c r="J247" s="37"/>
      <c r="K247" s="70"/>
      <c r="L247" s="70"/>
      <c r="M247" s="70"/>
      <c r="N247" s="70"/>
      <c r="O247" s="70"/>
    </row>
    <row r="248" spans="1:15" x14ac:dyDescent="0.25">
      <c r="A248" s="37"/>
      <c r="B248" s="78"/>
      <c r="C248" s="70"/>
      <c r="D248" s="37"/>
      <c r="E248" s="70"/>
      <c r="F248" s="70"/>
      <c r="G248" s="37"/>
      <c r="H248" s="70"/>
      <c r="I248" s="70"/>
      <c r="J248" s="37"/>
      <c r="K248" s="70"/>
      <c r="L248" s="70"/>
      <c r="M248" s="70"/>
      <c r="N248" s="70"/>
      <c r="O248" s="70"/>
    </row>
    <row r="249" spans="1:15" x14ac:dyDescent="0.25">
      <c r="A249" s="37"/>
      <c r="B249" s="78"/>
      <c r="C249" s="70"/>
      <c r="D249" s="37"/>
      <c r="E249" s="70"/>
      <c r="F249" s="70"/>
      <c r="G249" s="37"/>
      <c r="H249" s="70"/>
      <c r="I249" s="70"/>
      <c r="J249" s="37"/>
      <c r="K249" s="70"/>
      <c r="L249" s="70"/>
      <c r="M249" s="70"/>
      <c r="N249" s="70"/>
      <c r="O249" s="70"/>
    </row>
    <row r="250" spans="1:15" x14ac:dyDescent="0.25">
      <c r="A250" s="37"/>
      <c r="B250" s="78"/>
      <c r="C250" s="70"/>
      <c r="D250" s="37"/>
      <c r="E250" s="70"/>
      <c r="F250" s="70"/>
      <c r="G250" s="37"/>
      <c r="H250" s="70"/>
      <c r="I250" s="70"/>
      <c r="J250" s="37"/>
      <c r="K250" s="70"/>
      <c r="L250" s="70"/>
      <c r="M250" s="70"/>
      <c r="N250" s="70"/>
      <c r="O250" s="70"/>
    </row>
    <row r="251" spans="1:15" x14ac:dyDescent="0.25">
      <c r="A251" s="37"/>
      <c r="B251" s="78"/>
      <c r="C251" s="70"/>
      <c r="D251" s="37"/>
      <c r="E251" s="70"/>
      <c r="F251" s="70"/>
      <c r="G251" s="37"/>
      <c r="H251" s="70"/>
      <c r="I251" s="70"/>
      <c r="J251" s="37"/>
      <c r="K251" s="70"/>
      <c r="L251" s="70"/>
      <c r="M251" s="70"/>
      <c r="N251" s="70"/>
      <c r="O251" s="70"/>
    </row>
    <row r="252" spans="1:15" x14ac:dyDescent="0.25">
      <c r="A252" s="37"/>
      <c r="B252" s="78"/>
      <c r="C252" s="70"/>
      <c r="D252" s="37"/>
      <c r="E252" s="70"/>
      <c r="F252" s="70"/>
      <c r="G252" s="37"/>
      <c r="H252" s="70"/>
      <c r="I252" s="70"/>
      <c r="J252" s="37"/>
      <c r="K252" s="70"/>
      <c r="L252" s="70"/>
      <c r="M252" s="70"/>
      <c r="N252" s="70"/>
      <c r="O252" s="70"/>
    </row>
    <row r="253" spans="1:15" x14ac:dyDescent="0.25">
      <c r="A253" s="37"/>
      <c r="B253" s="78"/>
      <c r="C253" s="70"/>
      <c r="D253" s="37"/>
      <c r="E253" s="70"/>
      <c r="F253" s="70"/>
      <c r="G253" s="37"/>
      <c r="H253" s="70"/>
      <c r="I253" s="70"/>
      <c r="J253" s="37"/>
      <c r="K253" s="70"/>
      <c r="L253" s="70"/>
      <c r="M253" s="70"/>
      <c r="N253" s="70"/>
      <c r="O253" s="70"/>
    </row>
    <row r="254" spans="1:15" x14ac:dyDescent="0.25">
      <c r="A254" s="37"/>
      <c r="B254" s="78"/>
      <c r="C254" s="70"/>
      <c r="D254" s="37"/>
      <c r="E254" s="70"/>
      <c r="F254" s="70"/>
      <c r="G254" s="37"/>
      <c r="H254" s="70"/>
      <c r="I254" s="70"/>
      <c r="J254" s="37"/>
      <c r="K254" s="70"/>
      <c r="L254" s="70"/>
      <c r="M254" s="70"/>
      <c r="N254" s="70"/>
      <c r="O254" s="70"/>
    </row>
    <row r="255" spans="1:15" x14ac:dyDescent="0.25">
      <c r="A255" s="37"/>
      <c r="B255" s="78"/>
      <c r="C255" s="70"/>
      <c r="D255" s="37"/>
      <c r="E255" s="70"/>
      <c r="F255" s="70"/>
      <c r="G255" s="37"/>
      <c r="H255" s="70"/>
      <c r="I255" s="70"/>
      <c r="J255" s="37"/>
      <c r="K255" s="70"/>
      <c r="L255" s="70"/>
      <c r="M255" s="70"/>
      <c r="N255" s="70"/>
      <c r="O255" s="70"/>
    </row>
    <row r="256" spans="1:15" x14ac:dyDescent="0.25">
      <c r="A256" s="37"/>
      <c r="B256" s="78"/>
      <c r="C256" s="70"/>
      <c r="D256" s="37"/>
      <c r="E256" s="70"/>
      <c r="F256" s="70"/>
      <c r="G256" s="37"/>
      <c r="H256" s="70"/>
      <c r="I256" s="70"/>
      <c r="J256" s="37"/>
      <c r="K256" s="70"/>
      <c r="L256" s="70"/>
      <c r="M256" s="70"/>
      <c r="N256" s="70"/>
      <c r="O256" s="70"/>
    </row>
    <row r="257" spans="1:15" x14ac:dyDescent="0.25">
      <c r="A257" s="37"/>
      <c r="B257" s="78"/>
      <c r="C257" s="70"/>
      <c r="D257" s="37"/>
      <c r="E257" s="70"/>
      <c r="F257" s="70"/>
      <c r="G257" s="37"/>
      <c r="H257" s="70"/>
      <c r="I257" s="70"/>
      <c r="J257" s="37"/>
      <c r="K257" s="70"/>
      <c r="L257" s="70"/>
      <c r="M257" s="70"/>
      <c r="N257" s="70"/>
      <c r="O257" s="70"/>
    </row>
    <row r="258" spans="1:15" x14ac:dyDescent="0.25">
      <c r="A258" s="37"/>
      <c r="B258" s="78"/>
      <c r="C258" s="70"/>
      <c r="D258" s="37"/>
      <c r="E258" s="70"/>
      <c r="F258" s="70"/>
      <c r="G258" s="37"/>
      <c r="H258" s="70"/>
      <c r="I258" s="70"/>
      <c r="J258" s="37"/>
      <c r="K258" s="70"/>
      <c r="L258" s="70"/>
      <c r="M258" s="70"/>
      <c r="N258" s="70"/>
      <c r="O258" s="70"/>
    </row>
    <row r="259" spans="1:15" x14ac:dyDescent="0.25">
      <c r="A259" s="37"/>
      <c r="B259" s="78"/>
      <c r="C259" s="70"/>
      <c r="D259" s="37"/>
      <c r="E259" s="70"/>
      <c r="F259" s="70"/>
      <c r="G259" s="37"/>
      <c r="H259" s="70"/>
      <c r="I259" s="70"/>
      <c r="J259" s="37"/>
      <c r="K259" s="70"/>
      <c r="L259" s="70"/>
      <c r="M259" s="70"/>
      <c r="N259" s="70"/>
      <c r="O259" s="70"/>
    </row>
    <row r="260" spans="1:15" x14ac:dyDescent="0.25">
      <c r="A260" s="37"/>
      <c r="B260" s="78"/>
      <c r="C260" s="70"/>
      <c r="D260" s="37"/>
      <c r="E260" s="70"/>
      <c r="F260" s="70"/>
      <c r="G260" s="37"/>
      <c r="H260" s="70"/>
      <c r="I260" s="70"/>
      <c r="J260" s="37"/>
      <c r="K260" s="70"/>
      <c r="L260" s="70"/>
      <c r="M260" s="70"/>
      <c r="N260" s="70"/>
      <c r="O260" s="70"/>
    </row>
    <row r="261" spans="1:15" x14ac:dyDescent="0.25">
      <c r="A261" s="37"/>
      <c r="B261" s="78"/>
      <c r="C261" s="70"/>
      <c r="D261" s="37"/>
      <c r="E261" s="70"/>
      <c r="F261" s="70"/>
      <c r="G261" s="37"/>
      <c r="H261" s="70"/>
      <c r="I261" s="70"/>
      <c r="J261" s="37"/>
      <c r="K261" s="70"/>
      <c r="L261" s="70"/>
      <c r="M261" s="70"/>
      <c r="N261" s="70"/>
      <c r="O261" s="70"/>
    </row>
    <row r="262" spans="1:15" x14ac:dyDescent="0.25">
      <c r="A262" s="37"/>
      <c r="B262" s="78"/>
      <c r="C262" s="70"/>
      <c r="D262" s="37"/>
      <c r="E262" s="70"/>
      <c r="F262" s="70"/>
      <c r="G262" s="37"/>
      <c r="H262" s="70"/>
      <c r="I262" s="70"/>
      <c r="J262" s="37"/>
      <c r="K262" s="70"/>
      <c r="L262" s="70"/>
      <c r="M262" s="70"/>
      <c r="N262" s="70"/>
      <c r="O262" s="70"/>
    </row>
    <row r="263" spans="1:15" x14ac:dyDescent="0.25">
      <c r="A263" s="37"/>
      <c r="B263" s="78"/>
      <c r="C263" s="70"/>
      <c r="D263" s="37"/>
      <c r="E263" s="70"/>
      <c r="F263" s="70"/>
      <c r="G263" s="37"/>
      <c r="H263" s="70"/>
      <c r="I263" s="70"/>
      <c r="J263" s="37"/>
      <c r="K263" s="70"/>
      <c r="L263" s="70"/>
      <c r="M263" s="70"/>
      <c r="N263" s="70"/>
      <c r="O263" s="70"/>
    </row>
    <row r="264" spans="1:15" x14ac:dyDescent="0.25">
      <c r="A264" s="37"/>
      <c r="B264" s="78"/>
      <c r="C264" s="70"/>
      <c r="D264" s="37"/>
      <c r="E264" s="70"/>
      <c r="F264" s="70"/>
      <c r="G264" s="37"/>
      <c r="H264" s="70"/>
      <c r="I264" s="70"/>
      <c r="J264" s="37"/>
      <c r="K264" s="70"/>
      <c r="L264" s="70"/>
      <c r="M264" s="70"/>
      <c r="N264" s="70"/>
      <c r="O264" s="70"/>
    </row>
    <row r="265" spans="1:15" x14ac:dyDescent="0.25">
      <c r="A265" s="37"/>
      <c r="B265" s="78"/>
      <c r="C265" s="70"/>
      <c r="D265" s="37"/>
      <c r="E265" s="70"/>
      <c r="F265" s="70"/>
      <c r="G265" s="37"/>
      <c r="H265" s="70"/>
      <c r="I265" s="70"/>
      <c r="J265" s="37"/>
      <c r="K265" s="70"/>
      <c r="L265" s="70"/>
      <c r="M265" s="70"/>
      <c r="N265" s="70"/>
      <c r="O265" s="70"/>
    </row>
    <row r="266" spans="1:15" x14ac:dyDescent="0.25">
      <c r="A266" s="37"/>
      <c r="B266" s="78"/>
      <c r="C266" s="70"/>
      <c r="D266" s="37"/>
      <c r="E266" s="70"/>
      <c r="F266" s="70"/>
      <c r="G266" s="37"/>
      <c r="H266" s="70"/>
      <c r="I266" s="70"/>
      <c r="J266" s="37"/>
      <c r="K266" s="70"/>
      <c r="L266" s="70"/>
      <c r="M266" s="70"/>
      <c r="N266" s="70"/>
      <c r="O266" s="70"/>
    </row>
    <row r="267" spans="1:15" x14ac:dyDescent="0.25">
      <c r="A267" s="37"/>
      <c r="B267" s="78"/>
      <c r="C267" s="70"/>
      <c r="D267" s="37"/>
      <c r="E267" s="70"/>
      <c r="F267" s="70"/>
      <c r="G267" s="37"/>
      <c r="H267" s="70"/>
      <c r="I267" s="70"/>
      <c r="J267" s="37"/>
      <c r="K267" s="70"/>
      <c r="L267" s="70"/>
      <c r="M267" s="70"/>
      <c r="N267" s="70"/>
      <c r="O267" s="70"/>
    </row>
    <row r="268" spans="1:15" x14ac:dyDescent="0.25">
      <c r="A268" s="37"/>
      <c r="B268" s="78"/>
      <c r="C268" s="70"/>
      <c r="D268" s="37"/>
      <c r="E268" s="70"/>
      <c r="F268" s="70"/>
      <c r="G268" s="37"/>
      <c r="H268" s="70"/>
      <c r="I268" s="70"/>
      <c r="J268" s="37"/>
      <c r="K268" s="70"/>
      <c r="L268" s="70"/>
      <c r="M268" s="70"/>
      <c r="N268" s="70"/>
      <c r="O268" s="70"/>
    </row>
    <row r="269" spans="1:15" x14ac:dyDescent="0.25">
      <c r="A269" s="37"/>
      <c r="B269" s="78"/>
      <c r="C269" s="70"/>
      <c r="D269" s="37"/>
      <c r="E269" s="70"/>
      <c r="F269" s="70"/>
      <c r="G269" s="37"/>
      <c r="H269" s="70"/>
      <c r="I269" s="70"/>
      <c r="J269" s="37"/>
      <c r="K269" s="70"/>
      <c r="L269" s="70"/>
      <c r="M269" s="70"/>
      <c r="N269" s="70"/>
      <c r="O269" s="70"/>
    </row>
    <row r="270" spans="1:15" x14ac:dyDescent="0.25">
      <c r="A270" s="37"/>
      <c r="B270" s="78"/>
      <c r="C270" s="70"/>
      <c r="D270" s="37"/>
      <c r="E270" s="70"/>
      <c r="F270" s="70"/>
      <c r="G270" s="37"/>
      <c r="H270" s="70"/>
      <c r="I270" s="70"/>
      <c r="J270" s="37"/>
      <c r="K270" s="70"/>
      <c r="L270" s="70"/>
      <c r="M270" s="70"/>
      <c r="N270" s="70"/>
      <c r="O270" s="70"/>
    </row>
    <row r="271" spans="1:15" x14ac:dyDescent="0.25">
      <c r="A271" s="37"/>
      <c r="B271" s="78"/>
      <c r="C271" s="70"/>
      <c r="D271" s="37"/>
      <c r="E271" s="70"/>
      <c r="F271" s="70"/>
      <c r="G271" s="37"/>
      <c r="H271" s="70"/>
      <c r="I271" s="70"/>
      <c r="J271" s="37"/>
      <c r="K271" s="70"/>
      <c r="L271" s="70"/>
      <c r="M271" s="70"/>
      <c r="N271" s="70"/>
      <c r="O271" s="70"/>
    </row>
    <row r="272" spans="1:15" x14ac:dyDescent="0.25">
      <c r="A272" s="37"/>
      <c r="B272" s="78"/>
      <c r="C272" s="70"/>
      <c r="D272" s="37"/>
      <c r="E272" s="70"/>
      <c r="F272" s="70"/>
      <c r="G272" s="37"/>
      <c r="H272" s="70"/>
      <c r="I272" s="70"/>
      <c r="J272" s="37"/>
      <c r="K272" s="70"/>
      <c r="L272" s="70"/>
      <c r="M272" s="70"/>
      <c r="N272" s="70"/>
      <c r="O272" s="70"/>
    </row>
    <row r="273" spans="1:15" x14ac:dyDescent="0.25">
      <c r="A273" s="37"/>
      <c r="B273" s="78"/>
      <c r="C273" s="70"/>
      <c r="D273" s="37"/>
      <c r="E273" s="70"/>
      <c r="F273" s="70"/>
      <c r="G273" s="37"/>
      <c r="H273" s="70"/>
      <c r="I273" s="70"/>
      <c r="J273" s="37"/>
      <c r="K273" s="70"/>
      <c r="L273" s="70"/>
      <c r="M273" s="70"/>
      <c r="N273" s="70"/>
      <c r="O273" s="70"/>
    </row>
    <row r="274" spans="1:15" x14ac:dyDescent="0.25">
      <c r="A274" s="37"/>
      <c r="B274" s="78"/>
      <c r="C274" s="70"/>
      <c r="D274" s="37"/>
      <c r="E274" s="70"/>
      <c r="F274" s="70"/>
      <c r="G274" s="37"/>
      <c r="H274" s="70"/>
      <c r="I274" s="70"/>
      <c r="J274" s="37"/>
      <c r="K274" s="70"/>
      <c r="L274" s="70"/>
      <c r="M274" s="70"/>
      <c r="N274" s="70"/>
      <c r="O274" s="70"/>
    </row>
    <row r="275" spans="1:15" x14ac:dyDescent="0.25">
      <c r="A275" s="37"/>
      <c r="B275" s="78"/>
      <c r="C275" s="70"/>
      <c r="D275" s="37"/>
      <c r="E275" s="70"/>
      <c r="F275" s="70"/>
      <c r="G275" s="37"/>
      <c r="H275" s="70"/>
      <c r="I275" s="70"/>
      <c r="J275" s="37"/>
      <c r="K275" s="70"/>
      <c r="L275" s="70"/>
      <c r="M275" s="70"/>
      <c r="N275" s="70"/>
      <c r="O275" s="70"/>
    </row>
    <row r="276" spans="1:15" x14ac:dyDescent="0.25">
      <c r="A276" s="37"/>
      <c r="B276" s="78"/>
      <c r="C276" s="70"/>
      <c r="D276" s="37"/>
      <c r="E276" s="70"/>
      <c r="F276" s="70"/>
      <c r="G276" s="37"/>
      <c r="H276" s="70"/>
      <c r="I276" s="70"/>
      <c r="J276" s="37"/>
      <c r="K276" s="70"/>
      <c r="L276" s="70"/>
      <c r="M276" s="70"/>
      <c r="N276" s="70"/>
      <c r="O276" s="70"/>
    </row>
    <row r="277" spans="1:15" x14ac:dyDescent="0.25">
      <c r="A277" s="37"/>
      <c r="B277" s="78"/>
      <c r="C277" s="70"/>
      <c r="D277" s="37"/>
      <c r="E277" s="70"/>
      <c r="F277" s="70"/>
      <c r="G277" s="37"/>
      <c r="H277" s="70"/>
      <c r="I277" s="70"/>
      <c r="J277" s="37"/>
      <c r="K277" s="70"/>
      <c r="L277" s="70"/>
      <c r="M277" s="70"/>
      <c r="N277" s="70"/>
      <c r="O277" s="70"/>
    </row>
    <row r="278" spans="1:15" x14ac:dyDescent="0.25">
      <c r="A278" s="37"/>
      <c r="B278" s="78"/>
      <c r="C278" s="70"/>
      <c r="D278" s="37"/>
      <c r="E278" s="70"/>
      <c r="F278" s="70"/>
      <c r="G278" s="37"/>
      <c r="H278" s="70"/>
      <c r="I278" s="70"/>
      <c r="J278" s="37"/>
      <c r="K278" s="70"/>
      <c r="L278" s="70"/>
      <c r="M278" s="70"/>
      <c r="N278" s="70"/>
      <c r="O278" s="70"/>
    </row>
    <row r="279" spans="1:15" x14ac:dyDescent="0.25">
      <c r="A279" s="37"/>
      <c r="B279" s="78"/>
      <c r="C279" s="70"/>
      <c r="D279" s="37"/>
      <c r="E279" s="70"/>
      <c r="F279" s="70"/>
      <c r="G279" s="37"/>
      <c r="H279" s="70"/>
      <c r="I279" s="70"/>
      <c r="J279" s="37"/>
      <c r="K279" s="70"/>
      <c r="L279" s="70"/>
      <c r="M279" s="70"/>
      <c r="N279" s="70"/>
      <c r="O279" s="70"/>
    </row>
    <row r="280" spans="1:15" x14ac:dyDescent="0.25">
      <c r="A280" s="37"/>
      <c r="B280" s="78"/>
      <c r="C280" s="70"/>
      <c r="D280" s="37"/>
      <c r="E280" s="70"/>
      <c r="F280" s="70"/>
      <c r="G280" s="37"/>
      <c r="H280" s="70"/>
      <c r="I280" s="70"/>
      <c r="J280" s="37"/>
      <c r="K280" s="70"/>
      <c r="L280" s="70"/>
      <c r="M280" s="70"/>
      <c r="N280" s="70"/>
      <c r="O280" s="70"/>
    </row>
    <row r="281" spans="1:15" x14ac:dyDescent="0.25">
      <c r="A281" s="37"/>
      <c r="B281" s="78"/>
      <c r="C281" s="70"/>
      <c r="D281" s="37"/>
      <c r="E281" s="70"/>
      <c r="F281" s="70"/>
      <c r="G281" s="37"/>
      <c r="H281" s="70"/>
      <c r="I281" s="70"/>
      <c r="J281" s="37"/>
      <c r="K281" s="70"/>
      <c r="L281" s="70"/>
      <c r="M281" s="70"/>
      <c r="N281" s="70"/>
      <c r="O281" s="70"/>
    </row>
    <row r="282" spans="1:15" x14ac:dyDescent="0.25">
      <c r="A282" s="37"/>
      <c r="B282" s="78"/>
      <c r="C282" s="70"/>
      <c r="D282" s="37"/>
      <c r="E282" s="70"/>
      <c r="F282" s="70"/>
      <c r="G282" s="37"/>
      <c r="H282" s="70"/>
      <c r="I282" s="70"/>
      <c r="J282" s="37"/>
      <c r="K282" s="70"/>
      <c r="L282" s="70"/>
      <c r="M282" s="70"/>
      <c r="N282" s="70"/>
      <c r="O282" s="70"/>
    </row>
    <row r="283" spans="1:15" x14ac:dyDescent="0.25">
      <c r="A283" s="37"/>
      <c r="B283" s="78"/>
      <c r="C283" s="70"/>
      <c r="D283" s="37"/>
      <c r="E283" s="70"/>
      <c r="F283" s="70"/>
      <c r="G283" s="37"/>
      <c r="H283" s="70"/>
      <c r="I283" s="70"/>
      <c r="J283" s="37"/>
      <c r="K283" s="70"/>
      <c r="L283" s="70"/>
      <c r="M283" s="70"/>
      <c r="N283" s="70"/>
      <c r="O283" s="70"/>
    </row>
    <row r="284" spans="1:15" x14ac:dyDescent="0.25">
      <c r="A284" s="37"/>
      <c r="B284" s="78"/>
      <c r="C284" s="70"/>
      <c r="D284" s="37"/>
      <c r="E284" s="70"/>
      <c r="F284" s="70"/>
      <c r="G284" s="37"/>
      <c r="H284" s="70"/>
      <c r="I284" s="70"/>
      <c r="J284" s="37"/>
      <c r="K284" s="70"/>
      <c r="L284" s="70"/>
      <c r="M284" s="70"/>
      <c r="N284" s="70"/>
      <c r="O284" s="70"/>
    </row>
    <row r="285" spans="1:15" x14ac:dyDescent="0.25">
      <c r="A285" s="37"/>
      <c r="B285" s="78"/>
      <c r="C285" s="70"/>
      <c r="D285" s="37"/>
      <c r="E285" s="70"/>
      <c r="F285" s="70"/>
      <c r="G285" s="37"/>
      <c r="H285" s="70"/>
      <c r="I285" s="70"/>
      <c r="J285" s="37"/>
      <c r="K285" s="70"/>
      <c r="L285" s="70"/>
      <c r="M285" s="70"/>
      <c r="N285" s="70"/>
      <c r="O285" s="70"/>
    </row>
    <row r="286" spans="1:15" x14ac:dyDescent="0.25">
      <c r="A286" s="37"/>
      <c r="B286" s="78"/>
      <c r="C286" s="70"/>
      <c r="D286" s="37"/>
      <c r="E286" s="70"/>
      <c r="F286" s="70"/>
      <c r="G286" s="37"/>
      <c r="H286" s="70"/>
      <c r="I286" s="70"/>
      <c r="J286" s="37"/>
      <c r="K286" s="70"/>
      <c r="L286" s="70"/>
      <c r="M286" s="70"/>
      <c r="N286" s="70"/>
      <c r="O286" s="70"/>
    </row>
    <row r="287" spans="1:15" x14ac:dyDescent="0.25">
      <c r="A287" s="37"/>
      <c r="B287" s="78"/>
      <c r="C287" s="70"/>
      <c r="D287" s="37"/>
      <c r="E287" s="70"/>
      <c r="F287" s="70"/>
      <c r="G287" s="37"/>
      <c r="H287" s="70"/>
      <c r="I287" s="70"/>
      <c r="J287" s="37"/>
      <c r="K287" s="70"/>
      <c r="L287" s="70"/>
      <c r="M287" s="70"/>
      <c r="N287" s="70"/>
      <c r="O287" s="70"/>
    </row>
    <row r="288" spans="1:15" x14ac:dyDescent="0.25">
      <c r="A288" s="37"/>
      <c r="B288" s="78"/>
      <c r="C288" s="70"/>
      <c r="D288" s="37"/>
      <c r="E288" s="70"/>
      <c r="F288" s="70"/>
      <c r="G288" s="37"/>
      <c r="H288" s="70"/>
      <c r="I288" s="70"/>
      <c r="J288" s="37"/>
      <c r="K288" s="70"/>
      <c r="L288" s="70"/>
      <c r="M288" s="70"/>
      <c r="N288" s="70"/>
      <c r="O288" s="70"/>
    </row>
    <row r="289" spans="1:15" x14ac:dyDescent="0.25">
      <c r="A289" s="37"/>
      <c r="B289" s="78"/>
      <c r="C289" s="70"/>
      <c r="D289" s="37"/>
      <c r="E289" s="70"/>
      <c r="F289" s="70"/>
      <c r="G289" s="37"/>
      <c r="H289" s="70"/>
      <c r="I289" s="70"/>
      <c r="J289" s="37"/>
      <c r="K289" s="70"/>
      <c r="L289" s="70"/>
      <c r="M289" s="70"/>
      <c r="N289" s="70"/>
      <c r="O289" s="70"/>
    </row>
    <row r="290" spans="1:15" x14ac:dyDescent="0.25">
      <c r="A290" s="37"/>
      <c r="B290" s="78"/>
      <c r="C290" s="70"/>
      <c r="D290" s="37"/>
      <c r="E290" s="70"/>
      <c r="F290" s="70"/>
      <c r="G290" s="37"/>
      <c r="H290" s="70"/>
      <c r="I290" s="70"/>
      <c r="J290" s="37"/>
      <c r="K290" s="70"/>
      <c r="L290" s="70"/>
      <c r="M290" s="70"/>
      <c r="N290" s="70"/>
      <c r="O290" s="70"/>
    </row>
    <row r="291" spans="1:15" x14ac:dyDescent="0.25">
      <c r="A291" s="37"/>
      <c r="B291" s="78"/>
      <c r="C291" s="70"/>
      <c r="D291" s="37"/>
      <c r="E291" s="70"/>
      <c r="F291" s="70"/>
      <c r="G291" s="37"/>
      <c r="H291" s="70"/>
      <c r="I291" s="70"/>
      <c r="J291" s="37"/>
      <c r="K291" s="70"/>
      <c r="L291" s="70"/>
      <c r="M291" s="70"/>
      <c r="N291" s="70"/>
      <c r="O291" s="70"/>
    </row>
    <row r="292" spans="1:15" x14ac:dyDescent="0.25">
      <c r="A292" s="37"/>
      <c r="B292" s="78"/>
      <c r="C292" s="70"/>
      <c r="D292" s="37"/>
      <c r="E292" s="70"/>
      <c r="F292" s="70"/>
      <c r="G292" s="37"/>
      <c r="H292" s="70"/>
      <c r="I292" s="70"/>
      <c r="J292" s="37"/>
      <c r="K292" s="70"/>
      <c r="L292" s="70"/>
      <c r="M292" s="70"/>
      <c r="N292" s="70"/>
      <c r="O292" s="70"/>
    </row>
    <row r="293" spans="1:15" x14ac:dyDescent="0.25">
      <c r="A293" s="37"/>
      <c r="B293" s="78"/>
      <c r="C293" s="70"/>
      <c r="D293" s="37"/>
      <c r="E293" s="70"/>
      <c r="F293" s="70"/>
      <c r="G293" s="37"/>
      <c r="H293" s="70"/>
      <c r="I293" s="70"/>
      <c r="J293" s="37"/>
      <c r="K293" s="70"/>
      <c r="L293" s="70"/>
      <c r="M293" s="70"/>
      <c r="N293" s="70"/>
      <c r="O293" s="70"/>
    </row>
    <row r="294" spans="1:15" x14ac:dyDescent="0.25">
      <c r="A294" s="37"/>
      <c r="B294" s="78"/>
      <c r="C294" s="70"/>
      <c r="D294" s="37"/>
      <c r="E294" s="70"/>
      <c r="F294" s="70"/>
      <c r="G294" s="37"/>
      <c r="H294" s="70"/>
      <c r="I294" s="70"/>
      <c r="J294" s="37"/>
      <c r="K294" s="70"/>
      <c r="L294" s="70"/>
      <c r="M294" s="70"/>
      <c r="N294" s="70"/>
      <c r="O294" s="70"/>
    </row>
    <row r="295" spans="1:15" x14ac:dyDescent="0.25">
      <c r="A295" s="37"/>
      <c r="B295" s="78"/>
      <c r="C295" s="70"/>
      <c r="D295" s="37"/>
      <c r="E295" s="70"/>
      <c r="F295" s="70"/>
      <c r="G295" s="37"/>
      <c r="H295" s="70"/>
      <c r="I295" s="70"/>
      <c r="J295" s="37"/>
      <c r="K295" s="70"/>
      <c r="L295" s="70"/>
      <c r="M295" s="70"/>
      <c r="N295" s="70"/>
      <c r="O295" s="70"/>
    </row>
    <row r="296" spans="1:15" x14ac:dyDescent="0.25">
      <c r="A296" s="37"/>
      <c r="B296" s="78"/>
      <c r="C296" s="70"/>
      <c r="D296" s="37"/>
      <c r="E296" s="70"/>
      <c r="F296" s="70"/>
      <c r="G296" s="37"/>
      <c r="H296" s="70"/>
      <c r="I296" s="70"/>
      <c r="J296" s="37"/>
      <c r="K296" s="70"/>
      <c r="L296" s="70"/>
      <c r="M296" s="70"/>
      <c r="N296" s="70"/>
      <c r="O296" s="70"/>
    </row>
    <row r="297" spans="1:15" x14ac:dyDescent="0.25">
      <c r="A297" s="37"/>
      <c r="B297" s="78"/>
      <c r="C297" s="70"/>
      <c r="D297" s="37"/>
      <c r="E297" s="70"/>
      <c r="F297" s="70"/>
      <c r="G297" s="37"/>
      <c r="H297" s="70"/>
      <c r="I297" s="70"/>
      <c r="J297" s="37"/>
      <c r="K297" s="70"/>
      <c r="L297" s="70"/>
      <c r="M297" s="70"/>
      <c r="N297" s="70"/>
      <c r="O297" s="70"/>
    </row>
    <row r="298" spans="1:15" x14ac:dyDescent="0.25">
      <c r="A298" s="37"/>
      <c r="B298" s="78"/>
      <c r="C298" s="70"/>
      <c r="D298" s="37"/>
      <c r="E298" s="70"/>
      <c r="F298" s="70"/>
      <c r="G298" s="37"/>
      <c r="H298" s="70"/>
      <c r="I298" s="70"/>
      <c r="J298" s="37"/>
      <c r="K298" s="70"/>
      <c r="L298" s="70"/>
      <c r="M298" s="70"/>
      <c r="N298" s="70"/>
      <c r="O298" s="70"/>
    </row>
    <row r="299" spans="1:15" x14ac:dyDescent="0.25">
      <c r="A299" s="37"/>
      <c r="B299" s="78"/>
      <c r="C299" s="70"/>
      <c r="D299" s="37"/>
      <c r="E299" s="70"/>
      <c r="F299" s="70"/>
      <c r="G299" s="37"/>
      <c r="H299" s="70"/>
      <c r="I299" s="70"/>
      <c r="J299" s="37"/>
      <c r="K299" s="70"/>
      <c r="L299" s="70"/>
      <c r="M299" s="70"/>
      <c r="N299" s="70"/>
      <c r="O299" s="70"/>
    </row>
    <row r="300" spans="1:15" x14ac:dyDescent="0.25">
      <c r="A300" s="37"/>
      <c r="B300" s="78"/>
      <c r="C300" s="70"/>
      <c r="D300" s="37"/>
      <c r="E300" s="70"/>
      <c r="F300" s="70"/>
      <c r="G300" s="37"/>
      <c r="H300" s="70"/>
      <c r="I300" s="70"/>
      <c r="J300" s="37"/>
      <c r="K300" s="70"/>
      <c r="L300" s="70"/>
      <c r="M300" s="70"/>
      <c r="N300" s="70"/>
      <c r="O300" s="70"/>
    </row>
    <row r="301" spans="1:15" x14ac:dyDescent="0.25">
      <c r="A301" s="37"/>
      <c r="B301" s="78"/>
      <c r="C301" s="70"/>
      <c r="D301" s="37"/>
      <c r="E301" s="70"/>
      <c r="F301" s="70"/>
      <c r="G301" s="37"/>
      <c r="H301" s="70"/>
      <c r="I301" s="70"/>
      <c r="J301" s="37"/>
      <c r="K301" s="70"/>
      <c r="L301" s="70"/>
      <c r="M301" s="70"/>
      <c r="N301" s="70"/>
      <c r="O301" s="70"/>
    </row>
    <row r="302" spans="1:15" x14ac:dyDescent="0.25">
      <c r="A302" s="37"/>
      <c r="B302" s="78"/>
      <c r="C302" s="70"/>
      <c r="D302" s="37"/>
      <c r="E302" s="70"/>
      <c r="F302" s="70"/>
      <c r="G302" s="37"/>
      <c r="H302" s="70"/>
      <c r="I302" s="70"/>
      <c r="J302" s="37"/>
      <c r="K302" s="70"/>
      <c r="L302" s="70"/>
      <c r="M302" s="70"/>
      <c r="N302" s="70"/>
      <c r="O302" s="70"/>
    </row>
    <row r="303" spans="1:15" x14ac:dyDescent="0.25">
      <c r="A303" s="37"/>
      <c r="B303" s="78"/>
      <c r="C303" s="70"/>
      <c r="D303" s="37"/>
      <c r="E303" s="70"/>
      <c r="F303" s="70"/>
      <c r="G303" s="37"/>
      <c r="H303" s="70"/>
      <c r="I303" s="70"/>
      <c r="J303" s="37"/>
      <c r="K303" s="70"/>
      <c r="L303" s="70"/>
      <c r="M303" s="70"/>
      <c r="N303" s="70"/>
      <c r="O303" s="70"/>
    </row>
    <row r="304" spans="1:15" x14ac:dyDescent="0.25">
      <c r="A304" s="37"/>
      <c r="B304" s="78"/>
      <c r="C304" s="70"/>
      <c r="D304" s="37"/>
      <c r="E304" s="70"/>
      <c r="F304" s="70"/>
      <c r="G304" s="37"/>
      <c r="H304" s="70"/>
      <c r="I304" s="70"/>
      <c r="J304" s="37"/>
      <c r="K304" s="70"/>
      <c r="L304" s="70"/>
      <c r="M304" s="70"/>
      <c r="N304" s="70"/>
      <c r="O304" s="70"/>
    </row>
    <row r="305" spans="1:15" x14ac:dyDescent="0.25">
      <c r="A305" s="37"/>
      <c r="B305" s="78"/>
      <c r="C305" s="70"/>
      <c r="D305" s="37"/>
      <c r="E305" s="70"/>
      <c r="F305" s="70"/>
      <c r="G305" s="37"/>
      <c r="H305" s="70"/>
      <c r="I305" s="70"/>
      <c r="J305" s="37"/>
      <c r="K305" s="70"/>
      <c r="L305" s="70"/>
      <c r="M305" s="70"/>
      <c r="N305" s="70"/>
      <c r="O305" s="70"/>
    </row>
    <row r="306" spans="1:15" x14ac:dyDescent="0.25">
      <c r="A306" s="37"/>
      <c r="B306" s="78"/>
      <c r="C306" s="70"/>
      <c r="D306" s="37"/>
      <c r="E306" s="70"/>
      <c r="F306" s="70"/>
      <c r="G306" s="37"/>
      <c r="H306" s="70"/>
      <c r="I306" s="70"/>
      <c r="J306" s="37"/>
      <c r="K306" s="70"/>
      <c r="L306" s="70"/>
      <c r="M306" s="70"/>
      <c r="N306" s="70"/>
      <c r="O306" s="70"/>
    </row>
    <row r="307" spans="1:15" x14ac:dyDescent="0.25">
      <c r="A307" s="37"/>
      <c r="B307" s="78"/>
      <c r="C307" s="70"/>
      <c r="D307" s="37"/>
      <c r="E307" s="70"/>
      <c r="F307" s="70"/>
      <c r="G307" s="37"/>
      <c r="H307" s="70"/>
      <c r="I307" s="70"/>
      <c r="J307" s="37"/>
      <c r="K307" s="70"/>
      <c r="L307" s="70"/>
      <c r="M307" s="70"/>
      <c r="N307" s="70"/>
      <c r="O307" s="70"/>
    </row>
    <row r="308" spans="1:15" x14ac:dyDescent="0.25">
      <c r="A308" s="37"/>
      <c r="B308" s="78"/>
      <c r="C308" s="70"/>
      <c r="D308" s="37"/>
      <c r="E308" s="70"/>
      <c r="F308" s="70"/>
      <c r="G308" s="37"/>
      <c r="H308" s="70"/>
      <c r="I308" s="70"/>
      <c r="J308" s="37"/>
      <c r="K308" s="70"/>
      <c r="L308" s="70"/>
      <c r="M308" s="70"/>
      <c r="N308" s="70"/>
      <c r="O308" s="70"/>
    </row>
    <row r="309" spans="1:15" x14ac:dyDescent="0.25">
      <c r="A309" s="37"/>
      <c r="B309" s="78"/>
      <c r="C309" s="70"/>
      <c r="D309" s="37"/>
      <c r="E309" s="70"/>
      <c r="F309" s="70"/>
      <c r="G309" s="37"/>
      <c r="H309" s="70"/>
      <c r="I309" s="70"/>
      <c r="J309" s="37"/>
      <c r="K309" s="70"/>
      <c r="L309" s="70"/>
      <c r="M309" s="70"/>
      <c r="N309" s="70"/>
      <c r="O309" s="70"/>
    </row>
    <row r="310" spans="1:15" x14ac:dyDescent="0.25">
      <c r="A310" s="37"/>
      <c r="B310" s="78"/>
      <c r="C310" s="70"/>
      <c r="D310" s="37"/>
      <c r="E310" s="70"/>
      <c r="F310" s="70"/>
      <c r="G310" s="37"/>
      <c r="H310" s="70"/>
      <c r="I310" s="70"/>
      <c r="J310" s="37"/>
      <c r="K310" s="70"/>
      <c r="L310" s="70"/>
      <c r="M310" s="70"/>
      <c r="N310" s="70"/>
      <c r="O310" s="70"/>
    </row>
    <row r="311" spans="1:15" x14ac:dyDescent="0.25">
      <c r="A311" s="37"/>
      <c r="B311" s="78"/>
      <c r="C311" s="70"/>
      <c r="D311" s="37"/>
      <c r="E311" s="70"/>
      <c r="F311" s="70"/>
      <c r="G311" s="37"/>
      <c r="H311" s="70"/>
      <c r="I311" s="70"/>
      <c r="J311" s="37"/>
      <c r="K311" s="70"/>
      <c r="L311" s="70"/>
      <c r="M311" s="70"/>
      <c r="N311" s="70"/>
      <c r="O311" s="70"/>
    </row>
    <row r="312" spans="1:15" x14ac:dyDescent="0.25">
      <c r="A312" s="37"/>
      <c r="B312" s="78"/>
      <c r="C312" s="70"/>
      <c r="D312" s="37"/>
      <c r="E312" s="70"/>
      <c r="F312" s="70"/>
      <c r="G312" s="37"/>
      <c r="H312" s="70"/>
      <c r="I312" s="70"/>
      <c r="J312" s="37"/>
      <c r="K312" s="70"/>
      <c r="L312" s="70"/>
      <c r="M312" s="70"/>
      <c r="N312" s="70"/>
      <c r="O312" s="70"/>
    </row>
    <row r="313" spans="1:15" x14ac:dyDescent="0.25">
      <c r="A313" s="37"/>
      <c r="B313" s="78"/>
      <c r="C313" s="70"/>
      <c r="D313" s="37"/>
      <c r="E313" s="70"/>
      <c r="F313" s="70"/>
      <c r="G313" s="37"/>
      <c r="H313" s="70"/>
      <c r="I313" s="70"/>
      <c r="J313" s="37"/>
      <c r="K313" s="70"/>
      <c r="L313" s="70"/>
      <c r="M313" s="70"/>
      <c r="N313" s="70"/>
      <c r="O313" s="70"/>
    </row>
    <row r="314" spans="1:15" x14ac:dyDescent="0.25">
      <c r="A314" s="37"/>
      <c r="B314" s="78"/>
      <c r="C314" s="70"/>
      <c r="D314" s="37"/>
      <c r="E314" s="70"/>
      <c r="F314" s="70"/>
      <c r="G314" s="37"/>
      <c r="H314" s="70"/>
      <c r="I314" s="70"/>
      <c r="J314" s="37"/>
      <c r="K314" s="70"/>
      <c r="L314" s="70"/>
      <c r="M314" s="70"/>
      <c r="N314" s="70"/>
      <c r="O314" s="70"/>
    </row>
    <row r="315" spans="1:15" x14ac:dyDescent="0.25">
      <c r="A315" s="37"/>
      <c r="B315" s="78"/>
      <c r="C315" s="70"/>
      <c r="D315" s="37"/>
      <c r="E315" s="70"/>
      <c r="F315" s="70"/>
      <c r="G315" s="37"/>
      <c r="H315" s="70"/>
      <c r="I315" s="70"/>
      <c r="J315" s="37"/>
      <c r="K315" s="70"/>
      <c r="L315" s="70"/>
      <c r="M315" s="70"/>
      <c r="N315" s="70"/>
      <c r="O315" s="70"/>
    </row>
    <row r="316" spans="1:15" x14ac:dyDescent="0.25">
      <c r="A316" s="37"/>
      <c r="B316" s="78"/>
      <c r="C316" s="70"/>
      <c r="D316" s="37"/>
      <c r="E316" s="70"/>
      <c r="F316" s="70"/>
      <c r="G316" s="37"/>
      <c r="H316" s="70"/>
      <c r="I316" s="70"/>
      <c r="J316" s="37"/>
      <c r="K316" s="70"/>
      <c r="L316" s="70"/>
      <c r="M316" s="70"/>
      <c r="N316" s="70"/>
      <c r="O316" s="70"/>
    </row>
    <row r="317" spans="1:15" x14ac:dyDescent="0.25">
      <c r="A317" s="37"/>
      <c r="B317" s="78"/>
      <c r="C317" s="70"/>
      <c r="D317" s="37"/>
      <c r="E317" s="70"/>
      <c r="F317" s="70"/>
      <c r="G317" s="37"/>
      <c r="H317" s="70"/>
      <c r="I317" s="70"/>
      <c r="J317" s="37"/>
      <c r="K317" s="70"/>
      <c r="L317" s="70"/>
      <c r="M317" s="70"/>
      <c r="N317" s="70"/>
      <c r="O317" s="70"/>
    </row>
    <row r="318" spans="1:15" x14ac:dyDescent="0.25">
      <c r="A318" s="37"/>
      <c r="B318" s="78"/>
      <c r="C318" s="70"/>
      <c r="D318" s="37"/>
      <c r="E318" s="70"/>
      <c r="F318" s="70"/>
      <c r="G318" s="37"/>
      <c r="H318" s="70"/>
      <c r="I318" s="70"/>
      <c r="J318" s="37"/>
      <c r="K318" s="70"/>
      <c r="L318" s="70"/>
      <c r="M318" s="70"/>
      <c r="N318" s="70"/>
      <c r="O318" s="70"/>
    </row>
    <row r="319" spans="1:15" x14ac:dyDescent="0.25">
      <c r="A319" s="37"/>
      <c r="B319" s="78"/>
      <c r="C319" s="70"/>
      <c r="D319" s="37"/>
      <c r="E319" s="70"/>
      <c r="F319" s="70"/>
      <c r="G319" s="37"/>
      <c r="H319" s="70"/>
      <c r="I319" s="70"/>
      <c r="J319" s="37"/>
      <c r="K319" s="70"/>
      <c r="L319" s="70"/>
      <c r="M319" s="70"/>
      <c r="N319" s="70"/>
      <c r="O319" s="70"/>
    </row>
    <row r="320" spans="1:15" x14ac:dyDescent="0.25">
      <c r="A320" s="37"/>
      <c r="B320" s="78"/>
      <c r="C320" s="70"/>
      <c r="D320" s="37"/>
      <c r="E320" s="70"/>
      <c r="F320" s="70"/>
      <c r="G320" s="37"/>
      <c r="H320" s="70"/>
      <c r="I320" s="70"/>
      <c r="J320" s="37"/>
      <c r="K320" s="70"/>
      <c r="L320" s="70"/>
      <c r="M320" s="70"/>
      <c r="N320" s="70"/>
      <c r="O320" s="70"/>
    </row>
    <row r="321" spans="1:15" x14ac:dyDescent="0.25">
      <c r="A321" s="37"/>
      <c r="B321" s="78"/>
      <c r="C321" s="70"/>
      <c r="D321" s="37"/>
      <c r="E321" s="70"/>
      <c r="F321" s="70"/>
      <c r="G321" s="37"/>
      <c r="H321" s="70"/>
      <c r="I321" s="70"/>
      <c r="J321" s="37"/>
      <c r="K321" s="70"/>
      <c r="L321" s="70"/>
      <c r="M321" s="70"/>
      <c r="N321" s="70"/>
      <c r="O321" s="70"/>
    </row>
    <row r="322" spans="1:15" x14ac:dyDescent="0.25">
      <c r="A322" s="37"/>
      <c r="B322" s="78"/>
      <c r="C322" s="70"/>
      <c r="D322" s="37"/>
      <c r="E322" s="70"/>
      <c r="F322" s="70"/>
      <c r="G322" s="37"/>
      <c r="H322" s="70"/>
      <c r="I322" s="70"/>
      <c r="J322" s="37"/>
      <c r="K322" s="70"/>
      <c r="L322" s="70"/>
      <c r="M322" s="70"/>
      <c r="N322" s="70"/>
      <c r="O322" s="70"/>
    </row>
    <row r="323" spans="1:15" x14ac:dyDescent="0.25">
      <c r="A323" s="37"/>
      <c r="B323" s="78"/>
      <c r="C323" s="70"/>
      <c r="D323" s="37"/>
      <c r="E323" s="70"/>
      <c r="F323" s="70"/>
      <c r="G323" s="37"/>
      <c r="H323" s="70"/>
      <c r="I323" s="70"/>
      <c r="J323" s="37"/>
      <c r="K323" s="70"/>
      <c r="L323" s="70"/>
      <c r="M323" s="70"/>
      <c r="N323" s="70"/>
      <c r="O323" s="70"/>
    </row>
    <row r="324" spans="1:15" x14ac:dyDescent="0.25">
      <c r="A324" s="37"/>
      <c r="B324" s="78"/>
      <c r="C324" s="70"/>
      <c r="D324" s="37"/>
      <c r="E324" s="70"/>
      <c r="F324" s="70"/>
      <c r="G324" s="37"/>
      <c r="H324" s="70"/>
      <c r="I324" s="70"/>
      <c r="J324" s="37"/>
      <c r="K324" s="70"/>
      <c r="L324" s="70"/>
      <c r="M324" s="70"/>
      <c r="N324" s="70"/>
      <c r="O324" s="70"/>
    </row>
    <row r="325" spans="1:15" x14ac:dyDescent="0.25">
      <c r="A325" s="37"/>
      <c r="B325" s="78"/>
      <c r="C325" s="70"/>
      <c r="D325" s="37"/>
      <c r="E325" s="70"/>
      <c r="F325" s="70"/>
      <c r="G325" s="37"/>
      <c r="H325" s="70"/>
      <c r="I325" s="70"/>
      <c r="J325" s="37"/>
      <c r="K325" s="70"/>
      <c r="L325" s="70"/>
      <c r="M325" s="70"/>
      <c r="N325" s="70"/>
      <c r="O325" s="70"/>
    </row>
    <row r="326" spans="1:15" x14ac:dyDescent="0.25">
      <c r="A326" s="37"/>
      <c r="B326" s="78"/>
      <c r="C326" s="70"/>
      <c r="D326" s="37"/>
      <c r="E326" s="70"/>
      <c r="F326" s="70"/>
      <c r="G326" s="37"/>
      <c r="H326" s="70"/>
      <c r="I326" s="70"/>
      <c r="J326" s="37"/>
      <c r="K326" s="70"/>
      <c r="L326" s="70"/>
      <c r="M326" s="70"/>
      <c r="N326" s="70"/>
      <c r="O326" s="70"/>
    </row>
    <row r="327" spans="1:15" x14ac:dyDescent="0.25">
      <c r="A327" s="37"/>
      <c r="B327" s="78"/>
      <c r="C327" s="70"/>
      <c r="D327" s="37"/>
      <c r="E327" s="70"/>
      <c r="F327" s="70"/>
      <c r="G327" s="37"/>
      <c r="H327" s="70"/>
      <c r="I327" s="70"/>
      <c r="J327" s="37"/>
      <c r="K327" s="70"/>
      <c r="L327" s="70"/>
      <c r="M327" s="70"/>
      <c r="N327" s="70"/>
      <c r="O327" s="70"/>
    </row>
    <row r="328" spans="1:15" x14ac:dyDescent="0.25">
      <c r="A328" s="37"/>
      <c r="B328" s="78"/>
      <c r="C328" s="70"/>
      <c r="D328" s="37"/>
      <c r="E328" s="70"/>
      <c r="F328" s="70"/>
      <c r="G328" s="37"/>
      <c r="H328" s="70"/>
      <c r="I328" s="70"/>
      <c r="J328" s="37"/>
      <c r="K328" s="70"/>
      <c r="L328" s="70"/>
      <c r="M328" s="70"/>
      <c r="N328" s="70"/>
      <c r="O328" s="70"/>
    </row>
    <row r="329" spans="1:15" x14ac:dyDescent="0.25">
      <c r="A329" s="37"/>
      <c r="B329" s="78"/>
      <c r="C329" s="70"/>
      <c r="D329" s="37"/>
      <c r="E329" s="70"/>
      <c r="F329" s="70"/>
      <c r="G329" s="37"/>
      <c r="H329" s="70"/>
      <c r="I329" s="70"/>
      <c r="J329" s="37"/>
      <c r="K329" s="70"/>
      <c r="L329" s="70"/>
      <c r="M329" s="70"/>
      <c r="N329" s="70"/>
      <c r="O329" s="70"/>
    </row>
    <row r="330" spans="1:15" x14ac:dyDescent="0.25">
      <c r="A330" s="37"/>
      <c r="B330" s="78"/>
      <c r="C330" s="70"/>
      <c r="D330" s="37"/>
      <c r="E330" s="70"/>
      <c r="F330" s="70"/>
      <c r="G330" s="37"/>
      <c r="H330" s="70"/>
      <c r="I330" s="70"/>
      <c r="J330" s="37"/>
      <c r="K330" s="70"/>
      <c r="L330" s="70"/>
      <c r="M330" s="70"/>
      <c r="N330" s="70"/>
      <c r="O330" s="70"/>
    </row>
    <row r="331" spans="1:15" x14ac:dyDescent="0.25">
      <c r="A331" s="37"/>
      <c r="B331" s="78"/>
      <c r="C331" s="70"/>
      <c r="D331" s="37"/>
      <c r="E331" s="70"/>
      <c r="F331" s="70"/>
      <c r="G331" s="37"/>
      <c r="H331" s="70"/>
      <c r="I331" s="70"/>
      <c r="J331" s="37"/>
      <c r="K331" s="70"/>
      <c r="L331" s="70"/>
      <c r="M331" s="70"/>
      <c r="N331" s="70"/>
      <c r="O331" s="70"/>
    </row>
    <row r="332" spans="1:15" x14ac:dyDescent="0.25">
      <c r="A332" s="37"/>
      <c r="B332" s="78"/>
      <c r="C332" s="70"/>
      <c r="D332" s="37"/>
      <c r="E332" s="70"/>
      <c r="F332" s="70"/>
      <c r="G332" s="37"/>
      <c r="H332" s="70"/>
      <c r="I332" s="70"/>
      <c r="J332" s="37"/>
      <c r="K332" s="70"/>
      <c r="L332" s="70"/>
      <c r="M332" s="70"/>
      <c r="N332" s="70"/>
      <c r="O332" s="70"/>
    </row>
    <row r="333" spans="1:15" x14ac:dyDescent="0.25">
      <c r="A333" s="37"/>
      <c r="B333" s="78"/>
      <c r="C333" s="70"/>
      <c r="D333" s="37"/>
      <c r="E333" s="70"/>
      <c r="F333" s="70"/>
      <c r="G333" s="37"/>
      <c r="H333" s="70"/>
      <c r="I333" s="70"/>
      <c r="J333" s="37"/>
      <c r="K333" s="70"/>
      <c r="L333" s="70"/>
      <c r="M333" s="70"/>
      <c r="N333" s="70"/>
      <c r="O333" s="70"/>
    </row>
    <row r="334" spans="1:15" x14ac:dyDescent="0.25">
      <c r="A334" s="37"/>
      <c r="B334" s="78"/>
      <c r="C334" s="70"/>
      <c r="D334" s="37"/>
      <c r="E334" s="70"/>
      <c r="F334" s="70"/>
      <c r="G334" s="37"/>
      <c r="H334" s="70"/>
      <c r="I334" s="70"/>
      <c r="J334" s="37"/>
      <c r="K334" s="70"/>
      <c r="L334" s="70"/>
      <c r="M334" s="70"/>
      <c r="N334" s="70"/>
      <c r="O334" s="70"/>
    </row>
    <row r="335" spans="1:15" x14ac:dyDescent="0.25">
      <c r="A335" s="37"/>
      <c r="B335" s="78"/>
      <c r="C335" s="70"/>
      <c r="D335" s="37"/>
      <c r="E335" s="70"/>
      <c r="F335" s="70"/>
      <c r="G335" s="37"/>
      <c r="H335" s="70"/>
      <c r="I335" s="70"/>
      <c r="J335" s="37"/>
      <c r="K335" s="70"/>
      <c r="L335" s="70"/>
      <c r="M335" s="70"/>
      <c r="N335" s="70"/>
      <c r="O335" s="70"/>
    </row>
    <row r="336" spans="1:15" x14ac:dyDescent="0.25">
      <c r="A336" s="37"/>
      <c r="B336" s="78"/>
      <c r="C336" s="70"/>
      <c r="D336" s="37"/>
      <c r="E336" s="70"/>
      <c r="F336" s="70"/>
      <c r="G336" s="37"/>
      <c r="H336" s="70"/>
      <c r="I336" s="70"/>
      <c r="J336" s="37"/>
      <c r="K336" s="70"/>
      <c r="L336" s="70"/>
      <c r="M336" s="70"/>
      <c r="N336" s="70"/>
      <c r="O336" s="70"/>
    </row>
    <row r="337" spans="1:15" x14ac:dyDescent="0.25">
      <c r="A337" s="37"/>
      <c r="B337" s="78"/>
      <c r="C337" s="70"/>
      <c r="D337" s="37"/>
      <c r="E337" s="70"/>
      <c r="F337" s="70"/>
      <c r="G337" s="37"/>
      <c r="H337" s="70"/>
      <c r="I337" s="70"/>
      <c r="J337" s="37"/>
      <c r="K337" s="70"/>
      <c r="L337" s="70"/>
      <c r="M337" s="70"/>
      <c r="N337" s="70"/>
      <c r="O337" s="70"/>
    </row>
    <row r="338" spans="1:15" x14ac:dyDescent="0.25">
      <c r="A338" s="37"/>
      <c r="B338" s="78"/>
      <c r="C338" s="70"/>
      <c r="D338" s="37"/>
      <c r="E338" s="70"/>
      <c r="F338" s="70"/>
      <c r="G338" s="37"/>
      <c r="H338" s="70"/>
      <c r="I338" s="70"/>
      <c r="J338" s="37"/>
      <c r="K338" s="70"/>
      <c r="L338" s="70"/>
      <c r="M338" s="70"/>
      <c r="N338" s="70"/>
      <c r="O338" s="70"/>
    </row>
    <row r="339" spans="1:15" x14ac:dyDescent="0.25">
      <c r="A339" s="37"/>
      <c r="B339" s="78"/>
      <c r="C339" s="70"/>
      <c r="D339" s="37"/>
      <c r="E339" s="70"/>
      <c r="F339" s="70"/>
      <c r="G339" s="37"/>
      <c r="H339" s="70"/>
      <c r="I339" s="70"/>
      <c r="J339" s="37"/>
      <c r="K339" s="70"/>
      <c r="L339" s="70"/>
      <c r="M339" s="70"/>
      <c r="N339" s="70"/>
      <c r="O339" s="70"/>
    </row>
    <row r="340" spans="1:15" x14ac:dyDescent="0.25">
      <c r="A340" s="37"/>
      <c r="B340" s="78"/>
      <c r="C340" s="70"/>
      <c r="D340" s="37"/>
      <c r="E340" s="70"/>
      <c r="F340" s="70"/>
      <c r="G340" s="37"/>
      <c r="H340" s="70"/>
      <c r="I340" s="70"/>
      <c r="J340" s="37"/>
      <c r="K340" s="70"/>
      <c r="L340" s="70"/>
      <c r="M340" s="70"/>
      <c r="N340" s="70"/>
      <c r="O340" s="70"/>
    </row>
    <row r="341" spans="1:15" x14ac:dyDescent="0.25">
      <c r="A341" s="37"/>
      <c r="B341" s="78"/>
      <c r="C341" s="70"/>
      <c r="D341" s="37"/>
      <c r="E341" s="70"/>
      <c r="F341" s="70"/>
      <c r="G341" s="37"/>
      <c r="H341" s="70"/>
      <c r="I341" s="70"/>
      <c r="J341" s="37"/>
      <c r="K341" s="70"/>
      <c r="L341" s="70"/>
      <c r="M341" s="70"/>
      <c r="N341" s="70"/>
      <c r="O341" s="70"/>
    </row>
    <row r="342" spans="1:15" x14ac:dyDescent="0.25">
      <c r="A342" s="37"/>
      <c r="B342" s="78"/>
      <c r="C342" s="70"/>
      <c r="D342" s="37"/>
      <c r="E342" s="70"/>
      <c r="F342" s="70"/>
      <c r="G342" s="37"/>
      <c r="H342" s="70"/>
      <c r="I342" s="70"/>
      <c r="J342" s="37"/>
      <c r="K342" s="70"/>
      <c r="L342" s="70"/>
      <c r="M342" s="70"/>
      <c r="N342" s="70"/>
      <c r="O342" s="70"/>
    </row>
    <row r="343" spans="1:15" x14ac:dyDescent="0.25">
      <c r="A343" s="37"/>
      <c r="B343" s="78"/>
      <c r="C343" s="70"/>
      <c r="D343" s="37"/>
      <c r="E343" s="70"/>
      <c r="F343" s="70"/>
      <c r="G343" s="37"/>
      <c r="H343" s="70"/>
      <c r="I343" s="70"/>
      <c r="J343" s="37"/>
      <c r="K343" s="70"/>
      <c r="L343" s="70"/>
      <c r="M343" s="70"/>
      <c r="N343" s="70"/>
      <c r="O343" s="70"/>
    </row>
    <row r="344" spans="1:15" x14ac:dyDescent="0.25">
      <c r="A344" s="37"/>
      <c r="B344" s="78"/>
      <c r="C344" s="70"/>
      <c r="D344" s="37"/>
      <c r="E344" s="70"/>
      <c r="F344" s="70"/>
      <c r="G344" s="37"/>
      <c r="H344" s="70"/>
      <c r="I344" s="70"/>
      <c r="J344" s="37"/>
      <c r="K344" s="70"/>
      <c r="L344" s="70"/>
      <c r="M344" s="70"/>
      <c r="N344" s="70"/>
      <c r="O344" s="70"/>
    </row>
    <row r="345" spans="1:15" x14ac:dyDescent="0.25">
      <c r="A345" s="37"/>
      <c r="B345" s="78"/>
      <c r="C345" s="70"/>
      <c r="D345" s="37"/>
      <c r="E345" s="70"/>
      <c r="F345" s="70"/>
      <c r="G345" s="37"/>
      <c r="H345" s="70"/>
      <c r="I345" s="70"/>
      <c r="J345" s="37"/>
      <c r="K345" s="70"/>
      <c r="L345" s="70"/>
      <c r="M345" s="70"/>
      <c r="N345" s="70"/>
      <c r="O345" s="70"/>
    </row>
    <row r="346" spans="1:15" x14ac:dyDescent="0.25">
      <c r="A346" s="37"/>
      <c r="B346" s="78"/>
      <c r="C346" s="70"/>
      <c r="D346" s="37"/>
      <c r="E346" s="70"/>
      <c r="F346" s="70"/>
      <c r="G346" s="37"/>
      <c r="H346" s="70"/>
      <c r="I346" s="70"/>
      <c r="J346" s="37"/>
      <c r="K346" s="70"/>
      <c r="L346" s="70"/>
      <c r="M346" s="70"/>
      <c r="N346" s="70"/>
      <c r="O346" s="70"/>
    </row>
    <row r="347" spans="1:15" x14ac:dyDescent="0.25">
      <c r="A347" s="37"/>
      <c r="B347" s="78"/>
      <c r="C347" s="70"/>
      <c r="D347" s="37"/>
      <c r="E347" s="70"/>
      <c r="F347" s="70"/>
      <c r="G347" s="37"/>
      <c r="H347" s="70"/>
      <c r="I347" s="70"/>
      <c r="J347" s="37"/>
      <c r="K347" s="70"/>
      <c r="L347" s="70"/>
      <c r="M347" s="70"/>
      <c r="N347" s="70"/>
      <c r="O347" s="70"/>
    </row>
    <row r="348" spans="1:15" x14ac:dyDescent="0.25">
      <c r="A348" s="37"/>
      <c r="B348" s="78"/>
      <c r="C348" s="70"/>
      <c r="D348" s="37"/>
      <c r="E348" s="70"/>
      <c r="F348" s="70"/>
      <c r="G348" s="37"/>
      <c r="H348" s="70"/>
      <c r="I348" s="70"/>
      <c r="J348" s="37"/>
      <c r="K348" s="70"/>
      <c r="L348" s="70"/>
      <c r="M348" s="70"/>
      <c r="N348" s="70"/>
      <c r="O348" s="70"/>
    </row>
    <row r="349" spans="1:15" x14ac:dyDescent="0.25">
      <c r="A349" s="37"/>
      <c r="B349" s="78"/>
      <c r="C349" s="70"/>
      <c r="D349" s="37"/>
      <c r="E349" s="70"/>
      <c r="F349" s="70"/>
      <c r="G349" s="37"/>
      <c r="H349" s="70"/>
      <c r="I349" s="70"/>
      <c r="J349" s="37"/>
      <c r="K349" s="70"/>
      <c r="L349" s="70"/>
      <c r="M349" s="70"/>
      <c r="N349" s="70"/>
      <c r="O349" s="70"/>
    </row>
    <row r="350" spans="1:15" x14ac:dyDescent="0.25">
      <c r="A350" s="37"/>
      <c r="B350" s="78"/>
      <c r="C350" s="70"/>
      <c r="D350" s="37"/>
      <c r="E350" s="70"/>
      <c r="F350" s="70"/>
      <c r="G350" s="37"/>
      <c r="H350" s="70"/>
      <c r="I350" s="70"/>
      <c r="J350" s="37"/>
      <c r="K350" s="70"/>
      <c r="L350" s="70"/>
      <c r="M350" s="70"/>
      <c r="N350" s="70"/>
      <c r="O350" s="70"/>
    </row>
    <row r="351" spans="1:15" x14ac:dyDescent="0.25">
      <c r="A351" s="37"/>
      <c r="B351" s="78"/>
      <c r="C351" s="70"/>
      <c r="D351" s="37"/>
      <c r="E351" s="70"/>
      <c r="F351" s="70"/>
      <c r="G351" s="37"/>
      <c r="H351" s="70"/>
      <c r="I351" s="70"/>
      <c r="J351" s="37"/>
      <c r="K351" s="70"/>
      <c r="L351" s="70"/>
      <c r="M351" s="70"/>
      <c r="N351" s="70"/>
      <c r="O351" s="70"/>
    </row>
    <row r="352" spans="1:15" x14ac:dyDescent="0.25">
      <c r="A352" s="37"/>
      <c r="B352" s="78"/>
      <c r="C352" s="70"/>
      <c r="D352" s="37"/>
      <c r="E352" s="70"/>
      <c r="F352" s="70"/>
      <c r="G352" s="37"/>
      <c r="H352" s="70"/>
      <c r="I352" s="70"/>
      <c r="J352" s="37"/>
      <c r="K352" s="70"/>
      <c r="L352" s="70"/>
      <c r="M352" s="70"/>
      <c r="N352" s="70"/>
      <c r="O352" s="70"/>
    </row>
    <row r="353" spans="1:15" x14ac:dyDescent="0.25">
      <c r="A353" s="37"/>
      <c r="B353" s="78"/>
      <c r="C353" s="70"/>
      <c r="D353" s="37"/>
      <c r="E353" s="70"/>
      <c r="F353" s="70"/>
      <c r="G353" s="37"/>
      <c r="H353" s="70"/>
      <c r="I353" s="70"/>
      <c r="J353" s="37"/>
      <c r="K353" s="70"/>
      <c r="L353" s="70"/>
      <c r="M353" s="70"/>
      <c r="N353" s="70"/>
      <c r="O353" s="70"/>
    </row>
    <row r="354" spans="1:15" x14ac:dyDescent="0.25">
      <c r="A354" s="37"/>
      <c r="B354" s="78"/>
      <c r="C354" s="70"/>
      <c r="D354" s="37"/>
      <c r="E354" s="70"/>
      <c r="F354" s="70"/>
      <c r="G354" s="37"/>
      <c r="H354" s="70"/>
      <c r="I354" s="70"/>
      <c r="J354" s="37"/>
      <c r="K354" s="70"/>
      <c r="L354" s="70"/>
      <c r="M354" s="70"/>
      <c r="N354" s="70"/>
      <c r="O354" s="70"/>
    </row>
    <row r="355" spans="1:15" x14ac:dyDescent="0.25">
      <c r="A355" s="37"/>
      <c r="B355" s="78"/>
      <c r="C355" s="70"/>
      <c r="D355" s="37"/>
      <c r="E355" s="70"/>
      <c r="F355" s="70"/>
      <c r="G355" s="37"/>
      <c r="H355" s="70"/>
      <c r="I355" s="70"/>
      <c r="J355" s="37"/>
      <c r="K355" s="70"/>
      <c r="L355" s="70"/>
      <c r="M355" s="70"/>
      <c r="N355" s="70"/>
      <c r="O355" s="70"/>
    </row>
    <row r="356" spans="1:15" x14ac:dyDescent="0.25">
      <c r="A356" s="37"/>
      <c r="B356" s="78"/>
      <c r="C356" s="70"/>
      <c r="D356" s="37"/>
      <c r="E356" s="70"/>
      <c r="F356" s="70"/>
      <c r="G356" s="37"/>
      <c r="H356" s="70"/>
      <c r="I356" s="70"/>
      <c r="J356" s="37"/>
      <c r="K356" s="70"/>
      <c r="L356" s="70"/>
      <c r="M356" s="70"/>
      <c r="N356" s="70"/>
      <c r="O356" s="70"/>
    </row>
    <row r="357" spans="1:15" x14ac:dyDescent="0.25">
      <c r="A357" s="37"/>
      <c r="B357" s="78"/>
      <c r="C357" s="70"/>
      <c r="D357" s="37"/>
      <c r="E357" s="70"/>
      <c r="F357" s="70"/>
      <c r="G357" s="37"/>
      <c r="H357" s="70"/>
      <c r="I357" s="70"/>
      <c r="J357" s="37"/>
      <c r="K357" s="70"/>
      <c r="L357" s="70"/>
      <c r="M357" s="70"/>
      <c r="N357" s="70"/>
      <c r="O357" s="70"/>
    </row>
    <row r="358" spans="1:15" x14ac:dyDescent="0.25">
      <c r="A358" s="37"/>
      <c r="B358" s="78"/>
      <c r="C358" s="70"/>
      <c r="D358" s="37"/>
      <c r="E358" s="70"/>
      <c r="F358" s="70"/>
      <c r="G358" s="37"/>
      <c r="H358" s="70"/>
      <c r="I358" s="70"/>
      <c r="J358" s="37"/>
      <c r="K358" s="70"/>
      <c r="L358" s="70"/>
      <c r="M358" s="70"/>
      <c r="N358" s="70"/>
      <c r="O358" s="70"/>
    </row>
    <row r="359" spans="1:15" x14ac:dyDescent="0.25">
      <c r="A359" s="37"/>
      <c r="B359" s="78"/>
      <c r="C359" s="70"/>
      <c r="D359" s="37"/>
      <c r="E359" s="70"/>
      <c r="F359" s="70"/>
      <c r="G359" s="37"/>
      <c r="H359" s="70"/>
      <c r="I359" s="70"/>
      <c r="J359" s="37"/>
      <c r="K359" s="70"/>
      <c r="L359" s="70"/>
      <c r="M359" s="70"/>
      <c r="N359" s="70"/>
      <c r="O359" s="70"/>
    </row>
    <row r="360" spans="1:15" x14ac:dyDescent="0.25">
      <c r="A360" s="37"/>
      <c r="B360" s="78"/>
      <c r="C360" s="70"/>
      <c r="D360" s="37"/>
      <c r="E360" s="70"/>
      <c r="F360" s="70"/>
      <c r="G360" s="37"/>
      <c r="H360" s="70"/>
      <c r="I360" s="70"/>
      <c r="J360" s="37"/>
      <c r="K360" s="70"/>
      <c r="L360" s="70"/>
      <c r="M360" s="70"/>
      <c r="N360" s="70"/>
      <c r="O360" s="70"/>
    </row>
    <row r="361" spans="1:15" x14ac:dyDescent="0.25">
      <c r="A361" s="37"/>
      <c r="B361" s="78"/>
      <c r="C361" s="70"/>
      <c r="D361" s="37"/>
      <c r="E361" s="70"/>
      <c r="F361" s="70"/>
      <c r="G361" s="37"/>
      <c r="H361" s="70"/>
      <c r="I361" s="70"/>
      <c r="J361" s="37"/>
      <c r="K361" s="70"/>
      <c r="L361" s="70"/>
      <c r="M361" s="70"/>
      <c r="N361" s="70"/>
      <c r="O361" s="70"/>
    </row>
    <row r="362" spans="1:15" x14ac:dyDescent="0.25">
      <c r="A362" s="37"/>
      <c r="B362" s="78"/>
      <c r="C362" s="70"/>
      <c r="D362" s="37"/>
      <c r="E362" s="70"/>
      <c r="F362" s="70"/>
      <c r="G362" s="37"/>
      <c r="H362" s="70"/>
      <c r="I362" s="70"/>
      <c r="J362" s="37"/>
      <c r="K362" s="70"/>
      <c r="L362" s="70"/>
      <c r="M362" s="70"/>
      <c r="N362" s="70"/>
      <c r="O362" s="70"/>
    </row>
    <row r="363" spans="1:15" x14ac:dyDescent="0.25">
      <c r="A363" s="37"/>
      <c r="B363" s="78"/>
      <c r="C363" s="70"/>
      <c r="D363" s="37"/>
      <c r="E363" s="70"/>
      <c r="F363" s="70"/>
      <c r="G363" s="37"/>
      <c r="H363" s="70"/>
      <c r="I363" s="70"/>
      <c r="J363" s="37"/>
      <c r="K363" s="70"/>
      <c r="L363" s="70"/>
      <c r="M363" s="70"/>
      <c r="N363" s="70"/>
      <c r="O363" s="70"/>
    </row>
    <row r="364" spans="1:15" x14ac:dyDescent="0.25">
      <c r="A364" s="37"/>
      <c r="B364" s="78"/>
      <c r="C364" s="70"/>
      <c r="D364" s="37"/>
      <c r="E364" s="70"/>
      <c r="F364" s="70"/>
      <c r="G364" s="37"/>
      <c r="H364" s="70"/>
      <c r="I364" s="70"/>
      <c r="J364" s="37"/>
      <c r="K364" s="70"/>
      <c r="L364" s="70"/>
      <c r="M364" s="70"/>
      <c r="N364" s="70"/>
      <c r="O364" s="70"/>
    </row>
    <row r="365" spans="1:15" x14ac:dyDescent="0.25">
      <c r="A365" s="37"/>
      <c r="B365" s="78"/>
      <c r="C365" s="70"/>
      <c r="D365" s="37"/>
      <c r="E365" s="70"/>
      <c r="F365" s="70"/>
      <c r="G365" s="37"/>
      <c r="H365" s="70"/>
      <c r="I365" s="70"/>
      <c r="J365" s="37"/>
      <c r="K365" s="70"/>
      <c r="L365" s="70"/>
      <c r="M365" s="70"/>
      <c r="N365" s="70"/>
      <c r="O365" s="70"/>
    </row>
    <row r="366" spans="1:15" x14ac:dyDescent="0.25">
      <c r="A366" s="37"/>
      <c r="B366" s="78"/>
      <c r="C366" s="70"/>
      <c r="D366" s="37"/>
      <c r="E366" s="70"/>
      <c r="F366" s="70"/>
      <c r="G366" s="37"/>
      <c r="H366" s="70"/>
      <c r="I366" s="70"/>
      <c r="J366" s="37"/>
      <c r="K366" s="70"/>
      <c r="L366" s="70"/>
      <c r="M366" s="70"/>
      <c r="N366" s="70"/>
      <c r="O366" s="70"/>
    </row>
    <row r="367" spans="1:15" x14ac:dyDescent="0.25">
      <c r="A367" s="37"/>
      <c r="B367" s="78"/>
      <c r="C367" s="70"/>
      <c r="D367" s="37"/>
      <c r="E367" s="70"/>
      <c r="F367" s="70"/>
      <c r="G367" s="37"/>
      <c r="H367" s="70"/>
      <c r="I367" s="70"/>
      <c r="J367" s="37"/>
      <c r="K367" s="70"/>
      <c r="L367" s="70"/>
      <c r="M367" s="70"/>
      <c r="N367" s="70"/>
      <c r="O367" s="70"/>
    </row>
    <row r="368" spans="1:15" x14ac:dyDescent="0.25">
      <c r="A368" s="37"/>
      <c r="B368" s="78"/>
      <c r="C368" s="70"/>
      <c r="D368" s="37"/>
      <c r="E368" s="70"/>
      <c r="F368" s="70"/>
      <c r="G368" s="37"/>
      <c r="H368" s="70"/>
      <c r="I368" s="70"/>
      <c r="J368" s="37"/>
      <c r="K368" s="70"/>
      <c r="L368" s="70"/>
      <c r="M368" s="70"/>
      <c r="N368" s="70"/>
      <c r="O368" s="70"/>
    </row>
    <row r="369" spans="1:15" x14ac:dyDescent="0.25">
      <c r="A369" s="37"/>
      <c r="B369" s="78"/>
      <c r="C369" s="70"/>
      <c r="D369" s="37"/>
      <c r="E369" s="70"/>
      <c r="F369" s="70"/>
      <c r="G369" s="37"/>
      <c r="H369" s="70"/>
      <c r="I369" s="70"/>
      <c r="J369" s="37"/>
      <c r="K369" s="70"/>
      <c r="L369" s="70"/>
      <c r="M369" s="70"/>
      <c r="N369" s="70"/>
      <c r="O369" s="70"/>
    </row>
    <row r="370" spans="1:15" x14ac:dyDescent="0.25">
      <c r="A370" s="37"/>
      <c r="B370" s="78"/>
      <c r="C370" s="70"/>
      <c r="D370" s="37"/>
      <c r="E370" s="70"/>
      <c r="F370" s="70"/>
      <c r="G370" s="37"/>
      <c r="H370" s="70"/>
      <c r="I370" s="70"/>
      <c r="J370" s="37"/>
      <c r="K370" s="70"/>
      <c r="L370" s="70"/>
      <c r="M370" s="70"/>
      <c r="N370" s="70"/>
      <c r="O370" s="70"/>
    </row>
    <row r="371" spans="1:15" x14ac:dyDescent="0.25">
      <c r="A371" s="37"/>
      <c r="B371" s="78"/>
      <c r="C371" s="70"/>
      <c r="D371" s="37"/>
      <c r="E371" s="70"/>
      <c r="F371" s="70"/>
      <c r="G371" s="37"/>
      <c r="H371" s="70"/>
      <c r="I371" s="70"/>
      <c r="J371" s="37"/>
      <c r="K371" s="70"/>
      <c r="L371" s="70"/>
      <c r="M371" s="70"/>
      <c r="N371" s="70"/>
      <c r="O371" s="70"/>
    </row>
    <row r="372" spans="1:15" x14ac:dyDescent="0.25">
      <c r="A372" s="37"/>
      <c r="B372" s="78"/>
      <c r="C372" s="70"/>
      <c r="D372" s="37"/>
      <c r="E372" s="70"/>
      <c r="F372" s="70"/>
      <c r="G372" s="37"/>
      <c r="H372" s="70"/>
      <c r="I372" s="70"/>
      <c r="J372" s="37"/>
      <c r="K372" s="70"/>
      <c r="L372" s="70"/>
      <c r="M372" s="70"/>
      <c r="N372" s="70"/>
      <c r="O372" s="70"/>
    </row>
    <row r="373" spans="1:15" x14ac:dyDescent="0.25">
      <c r="A373" s="37"/>
      <c r="B373" s="78"/>
      <c r="C373" s="70"/>
      <c r="D373" s="37"/>
      <c r="E373" s="70"/>
      <c r="F373" s="70"/>
      <c r="G373" s="37"/>
      <c r="H373" s="70"/>
      <c r="I373" s="70"/>
      <c r="J373" s="37"/>
      <c r="K373" s="70"/>
      <c r="L373" s="70"/>
      <c r="M373" s="70"/>
      <c r="N373" s="70"/>
      <c r="O373" s="70"/>
    </row>
    <row r="374" spans="1:15" x14ac:dyDescent="0.25">
      <c r="A374" s="37"/>
      <c r="B374" s="78"/>
      <c r="C374" s="70"/>
      <c r="D374" s="37"/>
      <c r="E374" s="70"/>
      <c r="F374" s="70"/>
      <c r="G374" s="37"/>
      <c r="H374" s="70"/>
      <c r="I374" s="70"/>
      <c r="J374" s="37"/>
      <c r="K374" s="70"/>
      <c r="L374" s="70"/>
      <c r="M374" s="70"/>
      <c r="N374" s="70"/>
      <c r="O374" s="70"/>
    </row>
    <row r="375" spans="1:15" x14ac:dyDescent="0.25">
      <c r="A375" s="37"/>
      <c r="B375" s="78"/>
      <c r="C375" s="70"/>
      <c r="D375" s="37"/>
      <c r="E375" s="70"/>
      <c r="F375" s="70"/>
      <c r="G375" s="37"/>
      <c r="H375" s="70"/>
      <c r="I375" s="70"/>
      <c r="J375" s="37"/>
      <c r="K375" s="70"/>
      <c r="L375" s="70"/>
      <c r="M375" s="70"/>
      <c r="N375" s="70"/>
      <c r="O375" s="70"/>
    </row>
    <row r="376" spans="1:15" x14ac:dyDescent="0.25">
      <c r="A376" s="37"/>
      <c r="B376" s="78"/>
      <c r="C376" s="70"/>
      <c r="D376" s="37"/>
      <c r="E376" s="70"/>
      <c r="F376" s="70"/>
      <c r="G376" s="37"/>
      <c r="H376" s="70"/>
      <c r="I376" s="70"/>
      <c r="J376" s="37"/>
      <c r="K376" s="70"/>
      <c r="L376" s="70"/>
      <c r="M376" s="70"/>
      <c r="N376" s="70"/>
      <c r="O376" s="70"/>
    </row>
    <row r="377" spans="1:15" x14ac:dyDescent="0.25">
      <c r="A377" s="37"/>
      <c r="B377" s="78"/>
      <c r="C377" s="70"/>
      <c r="D377" s="37"/>
      <c r="E377" s="70"/>
      <c r="F377" s="70"/>
      <c r="G377" s="37"/>
      <c r="H377" s="70"/>
      <c r="I377" s="70"/>
      <c r="J377" s="37"/>
      <c r="K377" s="70"/>
      <c r="L377" s="70"/>
      <c r="M377" s="70"/>
      <c r="N377" s="70"/>
      <c r="O377" s="70"/>
    </row>
    <row r="378" spans="1:15" x14ac:dyDescent="0.25">
      <c r="A378" s="37"/>
      <c r="B378" s="78"/>
      <c r="C378" s="70"/>
      <c r="D378" s="37"/>
      <c r="E378" s="70"/>
      <c r="F378" s="70"/>
      <c r="G378" s="37"/>
      <c r="H378" s="70"/>
      <c r="I378" s="70"/>
      <c r="J378" s="37"/>
      <c r="K378" s="70"/>
      <c r="L378" s="70"/>
      <c r="M378" s="70"/>
      <c r="N378" s="70"/>
      <c r="O378" s="70"/>
    </row>
    <row r="379" spans="1:15" x14ac:dyDescent="0.25">
      <c r="A379" s="37"/>
      <c r="B379" s="78"/>
      <c r="C379" s="70"/>
      <c r="D379" s="37"/>
      <c r="E379" s="70"/>
      <c r="F379" s="70"/>
      <c r="G379" s="37"/>
      <c r="H379" s="70"/>
      <c r="I379" s="70"/>
      <c r="J379" s="37"/>
      <c r="K379" s="70"/>
      <c r="L379" s="70"/>
      <c r="M379" s="70"/>
      <c r="N379" s="70"/>
      <c r="O379" s="70"/>
    </row>
    <row r="380" spans="1:15" x14ac:dyDescent="0.25">
      <c r="A380" s="37"/>
      <c r="B380" s="78"/>
      <c r="C380" s="70"/>
      <c r="D380" s="37"/>
      <c r="E380" s="70"/>
      <c r="F380" s="70"/>
      <c r="G380" s="37"/>
      <c r="H380" s="70"/>
      <c r="I380" s="70"/>
      <c r="J380" s="37"/>
      <c r="K380" s="70"/>
      <c r="L380" s="70"/>
      <c r="M380" s="70"/>
      <c r="N380" s="70"/>
      <c r="O380" s="70"/>
    </row>
    <row r="381" spans="1:15" x14ac:dyDescent="0.25">
      <c r="A381" s="37"/>
      <c r="B381" s="78"/>
      <c r="C381" s="70"/>
      <c r="D381" s="37"/>
      <c r="E381" s="70"/>
      <c r="F381" s="70"/>
      <c r="G381" s="37"/>
      <c r="H381" s="70"/>
      <c r="I381" s="70"/>
      <c r="J381" s="37"/>
      <c r="K381" s="70"/>
      <c r="L381" s="70"/>
      <c r="M381" s="70"/>
      <c r="N381" s="70"/>
      <c r="O381" s="70"/>
    </row>
    <row r="382" spans="1:15" x14ac:dyDescent="0.25">
      <c r="A382" s="37"/>
      <c r="B382" s="78"/>
      <c r="C382" s="70"/>
      <c r="D382" s="37"/>
      <c r="E382" s="70"/>
      <c r="F382" s="70"/>
      <c r="G382" s="37"/>
      <c r="H382" s="70"/>
      <c r="I382" s="70"/>
      <c r="J382" s="37"/>
      <c r="K382" s="70"/>
      <c r="L382" s="70"/>
      <c r="M382" s="70"/>
      <c r="N382" s="70"/>
      <c r="O382" s="70"/>
    </row>
    <row r="383" spans="1:15" x14ac:dyDescent="0.25">
      <c r="A383" s="37"/>
      <c r="B383" s="78"/>
      <c r="C383" s="70"/>
      <c r="D383" s="37"/>
      <c r="E383" s="70"/>
      <c r="F383" s="70"/>
      <c r="G383" s="37"/>
      <c r="H383" s="70"/>
      <c r="I383" s="70"/>
      <c r="J383" s="37"/>
      <c r="K383" s="70"/>
      <c r="L383" s="70"/>
      <c r="M383" s="70"/>
      <c r="N383" s="70"/>
      <c r="O383" s="70"/>
    </row>
    <row r="384" spans="1:15" x14ac:dyDescent="0.25">
      <c r="A384" s="37"/>
      <c r="B384" s="78"/>
      <c r="C384" s="70"/>
      <c r="D384" s="37"/>
      <c r="E384" s="70"/>
      <c r="F384" s="70"/>
      <c r="G384" s="37"/>
      <c r="H384" s="70"/>
      <c r="I384" s="70"/>
      <c r="J384" s="37"/>
      <c r="K384" s="70"/>
      <c r="L384" s="70"/>
      <c r="M384" s="70"/>
      <c r="N384" s="70"/>
      <c r="O384" s="70"/>
    </row>
    <row r="385" spans="1:15" x14ac:dyDescent="0.25">
      <c r="A385" s="37"/>
      <c r="B385" s="78"/>
      <c r="C385" s="70"/>
      <c r="D385" s="37"/>
      <c r="E385" s="70"/>
      <c r="F385" s="70"/>
      <c r="G385" s="37"/>
      <c r="H385" s="70"/>
      <c r="I385" s="70"/>
      <c r="J385" s="37"/>
      <c r="K385" s="70"/>
      <c r="L385" s="70"/>
      <c r="M385" s="70"/>
      <c r="N385" s="70"/>
      <c r="O385" s="70"/>
    </row>
    <row r="386" spans="1:15" x14ac:dyDescent="0.25">
      <c r="A386" s="37"/>
      <c r="B386" s="78"/>
      <c r="C386" s="70"/>
      <c r="D386" s="37"/>
      <c r="E386" s="70"/>
      <c r="F386" s="70"/>
      <c r="G386" s="37"/>
      <c r="H386" s="70"/>
      <c r="I386" s="70"/>
      <c r="J386" s="37"/>
      <c r="K386" s="70"/>
      <c r="L386" s="70"/>
      <c r="M386" s="70"/>
      <c r="N386" s="70"/>
      <c r="O386" s="70"/>
    </row>
    <row r="387" spans="1:15" x14ac:dyDescent="0.25">
      <c r="A387" s="37"/>
      <c r="B387" s="78"/>
      <c r="C387" s="70"/>
      <c r="D387" s="37"/>
      <c r="E387" s="70"/>
      <c r="F387" s="70"/>
      <c r="G387" s="37"/>
      <c r="H387" s="70"/>
      <c r="I387" s="70"/>
      <c r="J387" s="37"/>
      <c r="K387" s="70"/>
      <c r="L387" s="70"/>
      <c r="M387" s="70"/>
      <c r="N387" s="70"/>
      <c r="O387" s="70"/>
    </row>
    <row r="388" spans="1:15" x14ac:dyDescent="0.25">
      <c r="A388" s="37"/>
      <c r="B388" s="78"/>
      <c r="C388" s="70"/>
      <c r="D388" s="37"/>
      <c r="E388" s="70"/>
      <c r="F388" s="70"/>
      <c r="G388" s="37"/>
      <c r="H388" s="70"/>
      <c r="I388" s="70"/>
      <c r="J388" s="37"/>
      <c r="K388" s="70"/>
      <c r="L388" s="70"/>
      <c r="M388" s="70"/>
      <c r="N388" s="70"/>
      <c r="O388" s="70"/>
    </row>
    <row r="389" spans="1:15" x14ac:dyDescent="0.25">
      <c r="A389" s="37"/>
      <c r="B389" s="78"/>
      <c r="C389" s="70"/>
      <c r="D389" s="37"/>
      <c r="E389" s="70"/>
      <c r="F389" s="70"/>
      <c r="G389" s="37"/>
      <c r="H389" s="70"/>
      <c r="I389" s="70"/>
      <c r="J389" s="37"/>
      <c r="K389" s="70"/>
      <c r="L389" s="70"/>
      <c r="M389" s="70"/>
      <c r="N389" s="70"/>
      <c r="O389" s="70"/>
    </row>
    <row r="390" spans="1:15" x14ac:dyDescent="0.25">
      <c r="A390" s="37"/>
      <c r="B390" s="78"/>
      <c r="C390" s="70"/>
      <c r="D390" s="37"/>
      <c r="E390" s="70"/>
      <c r="F390" s="70"/>
      <c r="G390" s="37"/>
      <c r="H390" s="70"/>
      <c r="I390" s="70"/>
      <c r="J390" s="37"/>
      <c r="K390" s="70"/>
      <c r="L390" s="70"/>
      <c r="M390" s="70"/>
      <c r="N390" s="70"/>
      <c r="O390" s="70"/>
    </row>
    <row r="391" spans="1:15" x14ac:dyDescent="0.25">
      <c r="A391" s="37"/>
      <c r="B391" s="78"/>
      <c r="C391" s="70"/>
      <c r="D391" s="37"/>
      <c r="E391" s="70"/>
      <c r="F391" s="70"/>
      <c r="G391" s="37"/>
      <c r="H391" s="70"/>
      <c r="I391" s="70"/>
      <c r="J391" s="37"/>
      <c r="K391" s="70"/>
      <c r="L391" s="70"/>
      <c r="M391" s="70"/>
      <c r="N391" s="70"/>
      <c r="O391" s="70"/>
    </row>
    <row r="392" spans="1:15" x14ac:dyDescent="0.25">
      <c r="A392" s="37"/>
      <c r="B392" s="78"/>
      <c r="C392" s="70"/>
      <c r="D392" s="37"/>
      <c r="E392" s="70"/>
      <c r="F392" s="70"/>
      <c r="G392" s="37"/>
      <c r="H392" s="70"/>
      <c r="I392" s="70"/>
      <c r="J392" s="37"/>
      <c r="K392" s="70"/>
      <c r="L392" s="70"/>
      <c r="M392" s="70"/>
      <c r="N392" s="70"/>
      <c r="O392" s="70"/>
    </row>
    <row r="393" spans="1:15" x14ac:dyDescent="0.25">
      <c r="A393" s="37"/>
      <c r="B393" s="78"/>
      <c r="C393" s="70"/>
      <c r="D393" s="37"/>
      <c r="E393" s="70"/>
      <c r="F393" s="70"/>
      <c r="G393" s="37"/>
      <c r="H393" s="70"/>
      <c r="I393" s="70"/>
      <c r="J393" s="37"/>
      <c r="K393" s="70"/>
      <c r="L393" s="70"/>
      <c r="M393" s="70"/>
      <c r="N393" s="70"/>
      <c r="O393" s="70"/>
    </row>
    <row r="394" spans="1:15" x14ac:dyDescent="0.25">
      <c r="A394" s="37"/>
      <c r="B394" s="78"/>
      <c r="C394" s="70"/>
      <c r="D394" s="37"/>
      <c r="E394" s="70"/>
      <c r="F394" s="70"/>
      <c r="G394" s="37"/>
      <c r="H394" s="70"/>
      <c r="I394" s="70"/>
      <c r="J394" s="37"/>
      <c r="K394" s="70"/>
      <c r="L394" s="70"/>
      <c r="M394" s="70"/>
      <c r="N394" s="70"/>
      <c r="O394" s="70"/>
    </row>
    <row r="395" spans="1:15" x14ac:dyDescent="0.25">
      <c r="A395" s="37"/>
      <c r="B395" s="78"/>
      <c r="C395" s="70"/>
      <c r="D395" s="37"/>
      <c r="E395" s="70"/>
      <c r="F395" s="70"/>
      <c r="G395" s="37"/>
      <c r="H395" s="70"/>
      <c r="I395" s="70"/>
      <c r="J395" s="37"/>
      <c r="K395" s="70"/>
      <c r="L395" s="70"/>
      <c r="M395" s="70"/>
      <c r="N395" s="70"/>
      <c r="O395" s="70"/>
    </row>
    <row r="396" spans="1:15" x14ac:dyDescent="0.25">
      <c r="A396" s="37"/>
      <c r="B396" s="78"/>
      <c r="C396" s="70"/>
      <c r="D396" s="37"/>
      <c r="E396" s="70"/>
      <c r="F396" s="70"/>
      <c r="G396" s="37"/>
      <c r="H396" s="70"/>
      <c r="I396" s="70"/>
      <c r="J396" s="37"/>
      <c r="K396" s="70"/>
      <c r="L396" s="70"/>
      <c r="M396" s="70"/>
      <c r="N396" s="70"/>
      <c r="O396" s="70"/>
    </row>
    <row r="397" spans="1:15" x14ac:dyDescent="0.25">
      <c r="A397" s="37"/>
      <c r="B397" s="78"/>
      <c r="C397" s="70"/>
      <c r="D397" s="37"/>
      <c r="E397" s="70"/>
      <c r="F397" s="70"/>
      <c r="G397" s="37"/>
      <c r="H397" s="70"/>
      <c r="I397" s="70"/>
      <c r="J397" s="37"/>
      <c r="K397" s="70"/>
      <c r="L397" s="70"/>
      <c r="M397" s="70"/>
      <c r="N397" s="70"/>
      <c r="O397" s="70"/>
    </row>
    <row r="398" spans="1:15" x14ac:dyDescent="0.25">
      <c r="A398" s="37"/>
      <c r="B398" s="78"/>
      <c r="C398" s="70"/>
      <c r="D398" s="37"/>
      <c r="E398" s="70"/>
      <c r="F398" s="70"/>
      <c r="G398" s="37"/>
      <c r="H398" s="70"/>
      <c r="I398" s="70"/>
      <c r="J398" s="37"/>
      <c r="K398" s="70"/>
      <c r="L398" s="70"/>
      <c r="M398" s="70"/>
      <c r="N398" s="70"/>
      <c r="O398" s="70"/>
    </row>
    <row r="399" spans="1:15" x14ac:dyDescent="0.25">
      <c r="A399" s="37"/>
      <c r="B399" s="78"/>
      <c r="C399" s="70"/>
      <c r="D399" s="37"/>
      <c r="E399" s="70"/>
      <c r="F399" s="70"/>
      <c r="G399" s="37"/>
      <c r="H399" s="70"/>
      <c r="I399" s="70"/>
      <c r="J399" s="37"/>
      <c r="K399" s="70"/>
      <c r="L399" s="70"/>
      <c r="M399" s="70"/>
      <c r="N399" s="70"/>
      <c r="O399" s="70"/>
    </row>
    <row r="400" spans="1:15" x14ac:dyDescent="0.25">
      <c r="A400" s="37"/>
      <c r="B400" s="78"/>
      <c r="C400" s="70"/>
      <c r="D400" s="37"/>
      <c r="E400" s="70"/>
      <c r="F400" s="70"/>
      <c r="G400" s="37"/>
      <c r="H400" s="70"/>
      <c r="I400" s="70"/>
      <c r="J400" s="37"/>
      <c r="K400" s="70"/>
      <c r="L400" s="70"/>
      <c r="M400" s="70"/>
      <c r="N400" s="70"/>
      <c r="O400" s="70"/>
    </row>
    <row r="401" spans="1:15" x14ac:dyDescent="0.25">
      <c r="A401" s="37"/>
      <c r="B401" s="78"/>
      <c r="C401" s="70"/>
      <c r="D401" s="37"/>
      <c r="E401" s="70"/>
      <c r="F401" s="70"/>
      <c r="G401" s="37"/>
      <c r="H401" s="70"/>
      <c r="I401" s="70"/>
      <c r="J401" s="37"/>
      <c r="K401" s="70"/>
      <c r="L401" s="70"/>
      <c r="M401" s="70"/>
      <c r="N401" s="70"/>
      <c r="O401" s="70"/>
    </row>
    <row r="402" spans="1:15" x14ac:dyDescent="0.25">
      <c r="A402" s="37"/>
      <c r="B402" s="78"/>
      <c r="C402" s="70"/>
      <c r="D402" s="37"/>
      <c r="E402" s="70"/>
      <c r="F402" s="70"/>
      <c r="G402" s="37"/>
      <c r="H402" s="70"/>
      <c r="I402" s="70"/>
      <c r="J402" s="37"/>
      <c r="K402" s="70"/>
      <c r="L402" s="70"/>
      <c r="M402" s="70"/>
      <c r="N402" s="70"/>
      <c r="O402" s="70"/>
    </row>
    <row r="403" spans="1:15" x14ac:dyDescent="0.25">
      <c r="A403" s="37"/>
      <c r="B403" s="78"/>
      <c r="C403" s="70"/>
      <c r="D403" s="37"/>
      <c r="E403" s="70"/>
      <c r="F403" s="70"/>
      <c r="G403" s="37"/>
      <c r="H403" s="70"/>
      <c r="I403" s="70"/>
      <c r="J403" s="37"/>
      <c r="K403" s="70"/>
      <c r="L403" s="70"/>
      <c r="M403" s="70"/>
      <c r="N403" s="70"/>
      <c r="O403" s="70"/>
    </row>
    <row r="404" spans="1:15" x14ac:dyDescent="0.25">
      <c r="A404" s="37"/>
      <c r="B404" s="78"/>
      <c r="C404" s="70"/>
      <c r="D404" s="37"/>
      <c r="E404" s="70"/>
      <c r="F404" s="70"/>
      <c r="G404" s="37"/>
      <c r="H404" s="70"/>
      <c r="I404" s="70"/>
      <c r="J404" s="37"/>
      <c r="K404" s="70"/>
      <c r="L404" s="70"/>
      <c r="M404" s="70"/>
      <c r="N404" s="70"/>
      <c r="O404" s="70"/>
    </row>
    <row r="405" spans="1:15" x14ac:dyDescent="0.25">
      <c r="A405" s="37"/>
      <c r="B405" s="78"/>
      <c r="C405" s="70"/>
      <c r="D405" s="37"/>
      <c r="E405" s="70"/>
      <c r="F405" s="70"/>
      <c r="G405" s="37"/>
      <c r="H405" s="70"/>
      <c r="I405" s="70"/>
      <c r="J405" s="37"/>
      <c r="K405" s="70"/>
      <c r="L405" s="70"/>
      <c r="M405" s="70"/>
      <c r="N405" s="70"/>
      <c r="O405" s="70"/>
    </row>
    <row r="406" spans="1:15" x14ac:dyDescent="0.25">
      <c r="A406" s="37"/>
      <c r="B406" s="78"/>
      <c r="C406" s="70"/>
      <c r="D406" s="37"/>
      <c r="E406" s="70"/>
      <c r="F406" s="70"/>
      <c r="G406" s="37"/>
      <c r="H406" s="70"/>
      <c r="I406" s="70"/>
      <c r="J406" s="37"/>
      <c r="K406" s="70"/>
      <c r="L406" s="70"/>
      <c r="M406" s="70"/>
      <c r="N406" s="70"/>
      <c r="O406" s="70"/>
    </row>
    <row r="407" spans="1:15" x14ac:dyDescent="0.25">
      <c r="A407" s="37"/>
      <c r="B407" s="78"/>
      <c r="C407" s="70"/>
      <c r="D407" s="37"/>
      <c r="E407" s="70"/>
      <c r="F407" s="70"/>
      <c r="G407" s="37"/>
      <c r="H407" s="70"/>
      <c r="I407" s="70"/>
      <c r="J407" s="37"/>
      <c r="K407" s="70"/>
      <c r="L407" s="70"/>
      <c r="M407" s="70"/>
      <c r="N407" s="70"/>
      <c r="O407" s="70"/>
    </row>
    <row r="408" spans="1:15" x14ac:dyDescent="0.25">
      <c r="A408" s="37"/>
      <c r="B408" s="78"/>
      <c r="C408" s="70"/>
      <c r="D408" s="37"/>
      <c r="E408" s="70"/>
      <c r="F408" s="70"/>
      <c r="G408" s="37"/>
      <c r="H408" s="70"/>
      <c r="I408" s="70"/>
      <c r="J408" s="37"/>
      <c r="K408" s="70"/>
      <c r="L408" s="70"/>
      <c r="M408" s="70"/>
      <c r="N408" s="70"/>
      <c r="O408" s="70"/>
    </row>
    <row r="409" spans="1:15" x14ac:dyDescent="0.25">
      <c r="A409" s="37"/>
      <c r="B409" s="78"/>
      <c r="C409" s="70"/>
      <c r="D409" s="37"/>
      <c r="E409" s="70"/>
      <c r="F409" s="70"/>
      <c r="G409" s="37"/>
      <c r="H409" s="70"/>
      <c r="I409" s="70"/>
      <c r="J409" s="37"/>
      <c r="K409" s="70"/>
      <c r="L409" s="70"/>
      <c r="M409" s="70"/>
      <c r="N409" s="70"/>
      <c r="O409" s="70"/>
    </row>
    <row r="410" spans="1:15" x14ac:dyDescent="0.25">
      <c r="A410" s="37"/>
      <c r="B410" s="78"/>
      <c r="C410" s="70"/>
      <c r="D410" s="37"/>
      <c r="E410" s="70"/>
      <c r="F410" s="70"/>
      <c r="G410" s="37"/>
      <c r="H410" s="70"/>
      <c r="I410" s="70"/>
      <c r="J410" s="37"/>
      <c r="K410" s="70"/>
      <c r="L410" s="70"/>
      <c r="M410" s="70"/>
      <c r="N410" s="70"/>
      <c r="O410" s="70"/>
    </row>
    <row r="411" spans="1:15" x14ac:dyDescent="0.25">
      <c r="A411" s="37"/>
      <c r="B411" s="78"/>
      <c r="C411" s="70"/>
      <c r="D411" s="37"/>
      <c r="E411" s="70"/>
      <c r="F411" s="70"/>
      <c r="G411" s="37"/>
      <c r="H411" s="70"/>
      <c r="I411" s="70"/>
      <c r="J411" s="37"/>
      <c r="K411" s="70"/>
      <c r="L411" s="70"/>
      <c r="M411" s="70"/>
      <c r="N411" s="70"/>
      <c r="O411" s="70"/>
    </row>
    <row r="412" spans="1:15" x14ac:dyDescent="0.25">
      <c r="A412" s="37"/>
      <c r="B412" s="78"/>
      <c r="C412" s="70"/>
      <c r="D412" s="37"/>
      <c r="E412" s="70"/>
      <c r="F412" s="70"/>
      <c r="G412" s="37"/>
      <c r="H412" s="70"/>
      <c r="I412" s="70"/>
      <c r="J412" s="37"/>
      <c r="K412" s="70"/>
      <c r="L412" s="70"/>
      <c r="M412" s="70"/>
      <c r="N412" s="70"/>
      <c r="O412" s="70"/>
    </row>
    <row r="413" spans="1:15" x14ac:dyDescent="0.25">
      <c r="A413" s="37"/>
      <c r="B413" s="78"/>
      <c r="C413" s="70"/>
      <c r="D413" s="37"/>
      <c r="E413" s="70"/>
      <c r="F413" s="70"/>
      <c r="G413" s="37"/>
      <c r="H413" s="70"/>
      <c r="I413" s="70"/>
      <c r="J413" s="37"/>
      <c r="K413" s="70"/>
      <c r="L413" s="70"/>
      <c r="M413" s="70"/>
      <c r="N413" s="70"/>
      <c r="O413" s="70"/>
    </row>
    <row r="414" spans="1:15" x14ac:dyDescent="0.25">
      <c r="A414" s="37"/>
      <c r="B414" s="78"/>
      <c r="C414" s="70"/>
      <c r="D414" s="37"/>
      <c r="E414" s="70"/>
      <c r="F414" s="70"/>
      <c r="G414" s="37"/>
      <c r="H414" s="70"/>
      <c r="I414" s="70"/>
      <c r="J414" s="37"/>
      <c r="K414" s="70"/>
      <c r="L414" s="70"/>
      <c r="M414" s="70"/>
      <c r="N414" s="70"/>
      <c r="O414" s="70"/>
    </row>
    <row r="415" spans="1:15" x14ac:dyDescent="0.25">
      <c r="A415" s="37"/>
      <c r="B415" s="78"/>
      <c r="C415" s="70"/>
      <c r="D415" s="37"/>
      <c r="E415" s="70"/>
      <c r="F415" s="70"/>
      <c r="G415" s="37"/>
      <c r="H415" s="70"/>
      <c r="I415" s="70"/>
      <c r="J415" s="37"/>
      <c r="K415" s="70"/>
      <c r="L415" s="70"/>
      <c r="M415" s="70"/>
      <c r="N415" s="70"/>
      <c r="O415" s="70"/>
    </row>
    <row r="416" spans="1:15" x14ac:dyDescent="0.25">
      <c r="A416" s="37"/>
      <c r="B416" s="78"/>
      <c r="C416" s="70"/>
      <c r="D416" s="37"/>
      <c r="E416" s="70"/>
      <c r="F416" s="70"/>
      <c r="G416" s="37"/>
      <c r="H416" s="70"/>
      <c r="I416" s="70"/>
      <c r="J416" s="37"/>
      <c r="K416" s="70"/>
      <c r="L416" s="70"/>
      <c r="M416" s="70"/>
      <c r="N416" s="70"/>
      <c r="O416" s="70"/>
    </row>
    <row r="417" spans="1:15" x14ac:dyDescent="0.25">
      <c r="A417" s="37"/>
      <c r="B417" s="78"/>
      <c r="C417" s="70"/>
      <c r="D417" s="37"/>
      <c r="E417" s="70"/>
      <c r="F417" s="70"/>
      <c r="G417" s="37"/>
      <c r="H417" s="70"/>
      <c r="I417" s="70"/>
      <c r="J417" s="37"/>
      <c r="K417" s="70"/>
      <c r="L417" s="70"/>
      <c r="M417" s="70"/>
      <c r="N417" s="70"/>
      <c r="O417" s="70"/>
    </row>
    <row r="418" spans="1:15" x14ac:dyDescent="0.25">
      <c r="A418" s="37"/>
      <c r="B418" s="78"/>
      <c r="C418" s="70"/>
      <c r="D418" s="37"/>
      <c r="E418" s="70"/>
      <c r="F418" s="70"/>
      <c r="G418" s="37"/>
      <c r="H418" s="70"/>
      <c r="I418" s="70"/>
      <c r="J418" s="37"/>
      <c r="K418" s="70"/>
      <c r="L418" s="70"/>
      <c r="M418" s="70"/>
      <c r="N418" s="70"/>
      <c r="O418" s="70"/>
    </row>
    <row r="419" spans="1:15" x14ac:dyDescent="0.25">
      <c r="A419" s="37"/>
      <c r="B419" s="78"/>
      <c r="C419" s="70"/>
      <c r="D419" s="37"/>
      <c r="E419" s="70"/>
      <c r="F419" s="70"/>
      <c r="G419" s="37"/>
      <c r="H419" s="70"/>
      <c r="I419" s="70"/>
      <c r="J419" s="37"/>
      <c r="K419" s="70"/>
      <c r="L419" s="70"/>
      <c r="M419" s="70"/>
      <c r="N419" s="70"/>
      <c r="O419" s="70"/>
    </row>
    <row r="420" spans="1:15" x14ac:dyDescent="0.25">
      <c r="A420" s="37"/>
      <c r="B420" s="78"/>
      <c r="C420" s="70"/>
      <c r="D420" s="37"/>
      <c r="E420" s="70"/>
      <c r="F420" s="70"/>
      <c r="G420" s="37"/>
      <c r="H420" s="70"/>
      <c r="I420" s="70"/>
      <c r="J420" s="37"/>
      <c r="K420" s="70"/>
      <c r="L420" s="70"/>
      <c r="M420" s="70"/>
      <c r="N420" s="70"/>
      <c r="O420" s="70"/>
    </row>
    <row r="421" spans="1:15" x14ac:dyDescent="0.25">
      <c r="A421" s="37"/>
      <c r="B421" s="78"/>
      <c r="C421" s="70"/>
      <c r="D421" s="37"/>
      <c r="E421" s="70"/>
      <c r="F421" s="70"/>
      <c r="G421" s="37"/>
      <c r="H421" s="70"/>
      <c r="I421" s="70"/>
      <c r="J421" s="37"/>
      <c r="K421" s="70"/>
      <c r="L421" s="70"/>
      <c r="M421" s="70"/>
      <c r="N421" s="70"/>
      <c r="O421" s="70"/>
    </row>
    <row r="422" spans="1:15" x14ac:dyDescent="0.25">
      <c r="A422" s="37"/>
      <c r="B422" s="78"/>
      <c r="C422" s="70"/>
      <c r="D422" s="37"/>
      <c r="E422" s="70"/>
      <c r="F422" s="70"/>
      <c r="G422" s="37"/>
      <c r="H422" s="70"/>
      <c r="I422" s="70"/>
      <c r="J422" s="37"/>
      <c r="K422" s="70"/>
      <c r="L422" s="70"/>
      <c r="M422" s="70"/>
      <c r="N422" s="70"/>
      <c r="O422" s="70"/>
    </row>
    <row r="423" spans="1:15" x14ac:dyDescent="0.25">
      <c r="A423" s="37"/>
      <c r="B423" s="78"/>
      <c r="C423" s="70"/>
      <c r="D423" s="37"/>
      <c r="E423" s="70"/>
      <c r="F423" s="70"/>
      <c r="G423" s="37"/>
      <c r="H423" s="70"/>
      <c r="I423" s="70"/>
      <c r="J423" s="37"/>
      <c r="K423" s="70"/>
      <c r="L423" s="70"/>
      <c r="M423" s="70"/>
      <c r="N423" s="70"/>
      <c r="O423" s="70"/>
    </row>
    <row r="424" spans="1:15" x14ac:dyDescent="0.25">
      <c r="A424" s="37"/>
      <c r="B424" s="78"/>
      <c r="C424" s="70"/>
      <c r="D424" s="37"/>
      <c r="E424" s="70"/>
      <c r="F424" s="70"/>
      <c r="G424" s="37"/>
      <c r="H424" s="70"/>
      <c r="I424" s="70"/>
      <c r="J424" s="37"/>
      <c r="K424" s="70"/>
      <c r="L424" s="70"/>
      <c r="M424" s="70"/>
      <c r="N424" s="70"/>
      <c r="O424" s="70"/>
    </row>
    <row r="425" spans="1:15" x14ac:dyDescent="0.25">
      <c r="A425" s="37"/>
      <c r="B425" s="78"/>
      <c r="C425" s="70"/>
      <c r="D425" s="37"/>
      <c r="E425" s="70"/>
      <c r="F425" s="70"/>
      <c r="G425" s="37"/>
      <c r="H425" s="70"/>
      <c r="I425" s="70"/>
      <c r="J425" s="37"/>
      <c r="K425" s="70"/>
      <c r="L425" s="70"/>
      <c r="M425" s="70"/>
      <c r="N425" s="70"/>
      <c r="O425" s="70"/>
    </row>
    <row r="426" spans="1:15" x14ac:dyDescent="0.25">
      <c r="A426" s="37"/>
      <c r="B426" s="78"/>
      <c r="C426" s="70"/>
      <c r="D426" s="37"/>
      <c r="E426" s="70"/>
      <c r="F426" s="70"/>
      <c r="G426" s="37"/>
      <c r="H426" s="70"/>
      <c r="I426" s="70"/>
      <c r="J426" s="37"/>
      <c r="K426" s="70"/>
      <c r="L426" s="70"/>
      <c r="M426" s="70"/>
      <c r="N426" s="70"/>
      <c r="O426" s="70"/>
    </row>
    <row r="427" spans="1:15" x14ac:dyDescent="0.25">
      <c r="A427" s="37"/>
      <c r="B427" s="78"/>
      <c r="C427" s="70"/>
      <c r="D427" s="37"/>
      <c r="E427" s="70"/>
      <c r="F427" s="70"/>
      <c r="G427" s="37"/>
      <c r="H427" s="70"/>
      <c r="I427" s="70"/>
      <c r="J427" s="37"/>
      <c r="K427" s="70"/>
      <c r="L427" s="70"/>
      <c r="M427" s="70"/>
      <c r="N427" s="70"/>
      <c r="O427" s="70"/>
    </row>
    <row r="428" spans="1:15" x14ac:dyDescent="0.25">
      <c r="A428" s="37"/>
      <c r="B428" s="78"/>
      <c r="C428" s="70"/>
      <c r="D428" s="37"/>
      <c r="E428" s="70"/>
      <c r="F428" s="70"/>
      <c r="G428" s="37"/>
      <c r="H428" s="70"/>
      <c r="I428" s="70"/>
      <c r="J428" s="37"/>
      <c r="K428" s="70"/>
      <c r="L428" s="70"/>
      <c r="M428" s="70"/>
      <c r="N428" s="70"/>
      <c r="O428" s="70"/>
    </row>
    <row r="429" spans="1:15" x14ac:dyDescent="0.25">
      <c r="A429" s="37"/>
      <c r="B429" s="78"/>
      <c r="C429" s="70"/>
      <c r="D429" s="37"/>
      <c r="E429" s="70"/>
      <c r="F429" s="70"/>
      <c r="G429" s="37"/>
      <c r="H429" s="70"/>
      <c r="I429" s="70"/>
      <c r="J429" s="37"/>
      <c r="K429" s="70"/>
      <c r="L429" s="70"/>
      <c r="M429" s="70"/>
      <c r="N429" s="70"/>
      <c r="O429" s="70"/>
    </row>
    <row r="430" spans="1:15" x14ac:dyDescent="0.25">
      <c r="A430" s="37"/>
      <c r="B430" s="78"/>
      <c r="C430" s="70"/>
      <c r="D430" s="37"/>
      <c r="E430" s="70"/>
      <c r="F430" s="70"/>
      <c r="G430" s="37"/>
      <c r="H430" s="70"/>
      <c r="I430" s="70"/>
      <c r="J430" s="37"/>
      <c r="K430" s="70"/>
      <c r="L430" s="70"/>
      <c r="M430" s="70"/>
      <c r="N430" s="70"/>
      <c r="O430" s="70"/>
    </row>
    <row r="431" spans="1:15" x14ac:dyDescent="0.25">
      <c r="A431" s="37"/>
      <c r="B431" s="78"/>
      <c r="C431" s="70"/>
      <c r="D431" s="37"/>
      <c r="E431" s="70"/>
      <c r="F431" s="70"/>
      <c r="G431" s="37"/>
      <c r="H431" s="70"/>
      <c r="I431" s="70"/>
      <c r="J431" s="37"/>
      <c r="K431" s="70"/>
      <c r="L431" s="70"/>
      <c r="M431" s="70"/>
      <c r="N431" s="70"/>
      <c r="O431" s="70"/>
    </row>
    <row r="432" spans="1:15" x14ac:dyDescent="0.25">
      <c r="A432" s="37"/>
      <c r="B432" s="78"/>
      <c r="C432" s="70"/>
      <c r="D432" s="37"/>
      <c r="E432" s="70"/>
      <c r="F432" s="70"/>
      <c r="G432" s="37"/>
      <c r="H432" s="70"/>
      <c r="I432" s="70"/>
      <c r="J432" s="37"/>
      <c r="K432" s="70"/>
      <c r="L432" s="70"/>
      <c r="M432" s="70"/>
      <c r="N432" s="70"/>
      <c r="O432" s="70"/>
    </row>
    <row r="433" spans="1:15" x14ac:dyDescent="0.25">
      <c r="A433" s="37"/>
      <c r="B433" s="78"/>
      <c r="C433" s="70"/>
      <c r="D433" s="37"/>
      <c r="E433" s="70"/>
      <c r="F433" s="70"/>
      <c r="G433" s="37"/>
      <c r="H433" s="70"/>
      <c r="I433" s="70"/>
      <c r="J433" s="37"/>
      <c r="K433" s="70"/>
      <c r="L433" s="70"/>
      <c r="M433" s="70"/>
      <c r="N433" s="70"/>
      <c r="O433" s="70"/>
    </row>
    <row r="434" spans="1:15" x14ac:dyDescent="0.25">
      <c r="A434" s="37"/>
      <c r="B434" s="78"/>
      <c r="C434" s="70"/>
      <c r="D434" s="37"/>
      <c r="E434" s="70"/>
      <c r="F434" s="70"/>
      <c r="G434" s="37"/>
      <c r="H434" s="70"/>
      <c r="I434" s="70"/>
      <c r="J434" s="37"/>
      <c r="K434" s="70"/>
      <c r="L434" s="70"/>
      <c r="M434" s="70"/>
      <c r="N434" s="70"/>
      <c r="O434" s="70"/>
    </row>
    <row r="435" spans="1:15" x14ac:dyDescent="0.25">
      <c r="A435" s="37"/>
      <c r="B435" s="78"/>
      <c r="C435" s="70"/>
      <c r="D435" s="37"/>
      <c r="E435" s="70"/>
      <c r="F435" s="70"/>
      <c r="G435" s="37"/>
      <c r="H435" s="70"/>
      <c r="I435" s="70"/>
      <c r="J435" s="37"/>
      <c r="K435" s="70"/>
      <c r="L435" s="70"/>
      <c r="M435" s="70"/>
      <c r="N435" s="70"/>
      <c r="O435" s="70"/>
    </row>
    <row r="436" spans="1:15" x14ac:dyDescent="0.25">
      <c r="A436" s="37"/>
      <c r="B436" s="78"/>
      <c r="C436" s="70"/>
      <c r="D436" s="37"/>
      <c r="E436" s="70"/>
      <c r="F436" s="70"/>
      <c r="G436" s="37"/>
      <c r="H436" s="70"/>
      <c r="I436" s="70"/>
      <c r="J436" s="37"/>
      <c r="K436" s="70"/>
      <c r="L436" s="70"/>
      <c r="M436" s="70"/>
      <c r="N436" s="70"/>
      <c r="O436" s="70"/>
    </row>
    <row r="437" spans="1:15" x14ac:dyDescent="0.25">
      <c r="A437" s="37"/>
      <c r="B437" s="78"/>
      <c r="C437" s="70"/>
      <c r="D437" s="37"/>
      <c r="E437" s="70"/>
      <c r="F437" s="70"/>
      <c r="G437" s="37"/>
      <c r="H437" s="70"/>
      <c r="I437" s="70"/>
      <c r="J437" s="37"/>
      <c r="K437" s="70"/>
      <c r="L437" s="70"/>
      <c r="M437" s="70"/>
      <c r="N437" s="70"/>
      <c r="O437" s="70"/>
    </row>
    <row r="438" spans="1:15" x14ac:dyDescent="0.25">
      <c r="A438" s="37"/>
      <c r="B438" s="78"/>
      <c r="C438" s="70"/>
      <c r="D438" s="37"/>
      <c r="E438" s="70"/>
      <c r="F438" s="70"/>
      <c r="G438" s="37"/>
      <c r="H438" s="70"/>
      <c r="I438" s="70"/>
      <c r="J438" s="37"/>
      <c r="K438" s="70"/>
      <c r="L438" s="70"/>
      <c r="M438" s="70"/>
      <c r="N438" s="70"/>
      <c r="O438" s="70"/>
    </row>
    <row r="439" spans="1:15" x14ac:dyDescent="0.25">
      <c r="A439" s="37"/>
      <c r="B439" s="78"/>
      <c r="C439" s="70"/>
      <c r="D439" s="37"/>
      <c r="E439" s="70"/>
      <c r="F439" s="70"/>
      <c r="G439" s="37"/>
      <c r="H439" s="70"/>
      <c r="I439" s="70"/>
      <c r="J439" s="37"/>
      <c r="K439" s="70"/>
      <c r="L439" s="70"/>
      <c r="M439" s="70"/>
      <c r="N439" s="70"/>
      <c r="O439" s="70"/>
    </row>
    <row r="440" spans="1:15" x14ac:dyDescent="0.25">
      <c r="A440" s="37"/>
      <c r="B440" s="78"/>
      <c r="C440" s="70"/>
      <c r="D440" s="37"/>
      <c r="E440" s="70"/>
      <c r="F440" s="70"/>
      <c r="G440" s="37"/>
      <c r="H440" s="70"/>
      <c r="I440" s="70"/>
      <c r="J440" s="37"/>
      <c r="K440" s="70"/>
      <c r="L440" s="70"/>
      <c r="M440" s="70"/>
      <c r="N440" s="70"/>
      <c r="O440" s="70"/>
    </row>
    <row r="441" spans="1:15" x14ac:dyDescent="0.25">
      <c r="A441" s="37"/>
      <c r="B441" s="78"/>
      <c r="C441" s="70"/>
      <c r="D441" s="37"/>
      <c r="E441" s="70"/>
      <c r="F441" s="70"/>
      <c r="G441" s="37"/>
      <c r="H441" s="70"/>
      <c r="I441" s="70"/>
      <c r="J441" s="37"/>
      <c r="K441" s="70"/>
      <c r="L441" s="70"/>
      <c r="M441" s="70"/>
      <c r="N441" s="70"/>
      <c r="O441" s="70"/>
    </row>
    <row r="442" spans="1:15" x14ac:dyDescent="0.25">
      <c r="A442" s="37"/>
      <c r="B442" s="78"/>
      <c r="C442" s="70"/>
      <c r="D442" s="37"/>
      <c r="E442" s="70"/>
      <c r="F442" s="70"/>
      <c r="G442" s="37"/>
      <c r="H442" s="70"/>
      <c r="I442" s="70"/>
      <c r="J442" s="37"/>
      <c r="K442" s="70"/>
      <c r="L442" s="70"/>
      <c r="M442" s="70"/>
      <c r="N442" s="70"/>
      <c r="O442" s="70"/>
    </row>
    <row r="443" spans="1:15" x14ac:dyDescent="0.25">
      <c r="A443" s="37"/>
      <c r="B443" s="78"/>
      <c r="C443" s="70"/>
      <c r="D443" s="37"/>
      <c r="E443" s="70"/>
      <c r="F443" s="70"/>
      <c r="G443" s="37"/>
      <c r="H443" s="70"/>
      <c r="I443" s="70"/>
      <c r="J443" s="37"/>
      <c r="K443" s="70"/>
      <c r="L443" s="70"/>
      <c r="M443" s="70"/>
      <c r="N443" s="70"/>
      <c r="O443" s="70"/>
    </row>
    <row r="444" spans="1:15" x14ac:dyDescent="0.25">
      <c r="A444" s="37"/>
      <c r="B444" s="78"/>
      <c r="C444" s="70"/>
      <c r="D444" s="37"/>
      <c r="E444" s="70"/>
      <c r="F444" s="70"/>
      <c r="G444" s="37"/>
      <c r="H444" s="70"/>
      <c r="I444" s="70"/>
      <c r="J444" s="37"/>
      <c r="K444" s="70"/>
      <c r="L444" s="70"/>
      <c r="M444" s="70"/>
      <c r="N444" s="70"/>
      <c r="O444" s="70"/>
    </row>
    <row r="445" spans="1:15" x14ac:dyDescent="0.25">
      <c r="A445" s="37"/>
      <c r="B445" s="78"/>
      <c r="C445" s="70"/>
      <c r="D445" s="37"/>
      <c r="E445" s="70"/>
      <c r="F445" s="70"/>
      <c r="G445" s="37"/>
      <c r="H445" s="70"/>
      <c r="I445" s="70"/>
      <c r="J445" s="37"/>
      <c r="K445" s="70"/>
      <c r="L445" s="70"/>
      <c r="M445" s="70"/>
      <c r="N445" s="70"/>
      <c r="O445" s="70"/>
    </row>
    <row r="446" spans="1:15" x14ac:dyDescent="0.25">
      <c r="A446" s="37"/>
      <c r="B446" s="78"/>
      <c r="C446" s="70"/>
      <c r="D446" s="37"/>
      <c r="E446" s="70"/>
      <c r="F446" s="70"/>
      <c r="G446" s="37"/>
      <c r="H446" s="70"/>
      <c r="I446" s="70"/>
      <c r="J446" s="37"/>
      <c r="K446" s="70"/>
      <c r="L446" s="70"/>
      <c r="M446" s="70"/>
      <c r="N446" s="70"/>
      <c r="O446" s="70"/>
    </row>
    <row r="447" spans="1:15" x14ac:dyDescent="0.25">
      <c r="A447" s="37"/>
      <c r="B447" s="78"/>
      <c r="C447" s="70"/>
      <c r="D447" s="37"/>
      <c r="E447" s="70"/>
      <c r="F447" s="70"/>
      <c r="G447" s="37"/>
      <c r="H447" s="70"/>
      <c r="I447" s="70"/>
      <c r="J447" s="37"/>
      <c r="K447" s="70"/>
      <c r="L447" s="70"/>
      <c r="M447" s="70"/>
      <c r="N447" s="70"/>
      <c r="O447" s="70"/>
    </row>
    <row r="448" spans="1:15" x14ac:dyDescent="0.25">
      <c r="A448" s="37"/>
      <c r="B448" s="78"/>
      <c r="C448" s="70"/>
      <c r="D448" s="37"/>
      <c r="E448" s="70"/>
      <c r="F448" s="70"/>
      <c r="G448" s="37"/>
      <c r="H448" s="70"/>
      <c r="I448" s="70"/>
      <c r="J448" s="37"/>
      <c r="K448" s="70"/>
      <c r="L448" s="70"/>
      <c r="M448" s="70"/>
      <c r="N448" s="70"/>
      <c r="O448" s="70"/>
    </row>
    <row r="449" spans="1:15" x14ac:dyDescent="0.25">
      <c r="A449" s="37"/>
      <c r="B449" s="78"/>
      <c r="C449" s="70"/>
      <c r="D449" s="37"/>
      <c r="E449" s="70"/>
      <c r="F449" s="70"/>
      <c r="G449" s="37"/>
      <c r="H449" s="70"/>
      <c r="I449" s="70"/>
      <c r="J449" s="37"/>
      <c r="K449" s="70"/>
      <c r="L449" s="70"/>
      <c r="M449" s="70"/>
      <c r="N449" s="70"/>
      <c r="O449" s="70"/>
    </row>
    <row r="450" spans="1:15" x14ac:dyDescent="0.25">
      <c r="A450" s="37"/>
      <c r="B450" s="78"/>
      <c r="C450" s="70"/>
      <c r="D450" s="37"/>
      <c r="E450" s="70"/>
      <c r="F450" s="70"/>
      <c r="G450" s="37"/>
      <c r="H450" s="70"/>
      <c r="I450" s="70"/>
      <c r="J450" s="37"/>
      <c r="K450" s="70"/>
      <c r="L450" s="70"/>
      <c r="M450" s="70"/>
      <c r="N450" s="70"/>
      <c r="O450" s="70"/>
    </row>
    <row r="451" spans="1:15" x14ac:dyDescent="0.25">
      <c r="A451" s="37"/>
      <c r="B451" s="78"/>
      <c r="C451" s="70"/>
      <c r="D451" s="37"/>
      <c r="E451" s="70"/>
      <c r="F451" s="70"/>
      <c r="G451" s="37"/>
      <c r="H451" s="70"/>
      <c r="I451" s="70"/>
      <c r="J451" s="37"/>
      <c r="K451" s="70"/>
      <c r="L451" s="70"/>
      <c r="M451" s="70"/>
      <c r="N451" s="70"/>
      <c r="O451" s="70"/>
    </row>
    <row r="452" spans="1:15" x14ac:dyDescent="0.25">
      <c r="A452" s="37"/>
      <c r="B452" s="78"/>
      <c r="C452" s="70"/>
      <c r="D452" s="37"/>
      <c r="E452" s="70"/>
      <c r="F452" s="70"/>
      <c r="G452" s="37"/>
      <c r="H452" s="70"/>
      <c r="I452" s="70"/>
      <c r="J452" s="37"/>
      <c r="K452" s="70"/>
      <c r="L452" s="70"/>
      <c r="M452" s="70"/>
      <c r="N452" s="70"/>
      <c r="O452" s="70"/>
    </row>
    <row r="453" spans="1:15" x14ac:dyDescent="0.25">
      <c r="A453" s="37"/>
      <c r="B453" s="78"/>
      <c r="C453" s="70"/>
      <c r="D453" s="37"/>
      <c r="E453" s="70"/>
      <c r="F453" s="70"/>
      <c r="G453" s="37"/>
      <c r="H453" s="70"/>
      <c r="I453" s="70"/>
      <c r="J453" s="37"/>
      <c r="K453" s="70"/>
      <c r="L453" s="70"/>
      <c r="M453" s="70"/>
      <c r="N453" s="70"/>
      <c r="O453" s="70"/>
    </row>
    <row r="454" spans="1:15" x14ac:dyDescent="0.25">
      <c r="A454" s="37"/>
      <c r="B454" s="78"/>
      <c r="C454" s="70"/>
      <c r="D454" s="37"/>
      <c r="E454" s="70"/>
      <c r="F454" s="70"/>
      <c r="G454" s="37"/>
      <c r="H454" s="70"/>
      <c r="I454" s="70"/>
      <c r="J454" s="37"/>
      <c r="K454" s="70"/>
      <c r="L454" s="70"/>
      <c r="M454" s="70"/>
      <c r="N454" s="70"/>
      <c r="O454" s="70"/>
    </row>
    <row r="455" spans="1:15" x14ac:dyDescent="0.25">
      <c r="A455" s="37"/>
      <c r="B455" s="78"/>
      <c r="C455" s="70"/>
      <c r="D455" s="37"/>
      <c r="E455" s="70"/>
      <c r="F455" s="70"/>
      <c r="G455" s="37"/>
      <c r="H455" s="70"/>
      <c r="I455" s="70"/>
      <c r="J455" s="37"/>
      <c r="K455" s="70"/>
      <c r="L455" s="70"/>
      <c r="M455" s="70"/>
      <c r="N455" s="70"/>
      <c r="O455" s="70"/>
    </row>
    <row r="456" spans="1:15" x14ac:dyDescent="0.25">
      <c r="A456" s="37"/>
      <c r="B456" s="78"/>
      <c r="C456" s="70"/>
      <c r="D456" s="37"/>
      <c r="E456" s="70"/>
      <c r="F456" s="70"/>
      <c r="G456" s="37"/>
      <c r="H456" s="70"/>
      <c r="I456" s="70"/>
      <c r="J456" s="37"/>
      <c r="K456" s="70"/>
      <c r="L456" s="70"/>
      <c r="M456" s="70"/>
      <c r="N456" s="70"/>
      <c r="O456" s="70"/>
    </row>
    <row r="457" spans="1:15" x14ac:dyDescent="0.25">
      <c r="A457" s="37"/>
      <c r="B457" s="78"/>
      <c r="C457" s="70"/>
      <c r="D457" s="37"/>
      <c r="E457" s="70"/>
      <c r="F457" s="70"/>
      <c r="G457" s="37"/>
      <c r="H457" s="70"/>
      <c r="I457" s="70"/>
      <c r="J457" s="37"/>
      <c r="K457" s="70"/>
      <c r="L457" s="70"/>
      <c r="M457" s="70"/>
      <c r="N457" s="70"/>
      <c r="O457" s="70"/>
    </row>
    <row r="458" spans="1:15" x14ac:dyDescent="0.25">
      <c r="A458" s="37"/>
      <c r="B458" s="78"/>
      <c r="C458" s="70"/>
      <c r="D458" s="37"/>
      <c r="E458" s="70"/>
      <c r="F458" s="70"/>
      <c r="G458" s="37"/>
      <c r="H458" s="70"/>
      <c r="I458" s="70"/>
      <c r="J458" s="37"/>
      <c r="K458" s="70"/>
      <c r="L458" s="70"/>
      <c r="M458" s="70"/>
      <c r="N458" s="70"/>
      <c r="O458" s="70"/>
    </row>
    <row r="459" spans="1:15" x14ac:dyDescent="0.25">
      <c r="A459" s="37"/>
      <c r="B459" s="78"/>
      <c r="C459" s="70"/>
      <c r="D459" s="37"/>
      <c r="E459" s="70"/>
      <c r="F459" s="70"/>
      <c r="G459" s="37"/>
      <c r="H459" s="70"/>
      <c r="I459" s="70"/>
      <c r="J459" s="37"/>
      <c r="K459" s="70"/>
      <c r="L459" s="70"/>
      <c r="M459" s="70"/>
      <c r="N459" s="70"/>
      <c r="O459" s="70"/>
    </row>
    <row r="460" spans="1:15" x14ac:dyDescent="0.25">
      <c r="A460" s="37"/>
      <c r="B460" s="78"/>
      <c r="C460" s="70"/>
      <c r="D460" s="37"/>
      <c r="E460" s="70"/>
      <c r="F460" s="70"/>
      <c r="G460" s="37"/>
      <c r="H460" s="70"/>
      <c r="I460" s="70"/>
      <c r="J460" s="37"/>
      <c r="K460" s="70"/>
      <c r="L460" s="70"/>
      <c r="M460" s="70"/>
      <c r="N460" s="70"/>
      <c r="O460" s="70"/>
    </row>
    <row r="461" spans="1:15" x14ac:dyDescent="0.25">
      <c r="A461" s="37"/>
      <c r="B461" s="78"/>
      <c r="C461" s="70"/>
      <c r="D461" s="37"/>
      <c r="E461" s="70"/>
      <c r="F461" s="70"/>
      <c r="G461" s="37"/>
      <c r="H461" s="70"/>
      <c r="I461" s="70"/>
      <c r="J461" s="37"/>
      <c r="K461" s="70"/>
      <c r="L461" s="70"/>
      <c r="M461" s="70"/>
      <c r="N461" s="70"/>
      <c r="O461" s="70"/>
    </row>
    <row r="462" spans="1:15" x14ac:dyDescent="0.25">
      <c r="A462" s="37"/>
      <c r="B462" s="78"/>
      <c r="C462" s="70"/>
      <c r="D462" s="37"/>
      <c r="E462" s="70"/>
      <c r="F462" s="70"/>
      <c r="G462" s="37"/>
      <c r="H462" s="70"/>
      <c r="I462" s="70"/>
      <c r="J462" s="37"/>
      <c r="K462" s="70"/>
      <c r="L462" s="70"/>
      <c r="M462" s="70"/>
      <c r="N462" s="70"/>
      <c r="O462" s="70"/>
    </row>
    <row r="463" spans="1:15" x14ac:dyDescent="0.25">
      <c r="A463" s="37"/>
      <c r="B463" s="78"/>
      <c r="C463" s="70"/>
      <c r="D463" s="37"/>
      <c r="E463" s="70"/>
      <c r="F463" s="70"/>
      <c r="G463" s="37"/>
      <c r="H463" s="70"/>
      <c r="I463" s="70"/>
      <c r="J463" s="37"/>
      <c r="K463" s="70"/>
      <c r="L463" s="70"/>
      <c r="M463" s="70"/>
      <c r="N463" s="70"/>
      <c r="O463" s="70"/>
    </row>
    <row r="464" spans="1:15" x14ac:dyDescent="0.25">
      <c r="A464" s="37"/>
      <c r="B464" s="78"/>
      <c r="C464" s="70"/>
      <c r="D464" s="37"/>
      <c r="E464" s="70"/>
      <c r="F464" s="70"/>
      <c r="G464" s="37"/>
      <c r="H464" s="70"/>
      <c r="I464" s="70"/>
      <c r="J464" s="37"/>
      <c r="K464" s="70"/>
      <c r="L464" s="70"/>
      <c r="M464" s="70"/>
      <c r="N464" s="70"/>
      <c r="O464" s="70"/>
    </row>
    <row r="465" spans="1:15" x14ac:dyDescent="0.25">
      <c r="A465" s="37"/>
      <c r="B465" s="78"/>
      <c r="C465" s="70"/>
      <c r="D465" s="37"/>
      <c r="E465" s="70"/>
      <c r="F465" s="70"/>
      <c r="G465" s="37"/>
      <c r="H465" s="70"/>
      <c r="I465" s="70"/>
      <c r="J465" s="37"/>
      <c r="K465" s="70"/>
      <c r="L465" s="70"/>
      <c r="M465" s="70"/>
      <c r="N465" s="70"/>
      <c r="O465" s="70"/>
    </row>
    <row r="466" spans="1:15" x14ac:dyDescent="0.25">
      <c r="A466" s="37"/>
      <c r="B466" s="78"/>
      <c r="C466" s="70"/>
      <c r="D466" s="37"/>
      <c r="E466" s="70"/>
      <c r="F466" s="70"/>
      <c r="G466" s="37"/>
      <c r="H466" s="70"/>
      <c r="I466" s="70"/>
      <c r="J466" s="37"/>
      <c r="K466" s="70"/>
      <c r="L466" s="70"/>
      <c r="M466" s="70"/>
      <c r="N466" s="70"/>
      <c r="O466" s="70"/>
    </row>
    <row r="467" spans="1:15" x14ac:dyDescent="0.25">
      <c r="A467" s="37"/>
      <c r="B467" s="78"/>
      <c r="C467" s="70"/>
      <c r="D467" s="37"/>
      <c r="E467" s="70"/>
      <c r="F467" s="70"/>
      <c r="G467" s="37"/>
      <c r="H467" s="70"/>
      <c r="I467" s="70"/>
      <c r="J467" s="37"/>
      <c r="K467" s="70"/>
      <c r="L467" s="70"/>
      <c r="M467" s="70"/>
      <c r="N467" s="70"/>
      <c r="O467" s="70"/>
    </row>
    <row r="468" spans="1:15" x14ac:dyDescent="0.25">
      <c r="A468" s="37"/>
      <c r="B468" s="78"/>
      <c r="C468" s="70"/>
      <c r="D468" s="37"/>
      <c r="E468" s="70"/>
      <c r="F468" s="70"/>
      <c r="G468" s="37"/>
      <c r="H468" s="70"/>
      <c r="I468" s="70"/>
      <c r="J468" s="37"/>
      <c r="K468" s="70"/>
      <c r="L468" s="70"/>
      <c r="M468" s="70"/>
      <c r="N468" s="70"/>
      <c r="O468" s="70"/>
    </row>
    <row r="469" spans="1:15" x14ac:dyDescent="0.25">
      <c r="A469" s="37"/>
      <c r="B469" s="78"/>
      <c r="C469" s="70"/>
      <c r="D469" s="37"/>
      <c r="E469" s="70"/>
      <c r="F469" s="70"/>
      <c r="G469" s="37"/>
      <c r="H469" s="70"/>
      <c r="I469" s="70"/>
      <c r="J469" s="37"/>
      <c r="K469" s="70"/>
      <c r="L469" s="70"/>
      <c r="M469" s="70"/>
      <c r="N469" s="70"/>
      <c r="O469" s="70"/>
    </row>
    <row r="470" spans="1:15" x14ac:dyDescent="0.25">
      <c r="A470" s="37"/>
      <c r="B470" s="78"/>
      <c r="C470" s="70"/>
      <c r="D470" s="37"/>
      <c r="E470" s="70"/>
      <c r="F470" s="70"/>
      <c r="G470" s="37"/>
      <c r="H470" s="70"/>
      <c r="I470" s="70"/>
      <c r="J470" s="37"/>
      <c r="K470" s="70"/>
      <c r="L470" s="70"/>
      <c r="M470" s="70"/>
      <c r="N470" s="70"/>
      <c r="O470" s="70"/>
    </row>
    <row r="471" spans="1:15" x14ac:dyDescent="0.25">
      <c r="A471" s="37"/>
      <c r="B471" s="78"/>
      <c r="C471" s="70"/>
      <c r="D471" s="37"/>
      <c r="E471" s="70"/>
      <c r="F471" s="70"/>
      <c r="G471" s="37"/>
      <c r="H471" s="70"/>
      <c r="I471" s="70"/>
      <c r="J471" s="37"/>
      <c r="K471" s="70"/>
      <c r="L471" s="70"/>
      <c r="M471" s="70"/>
      <c r="N471" s="70"/>
      <c r="O471" s="70"/>
    </row>
    <row r="472" spans="1:15" x14ac:dyDescent="0.25">
      <c r="A472" s="37"/>
      <c r="B472" s="78"/>
      <c r="C472" s="70"/>
      <c r="D472" s="37"/>
      <c r="E472" s="70"/>
      <c r="F472" s="70"/>
      <c r="G472" s="37"/>
      <c r="H472" s="70"/>
      <c r="I472" s="70"/>
      <c r="J472" s="37"/>
      <c r="K472" s="70"/>
      <c r="L472" s="70"/>
      <c r="M472" s="70"/>
      <c r="N472" s="70"/>
      <c r="O472" s="70"/>
    </row>
    <row r="473" spans="1:15" x14ac:dyDescent="0.25">
      <c r="A473" s="37"/>
      <c r="B473" s="78"/>
      <c r="C473" s="70"/>
      <c r="D473" s="37"/>
      <c r="E473" s="70"/>
      <c r="F473" s="70"/>
      <c r="G473" s="37"/>
      <c r="H473" s="70"/>
      <c r="I473" s="70"/>
      <c r="J473" s="37"/>
      <c r="K473" s="70"/>
      <c r="L473" s="70"/>
      <c r="M473" s="70"/>
      <c r="N473" s="70"/>
      <c r="O473" s="70"/>
    </row>
    <row r="474" spans="1:15" x14ac:dyDescent="0.25">
      <c r="A474" s="37"/>
      <c r="B474" s="78"/>
      <c r="C474" s="70"/>
      <c r="D474" s="37"/>
      <c r="E474" s="70"/>
      <c r="F474" s="70"/>
      <c r="G474" s="37"/>
      <c r="H474" s="70"/>
      <c r="I474" s="70"/>
      <c r="J474" s="37"/>
      <c r="K474" s="70"/>
      <c r="L474" s="70"/>
      <c r="M474" s="70"/>
      <c r="N474" s="70"/>
      <c r="O474" s="70"/>
    </row>
    <row r="475" spans="1:15" x14ac:dyDescent="0.25">
      <c r="A475" s="37"/>
      <c r="B475" s="78"/>
      <c r="C475" s="70"/>
      <c r="D475" s="37"/>
      <c r="E475" s="70"/>
      <c r="F475" s="70"/>
      <c r="G475" s="37"/>
      <c r="H475" s="70"/>
      <c r="I475" s="70"/>
      <c r="J475" s="37"/>
      <c r="K475" s="70"/>
      <c r="L475" s="70"/>
      <c r="M475" s="70"/>
      <c r="N475" s="70"/>
      <c r="O475" s="70"/>
    </row>
    <row r="476" spans="1:15" x14ac:dyDescent="0.25">
      <c r="A476" s="37"/>
      <c r="B476" s="78"/>
      <c r="C476" s="70"/>
      <c r="D476" s="37"/>
      <c r="E476" s="70"/>
      <c r="F476" s="70"/>
      <c r="G476" s="37"/>
      <c r="H476" s="70"/>
      <c r="I476" s="70"/>
      <c r="J476" s="37"/>
      <c r="K476" s="70"/>
      <c r="L476" s="70"/>
      <c r="M476" s="70"/>
      <c r="N476" s="70"/>
      <c r="O476" s="70"/>
    </row>
    <row r="477" spans="1:15" x14ac:dyDescent="0.25">
      <c r="A477" s="37"/>
      <c r="B477" s="78"/>
      <c r="C477" s="70"/>
      <c r="D477" s="37"/>
      <c r="E477" s="70"/>
      <c r="F477" s="70"/>
      <c r="G477" s="37"/>
      <c r="H477" s="70"/>
      <c r="I477" s="70"/>
      <c r="J477" s="37"/>
      <c r="K477" s="70"/>
      <c r="L477" s="70"/>
      <c r="M477" s="70"/>
      <c r="N477" s="70"/>
      <c r="O477" s="70"/>
    </row>
    <row r="478" spans="1:15" x14ac:dyDescent="0.25">
      <c r="A478" s="37"/>
      <c r="B478" s="78"/>
      <c r="C478" s="70"/>
      <c r="D478" s="37"/>
      <c r="E478" s="70"/>
      <c r="F478" s="70"/>
      <c r="G478" s="37"/>
      <c r="H478" s="70"/>
      <c r="I478" s="70"/>
      <c r="J478" s="37"/>
      <c r="K478" s="70"/>
      <c r="L478" s="70"/>
      <c r="M478" s="70"/>
      <c r="N478" s="70"/>
      <c r="O478" s="70"/>
    </row>
    <row r="479" spans="1:15" x14ac:dyDescent="0.25">
      <c r="A479" s="37"/>
      <c r="B479" s="78"/>
      <c r="C479" s="70"/>
      <c r="D479" s="37"/>
      <c r="E479" s="70"/>
      <c r="F479" s="70"/>
      <c r="G479" s="37"/>
      <c r="H479" s="70"/>
      <c r="I479" s="70"/>
      <c r="J479" s="37"/>
      <c r="K479" s="70"/>
      <c r="L479" s="70"/>
      <c r="M479" s="70"/>
      <c r="N479" s="70"/>
      <c r="O479" s="70"/>
    </row>
    <row r="480" spans="1:15" x14ac:dyDescent="0.25">
      <c r="A480" s="37"/>
      <c r="B480" s="78"/>
      <c r="C480" s="70"/>
      <c r="D480" s="37"/>
      <c r="E480" s="70"/>
      <c r="F480" s="70"/>
      <c r="G480" s="37"/>
      <c r="H480" s="70"/>
      <c r="I480" s="70"/>
      <c r="J480" s="37"/>
      <c r="K480" s="70"/>
      <c r="L480" s="70"/>
      <c r="M480" s="70"/>
      <c r="N480" s="70"/>
      <c r="O480" s="70"/>
    </row>
    <row r="481" spans="1:15" x14ac:dyDescent="0.25">
      <c r="A481" s="37"/>
      <c r="B481" s="78"/>
      <c r="C481" s="70"/>
      <c r="D481" s="37"/>
      <c r="E481" s="70"/>
      <c r="F481" s="70"/>
      <c r="G481" s="37"/>
      <c r="H481" s="70"/>
      <c r="I481" s="70"/>
      <c r="J481" s="37"/>
      <c r="K481" s="70"/>
      <c r="L481" s="70"/>
      <c r="M481" s="70"/>
      <c r="N481" s="70"/>
      <c r="O481" s="70"/>
    </row>
    <row r="482" spans="1:15" x14ac:dyDescent="0.25">
      <c r="A482" s="37"/>
      <c r="B482" s="78"/>
      <c r="C482" s="70"/>
      <c r="D482" s="37"/>
      <c r="E482" s="70"/>
      <c r="F482" s="70"/>
      <c r="G482" s="37"/>
      <c r="H482" s="70"/>
      <c r="I482" s="70"/>
      <c r="J482" s="37"/>
      <c r="K482" s="70"/>
      <c r="L482" s="70"/>
      <c r="M482" s="70"/>
      <c r="N482" s="70"/>
      <c r="O482" s="70"/>
    </row>
    <row r="483" spans="1:15" x14ac:dyDescent="0.25">
      <c r="A483" s="37"/>
      <c r="B483" s="78"/>
      <c r="C483" s="70"/>
      <c r="D483" s="37"/>
      <c r="E483" s="70"/>
      <c r="F483" s="70"/>
      <c r="G483" s="37"/>
      <c r="H483" s="70"/>
      <c r="I483" s="70"/>
      <c r="J483" s="37"/>
      <c r="K483" s="70"/>
      <c r="L483" s="70"/>
      <c r="M483" s="70"/>
      <c r="N483" s="70"/>
      <c r="O483" s="70"/>
    </row>
    <row r="484" spans="1:15" x14ac:dyDescent="0.25">
      <c r="A484" s="37"/>
      <c r="B484" s="78"/>
      <c r="C484" s="70"/>
      <c r="D484" s="37"/>
      <c r="E484" s="70"/>
      <c r="F484" s="70"/>
      <c r="G484" s="37"/>
      <c r="H484" s="70"/>
      <c r="I484" s="70"/>
      <c r="J484" s="37"/>
      <c r="K484" s="70"/>
      <c r="L484" s="70"/>
      <c r="M484" s="70"/>
      <c r="N484" s="70"/>
      <c r="O484" s="70"/>
    </row>
    <row r="485" spans="1:15" x14ac:dyDescent="0.25">
      <c r="A485" s="37"/>
      <c r="B485" s="78"/>
      <c r="C485" s="70"/>
      <c r="D485" s="37"/>
      <c r="E485" s="70"/>
      <c r="F485" s="70"/>
      <c r="G485" s="37"/>
      <c r="H485" s="70"/>
      <c r="I485" s="70"/>
      <c r="J485" s="37"/>
      <c r="K485" s="70"/>
      <c r="L485" s="70"/>
      <c r="M485" s="70"/>
      <c r="N485" s="70"/>
      <c r="O485" s="70"/>
    </row>
    <row r="486" spans="1:15" x14ac:dyDescent="0.25">
      <c r="A486" s="37"/>
      <c r="B486" s="78"/>
      <c r="C486" s="70"/>
      <c r="D486" s="37"/>
      <c r="E486" s="70"/>
      <c r="F486" s="70"/>
      <c r="G486" s="37"/>
      <c r="H486" s="70"/>
      <c r="I486" s="70"/>
      <c r="J486" s="37"/>
      <c r="K486" s="70"/>
      <c r="L486" s="70"/>
      <c r="M486" s="70"/>
      <c r="N486" s="70"/>
      <c r="O486" s="70"/>
    </row>
    <row r="487" spans="1:15" x14ac:dyDescent="0.25">
      <c r="A487" s="37"/>
      <c r="B487" s="78"/>
      <c r="C487" s="70"/>
      <c r="D487" s="37"/>
      <c r="E487" s="70"/>
      <c r="F487" s="70"/>
      <c r="G487" s="37"/>
      <c r="H487" s="70"/>
      <c r="I487" s="70"/>
      <c r="J487" s="37"/>
      <c r="K487" s="70"/>
      <c r="L487" s="70"/>
      <c r="M487" s="70"/>
      <c r="N487" s="70"/>
      <c r="O487" s="70"/>
    </row>
    <row r="488" spans="1:15" x14ac:dyDescent="0.25">
      <c r="A488" s="37"/>
      <c r="B488" s="78"/>
      <c r="C488" s="70"/>
      <c r="D488" s="37"/>
      <c r="E488" s="70"/>
      <c r="F488" s="70"/>
      <c r="G488" s="37"/>
      <c r="H488" s="70"/>
      <c r="I488" s="70"/>
      <c r="J488" s="37"/>
      <c r="K488" s="70"/>
      <c r="L488" s="70"/>
      <c r="M488" s="70"/>
      <c r="N488" s="70"/>
      <c r="O488" s="70"/>
    </row>
    <row r="489" spans="1:15" x14ac:dyDescent="0.25">
      <c r="A489" s="37"/>
      <c r="B489" s="78"/>
      <c r="C489" s="70"/>
      <c r="D489" s="37"/>
      <c r="E489" s="70"/>
      <c r="F489" s="70"/>
      <c r="G489" s="37"/>
      <c r="H489" s="70"/>
      <c r="I489" s="70"/>
      <c r="J489" s="37"/>
      <c r="K489" s="70"/>
      <c r="L489" s="70"/>
      <c r="M489" s="70"/>
      <c r="N489" s="70"/>
      <c r="O489" s="70"/>
    </row>
    <row r="490" spans="1:15" x14ac:dyDescent="0.25">
      <c r="A490" s="37"/>
      <c r="B490" s="78"/>
      <c r="C490" s="70"/>
      <c r="D490" s="37"/>
      <c r="E490" s="70"/>
      <c r="F490" s="70"/>
      <c r="G490" s="37"/>
      <c r="H490" s="70"/>
      <c r="I490" s="70"/>
      <c r="J490" s="37"/>
      <c r="K490" s="70"/>
      <c r="L490" s="70"/>
      <c r="M490" s="70"/>
      <c r="N490" s="70"/>
      <c r="O490" s="70"/>
    </row>
    <row r="491" spans="1:15" x14ac:dyDescent="0.25">
      <c r="A491" s="37"/>
      <c r="B491" s="78"/>
      <c r="C491" s="70"/>
      <c r="D491" s="37"/>
      <c r="E491" s="70"/>
      <c r="F491" s="70"/>
      <c r="G491" s="37"/>
      <c r="H491" s="70"/>
      <c r="I491" s="70"/>
      <c r="J491" s="37"/>
      <c r="K491" s="70"/>
      <c r="L491" s="70"/>
      <c r="M491" s="70"/>
      <c r="N491" s="70"/>
      <c r="O491" s="70"/>
    </row>
    <row r="492" spans="1:15" x14ac:dyDescent="0.25">
      <c r="A492" s="37"/>
      <c r="B492" s="78"/>
      <c r="C492" s="70"/>
      <c r="D492" s="37"/>
      <c r="E492" s="70"/>
      <c r="F492" s="70"/>
      <c r="G492" s="37"/>
      <c r="H492" s="70"/>
      <c r="I492" s="70"/>
      <c r="J492" s="37"/>
      <c r="K492" s="70"/>
      <c r="L492" s="70"/>
      <c r="M492" s="70"/>
      <c r="N492" s="70"/>
      <c r="O492" s="70"/>
    </row>
    <row r="493" spans="1:15" x14ac:dyDescent="0.25">
      <c r="A493" s="37"/>
      <c r="B493" s="78"/>
      <c r="C493" s="70"/>
      <c r="D493" s="37"/>
      <c r="E493" s="70"/>
      <c r="F493" s="70"/>
      <c r="G493" s="37"/>
      <c r="H493" s="70"/>
      <c r="I493" s="70"/>
      <c r="J493" s="37"/>
      <c r="K493" s="70"/>
      <c r="L493" s="70"/>
      <c r="M493" s="70"/>
      <c r="N493" s="70"/>
      <c r="O493" s="70"/>
    </row>
    <row r="494" spans="1:15" x14ac:dyDescent="0.25">
      <c r="A494" s="37"/>
      <c r="B494" s="78"/>
      <c r="C494" s="70"/>
      <c r="D494" s="37"/>
      <c r="E494" s="70"/>
      <c r="F494" s="70"/>
      <c r="G494" s="37"/>
      <c r="H494" s="70"/>
      <c r="I494" s="70"/>
      <c r="J494" s="37"/>
      <c r="K494" s="70"/>
      <c r="L494" s="70"/>
      <c r="M494" s="70"/>
      <c r="N494" s="70"/>
      <c r="O494" s="70"/>
    </row>
    <row r="495" spans="1:15" x14ac:dyDescent="0.25">
      <c r="A495" s="37"/>
      <c r="B495" s="78"/>
      <c r="C495" s="70"/>
      <c r="D495" s="37"/>
      <c r="E495" s="70"/>
      <c r="F495" s="70"/>
      <c r="G495" s="37"/>
      <c r="H495" s="70"/>
      <c r="I495" s="70"/>
      <c r="J495" s="37"/>
      <c r="K495" s="70"/>
      <c r="L495" s="70"/>
      <c r="M495" s="70"/>
      <c r="N495" s="70"/>
      <c r="O495" s="70"/>
    </row>
    <row r="496" spans="1:15" x14ac:dyDescent="0.25">
      <c r="A496" s="37"/>
      <c r="B496" s="78"/>
      <c r="C496" s="70"/>
      <c r="D496" s="37"/>
      <c r="E496" s="70"/>
      <c r="F496" s="70"/>
      <c r="G496" s="37"/>
      <c r="H496" s="70"/>
      <c r="I496" s="70"/>
      <c r="J496" s="37"/>
      <c r="K496" s="70"/>
      <c r="L496" s="70"/>
      <c r="M496" s="70"/>
      <c r="N496" s="70"/>
      <c r="O496" s="70"/>
    </row>
    <row r="497" spans="1:15" x14ac:dyDescent="0.25">
      <c r="A497" s="37"/>
      <c r="B497" s="78"/>
      <c r="C497" s="70"/>
      <c r="D497" s="37"/>
      <c r="E497" s="70"/>
      <c r="F497" s="70"/>
      <c r="G497" s="37"/>
      <c r="H497" s="70"/>
      <c r="I497" s="70"/>
      <c r="J497" s="37"/>
      <c r="K497" s="70"/>
      <c r="L497" s="70"/>
      <c r="M497" s="70"/>
      <c r="N497" s="70"/>
      <c r="O497" s="70"/>
    </row>
    <row r="498" spans="1:15" x14ac:dyDescent="0.25">
      <c r="A498" s="37"/>
      <c r="B498" s="78"/>
      <c r="C498" s="70"/>
      <c r="D498" s="37"/>
      <c r="E498" s="70"/>
      <c r="F498" s="70"/>
      <c r="G498" s="37"/>
      <c r="H498" s="70"/>
      <c r="I498" s="70"/>
      <c r="J498" s="37"/>
      <c r="K498" s="70"/>
      <c r="L498" s="70"/>
      <c r="M498" s="70"/>
      <c r="N498" s="70"/>
      <c r="O498" s="70"/>
    </row>
    <row r="499" spans="1:15" x14ac:dyDescent="0.25">
      <c r="A499" s="37"/>
      <c r="B499" s="78"/>
      <c r="C499" s="70"/>
      <c r="D499" s="37"/>
      <c r="E499" s="70"/>
      <c r="F499" s="70"/>
      <c r="G499" s="37"/>
      <c r="H499" s="70"/>
      <c r="I499" s="70"/>
      <c r="J499" s="37"/>
      <c r="K499" s="70"/>
      <c r="L499" s="70"/>
      <c r="M499" s="70"/>
      <c r="N499" s="70"/>
      <c r="O499" s="70"/>
    </row>
    <row r="500" spans="1:15" x14ac:dyDescent="0.25">
      <c r="A500" s="37"/>
      <c r="B500" s="78"/>
      <c r="C500" s="70"/>
      <c r="D500" s="37"/>
      <c r="E500" s="70"/>
      <c r="F500" s="70"/>
      <c r="G500" s="37"/>
      <c r="H500" s="70"/>
      <c r="I500" s="70"/>
      <c r="J500" s="37"/>
      <c r="K500" s="70"/>
      <c r="L500" s="70"/>
      <c r="M500" s="70"/>
      <c r="N500" s="70"/>
      <c r="O500" s="70"/>
    </row>
    <row r="501" spans="1:15" x14ac:dyDescent="0.25">
      <c r="A501" s="37"/>
      <c r="B501" s="78"/>
      <c r="C501" s="70"/>
      <c r="D501" s="37"/>
      <c r="E501" s="70"/>
      <c r="F501" s="70"/>
      <c r="G501" s="37"/>
      <c r="H501" s="70"/>
      <c r="I501" s="70"/>
      <c r="J501" s="37"/>
      <c r="K501" s="70"/>
      <c r="L501" s="70"/>
      <c r="M501" s="70"/>
      <c r="N501" s="70"/>
      <c r="O501" s="70"/>
    </row>
    <row r="502" spans="1:15" x14ac:dyDescent="0.25">
      <c r="A502" s="37"/>
      <c r="B502" s="78"/>
      <c r="C502" s="70"/>
      <c r="D502" s="37"/>
      <c r="E502" s="70"/>
      <c r="F502" s="70"/>
      <c r="G502" s="37"/>
      <c r="H502" s="70"/>
      <c r="I502" s="70"/>
      <c r="J502" s="37"/>
      <c r="K502" s="70"/>
      <c r="L502" s="70"/>
      <c r="M502" s="70"/>
      <c r="N502" s="70"/>
      <c r="O502" s="70"/>
    </row>
    <row r="503" spans="1:15" x14ac:dyDescent="0.25">
      <c r="A503" s="37"/>
      <c r="B503" s="78"/>
      <c r="C503" s="70"/>
      <c r="D503" s="37"/>
      <c r="E503" s="70"/>
      <c r="F503" s="70"/>
      <c r="G503" s="37"/>
      <c r="H503" s="70"/>
      <c r="I503" s="70"/>
      <c r="J503" s="37"/>
      <c r="K503" s="70"/>
      <c r="L503" s="70"/>
      <c r="M503" s="70"/>
      <c r="N503" s="70"/>
      <c r="O503" s="70"/>
    </row>
    <row r="504" spans="1:15" x14ac:dyDescent="0.25">
      <c r="A504" s="37"/>
      <c r="B504" s="78"/>
      <c r="C504" s="70"/>
      <c r="D504" s="37"/>
      <c r="E504" s="70"/>
      <c r="F504" s="70"/>
      <c r="G504" s="37"/>
      <c r="H504" s="70"/>
      <c r="I504" s="70"/>
      <c r="J504" s="37"/>
      <c r="K504" s="70"/>
      <c r="L504" s="70"/>
      <c r="M504" s="70"/>
      <c r="N504" s="70"/>
      <c r="O504" s="70"/>
    </row>
    <row r="505" spans="1:15" x14ac:dyDescent="0.25">
      <c r="A505" s="37"/>
      <c r="B505" s="78"/>
      <c r="C505" s="70"/>
      <c r="D505" s="37"/>
      <c r="E505" s="70"/>
      <c r="F505" s="70"/>
      <c r="G505" s="37"/>
      <c r="H505" s="70"/>
      <c r="I505" s="70"/>
      <c r="J505" s="37"/>
      <c r="K505" s="70"/>
      <c r="L505" s="70"/>
      <c r="M505" s="70"/>
      <c r="N505" s="70"/>
      <c r="O505" s="70"/>
    </row>
    <row r="506" spans="1:15" x14ac:dyDescent="0.25">
      <c r="A506" s="37"/>
      <c r="B506" s="78"/>
      <c r="C506" s="70"/>
      <c r="D506" s="37"/>
      <c r="E506" s="70"/>
      <c r="F506" s="70"/>
      <c r="G506" s="37"/>
      <c r="H506" s="70"/>
      <c r="I506" s="70"/>
      <c r="J506" s="37"/>
      <c r="K506" s="70"/>
      <c r="L506" s="70"/>
      <c r="M506" s="70"/>
      <c r="N506" s="70"/>
      <c r="O506" s="70"/>
    </row>
    <row r="507" spans="1:15" x14ac:dyDescent="0.25">
      <c r="A507" s="37"/>
      <c r="B507" s="78"/>
      <c r="C507" s="70"/>
      <c r="D507" s="37"/>
      <c r="E507" s="70"/>
      <c r="F507" s="70"/>
      <c r="G507" s="37"/>
      <c r="H507" s="70"/>
      <c r="I507" s="70"/>
      <c r="J507" s="37"/>
      <c r="K507" s="70"/>
      <c r="L507" s="70"/>
      <c r="M507" s="70"/>
      <c r="N507" s="70"/>
      <c r="O507" s="70"/>
    </row>
    <row r="508" spans="1:15" x14ac:dyDescent="0.25">
      <c r="A508" s="37"/>
      <c r="B508" s="78"/>
      <c r="C508" s="70"/>
      <c r="D508" s="37"/>
      <c r="E508" s="70"/>
      <c r="F508" s="70"/>
      <c r="G508" s="37"/>
      <c r="H508" s="70"/>
      <c r="I508" s="70"/>
      <c r="J508" s="37"/>
      <c r="K508" s="70"/>
      <c r="L508" s="70"/>
      <c r="M508" s="70"/>
      <c r="N508" s="70"/>
      <c r="O508" s="70"/>
    </row>
    <row r="509" spans="1:15" x14ac:dyDescent="0.25">
      <c r="A509" s="37"/>
      <c r="B509" s="78"/>
      <c r="C509" s="70"/>
      <c r="D509" s="37"/>
      <c r="E509" s="70"/>
      <c r="F509" s="70"/>
      <c r="G509" s="37"/>
      <c r="H509" s="70"/>
      <c r="I509" s="70"/>
      <c r="J509" s="37"/>
      <c r="K509" s="70"/>
      <c r="L509" s="70"/>
      <c r="M509" s="70"/>
      <c r="N509" s="70"/>
      <c r="O509" s="70"/>
    </row>
    <row r="510" spans="1:15" x14ac:dyDescent="0.25">
      <c r="A510" s="37"/>
      <c r="B510" s="78"/>
      <c r="C510" s="70"/>
      <c r="D510" s="37"/>
      <c r="E510" s="70"/>
      <c r="F510" s="70"/>
      <c r="G510" s="37"/>
      <c r="H510" s="70"/>
      <c r="I510" s="70"/>
      <c r="J510" s="37"/>
      <c r="K510" s="70"/>
      <c r="L510" s="70"/>
      <c r="M510" s="70"/>
      <c r="N510" s="70"/>
      <c r="O510" s="70"/>
    </row>
    <row r="511" spans="1:15" x14ac:dyDescent="0.25">
      <c r="A511" s="37"/>
      <c r="B511" s="78"/>
      <c r="C511" s="70"/>
      <c r="D511" s="37"/>
      <c r="E511" s="70"/>
      <c r="F511" s="70"/>
      <c r="G511" s="37"/>
      <c r="H511" s="70"/>
      <c r="I511" s="70"/>
      <c r="J511" s="37"/>
      <c r="K511" s="70"/>
      <c r="L511" s="70"/>
      <c r="M511" s="70"/>
      <c r="N511" s="70"/>
      <c r="O511" s="70"/>
    </row>
    <row r="512" spans="1:15" x14ac:dyDescent="0.25">
      <c r="A512" s="37"/>
      <c r="B512" s="78"/>
      <c r="C512" s="70"/>
      <c r="D512" s="37"/>
      <c r="E512" s="70"/>
      <c r="F512" s="70"/>
      <c r="G512" s="37"/>
      <c r="H512" s="70"/>
      <c r="I512" s="70"/>
      <c r="J512" s="37"/>
      <c r="K512" s="70"/>
      <c r="L512" s="70"/>
      <c r="M512" s="70"/>
      <c r="N512" s="70"/>
      <c r="O512" s="70"/>
    </row>
    <row r="513" spans="1:15" x14ac:dyDescent="0.25">
      <c r="A513" s="37"/>
      <c r="B513" s="78"/>
      <c r="C513" s="70"/>
      <c r="D513" s="37"/>
      <c r="E513" s="70"/>
      <c r="F513" s="70"/>
      <c r="G513" s="37"/>
      <c r="H513" s="70"/>
      <c r="I513" s="70"/>
      <c r="J513" s="37"/>
      <c r="K513" s="70"/>
      <c r="L513" s="70"/>
      <c r="M513" s="70"/>
      <c r="N513" s="70"/>
      <c r="O513" s="70"/>
    </row>
    <row r="514" spans="1:15" x14ac:dyDescent="0.25">
      <c r="A514" s="37"/>
      <c r="B514" s="78"/>
      <c r="C514" s="70"/>
      <c r="D514" s="37"/>
      <c r="E514" s="70"/>
      <c r="F514" s="70"/>
      <c r="G514" s="37"/>
      <c r="H514" s="70"/>
      <c r="I514" s="70"/>
      <c r="J514" s="37"/>
      <c r="K514" s="70"/>
      <c r="L514" s="70"/>
      <c r="M514" s="70"/>
      <c r="N514" s="70"/>
      <c r="O514" s="70"/>
    </row>
    <row r="515" spans="1:15" x14ac:dyDescent="0.25">
      <c r="A515" s="37"/>
      <c r="B515" s="78"/>
      <c r="C515" s="70"/>
      <c r="D515" s="37"/>
      <c r="E515" s="70"/>
      <c r="F515" s="70"/>
      <c r="G515" s="37"/>
      <c r="H515" s="70"/>
      <c r="I515" s="70"/>
      <c r="J515" s="37"/>
      <c r="K515" s="70"/>
      <c r="L515" s="70"/>
      <c r="M515" s="70"/>
      <c r="N515" s="70"/>
      <c r="O515" s="70"/>
    </row>
    <row r="516" spans="1:15" x14ac:dyDescent="0.25">
      <c r="A516" s="37"/>
      <c r="B516" s="78"/>
      <c r="C516" s="70"/>
      <c r="D516" s="37"/>
      <c r="E516" s="70"/>
      <c r="F516" s="70"/>
      <c r="G516" s="37"/>
      <c r="H516" s="70"/>
      <c r="I516" s="70"/>
      <c r="J516" s="37"/>
      <c r="K516" s="70"/>
      <c r="L516" s="70"/>
      <c r="M516" s="70"/>
      <c r="N516" s="70"/>
      <c r="O516" s="70"/>
    </row>
    <row r="517" spans="1:15" x14ac:dyDescent="0.25">
      <c r="A517" s="37"/>
      <c r="B517" s="78"/>
      <c r="C517" s="70"/>
      <c r="D517" s="37"/>
      <c r="E517" s="70"/>
      <c r="F517" s="70"/>
      <c r="G517" s="37"/>
      <c r="H517" s="70"/>
      <c r="I517" s="70"/>
      <c r="J517" s="37"/>
      <c r="K517" s="70"/>
      <c r="L517" s="70"/>
      <c r="M517" s="70"/>
      <c r="N517" s="70"/>
      <c r="O517" s="70"/>
    </row>
    <row r="518" spans="1:15" x14ac:dyDescent="0.25">
      <c r="A518" s="37"/>
      <c r="B518" s="78"/>
      <c r="C518" s="70"/>
      <c r="D518" s="37"/>
      <c r="E518" s="70"/>
      <c r="F518" s="70"/>
      <c r="G518" s="37"/>
      <c r="H518" s="70"/>
      <c r="I518" s="70"/>
      <c r="J518" s="37"/>
      <c r="K518" s="70"/>
      <c r="L518" s="70"/>
      <c r="M518" s="70"/>
      <c r="N518" s="70"/>
      <c r="O518" s="70"/>
    </row>
    <row r="519" spans="1:15" x14ac:dyDescent="0.25">
      <c r="A519" s="37"/>
      <c r="B519" s="78"/>
      <c r="C519" s="70"/>
      <c r="D519" s="37"/>
      <c r="E519" s="70"/>
      <c r="F519" s="70"/>
      <c r="G519" s="37"/>
      <c r="H519" s="70"/>
      <c r="I519" s="70"/>
      <c r="J519" s="37"/>
      <c r="K519" s="70"/>
      <c r="L519" s="70"/>
      <c r="M519" s="70"/>
      <c r="N519" s="70"/>
      <c r="O519" s="70"/>
    </row>
    <row r="520" spans="1:15" x14ac:dyDescent="0.25">
      <c r="A520" s="37"/>
      <c r="B520" s="78"/>
      <c r="C520" s="70"/>
      <c r="D520" s="37"/>
      <c r="E520" s="70"/>
      <c r="F520" s="70"/>
      <c r="G520" s="37"/>
      <c r="H520" s="70"/>
      <c r="I520" s="70"/>
      <c r="J520" s="37"/>
      <c r="K520" s="70"/>
      <c r="L520" s="70"/>
      <c r="M520" s="70"/>
      <c r="N520" s="70"/>
      <c r="O520" s="70"/>
    </row>
    <row r="521" spans="1:15" x14ac:dyDescent="0.25">
      <c r="A521" s="37"/>
      <c r="B521" s="78"/>
      <c r="C521" s="70"/>
      <c r="D521" s="37"/>
      <c r="E521" s="70"/>
      <c r="F521" s="70"/>
      <c r="G521" s="37"/>
      <c r="H521" s="70"/>
      <c r="I521" s="70"/>
      <c r="J521" s="37"/>
      <c r="K521" s="70"/>
      <c r="L521" s="70"/>
      <c r="M521" s="70"/>
      <c r="N521" s="70"/>
      <c r="O521" s="70"/>
    </row>
    <row r="522" spans="1:15" x14ac:dyDescent="0.25">
      <c r="A522" s="37"/>
      <c r="B522" s="78"/>
      <c r="C522" s="70"/>
      <c r="D522" s="37"/>
      <c r="E522" s="70"/>
      <c r="F522" s="70"/>
      <c r="G522" s="37"/>
      <c r="H522" s="70"/>
      <c r="I522" s="70"/>
      <c r="J522" s="37"/>
      <c r="K522" s="70"/>
      <c r="L522" s="70"/>
      <c r="M522" s="70"/>
      <c r="N522" s="70"/>
      <c r="O522" s="70"/>
    </row>
    <row r="523" spans="1:15" x14ac:dyDescent="0.25">
      <c r="A523" s="37"/>
      <c r="B523" s="78"/>
      <c r="C523" s="70"/>
      <c r="D523" s="37"/>
      <c r="E523" s="70"/>
      <c r="F523" s="70"/>
      <c r="G523" s="37"/>
      <c r="H523" s="70"/>
      <c r="I523" s="70"/>
      <c r="J523" s="37"/>
      <c r="K523" s="70"/>
      <c r="L523" s="70"/>
      <c r="M523" s="70"/>
      <c r="N523" s="70"/>
      <c r="O523" s="70"/>
    </row>
    <row r="524" spans="1:15" x14ac:dyDescent="0.25">
      <c r="A524" s="37"/>
      <c r="B524" s="78"/>
      <c r="C524" s="70"/>
      <c r="D524" s="37"/>
      <c r="E524" s="70"/>
      <c r="F524" s="70"/>
      <c r="G524" s="37"/>
      <c r="H524" s="70"/>
      <c r="I524" s="70"/>
      <c r="J524" s="37"/>
      <c r="K524" s="70"/>
      <c r="L524" s="70"/>
      <c r="M524" s="70"/>
      <c r="N524" s="70"/>
      <c r="O524" s="70"/>
    </row>
    <row r="525" spans="1:15" x14ac:dyDescent="0.25">
      <c r="A525" s="37"/>
      <c r="B525" s="78"/>
      <c r="C525" s="70"/>
      <c r="D525" s="37"/>
      <c r="E525" s="70"/>
      <c r="F525" s="70"/>
      <c r="G525" s="37"/>
      <c r="H525" s="70"/>
      <c r="I525" s="70"/>
      <c r="J525" s="37"/>
      <c r="K525" s="70"/>
      <c r="L525" s="70"/>
      <c r="M525" s="70"/>
      <c r="N525" s="70"/>
      <c r="O525" s="70"/>
    </row>
    <row r="526" spans="1:15" x14ac:dyDescent="0.25">
      <c r="A526" s="37"/>
      <c r="B526" s="78"/>
      <c r="C526" s="70"/>
      <c r="D526" s="37"/>
      <c r="E526" s="70"/>
      <c r="F526" s="70"/>
      <c r="G526" s="37"/>
      <c r="H526" s="70"/>
      <c r="I526" s="70"/>
      <c r="J526" s="37"/>
      <c r="K526" s="70"/>
      <c r="L526" s="70"/>
      <c r="M526" s="70"/>
      <c r="N526" s="70"/>
      <c r="O526" s="70"/>
    </row>
    <row r="527" spans="1:15" x14ac:dyDescent="0.25">
      <c r="A527" s="37"/>
      <c r="B527" s="78"/>
      <c r="C527" s="70"/>
      <c r="D527" s="37"/>
      <c r="E527" s="70"/>
      <c r="F527" s="70"/>
      <c r="G527" s="37"/>
      <c r="H527" s="70"/>
      <c r="I527" s="70"/>
      <c r="J527" s="37"/>
      <c r="K527" s="70"/>
      <c r="L527" s="70"/>
      <c r="M527" s="70"/>
      <c r="N527" s="70"/>
      <c r="O527" s="70"/>
    </row>
    <row r="528" spans="1:15" x14ac:dyDescent="0.25">
      <c r="A528" s="37"/>
      <c r="B528" s="78"/>
      <c r="C528" s="70"/>
      <c r="D528" s="37"/>
      <c r="E528" s="70"/>
      <c r="F528" s="70"/>
      <c r="G528" s="37"/>
      <c r="H528" s="70"/>
      <c r="I528" s="70"/>
      <c r="J528" s="37"/>
      <c r="K528" s="70"/>
      <c r="L528" s="70"/>
      <c r="M528" s="70"/>
      <c r="N528" s="70"/>
      <c r="O528" s="70"/>
    </row>
    <row r="529" spans="1:15" x14ac:dyDescent="0.25">
      <c r="A529" s="37"/>
      <c r="B529" s="78"/>
      <c r="C529" s="70"/>
      <c r="D529" s="37"/>
      <c r="E529" s="70"/>
      <c r="F529" s="70"/>
      <c r="G529" s="37"/>
      <c r="H529" s="70"/>
      <c r="I529" s="70"/>
      <c r="J529" s="37"/>
      <c r="K529" s="70"/>
      <c r="L529" s="70"/>
      <c r="M529" s="70"/>
      <c r="N529" s="70"/>
      <c r="O529" s="70"/>
    </row>
    <row r="530" spans="1:15" x14ac:dyDescent="0.25">
      <c r="A530" s="37"/>
      <c r="B530" s="78"/>
      <c r="C530" s="70"/>
      <c r="D530" s="37"/>
      <c r="E530" s="70"/>
      <c r="F530" s="70"/>
      <c r="G530" s="37"/>
      <c r="H530" s="70"/>
      <c r="I530" s="70"/>
      <c r="J530" s="37"/>
      <c r="K530" s="70"/>
      <c r="L530" s="70"/>
      <c r="M530" s="70"/>
      <c r="N530" s="70"/>
      <c r="O530" s="70"/>
    </row>
    <row r="531" spans="1:15" x14ac:dyDescent="0.25">
      <c r="A531" s="37"/>
      <c r="B531" s="78"/>
      <c r="C531" s="70"/>
      <c r="D531" s="37"/>
      <c r="E531" s="70"/>
      <c r="F531" s="70"/>
      <c r="G531" s="37"/>
      <c r="H531" s="70"/>
      <c r="I531" s="70"/>
      <c r="J531" s="37"/>
      <c r="K531" s="70"/>
      <c r="L531" s="70"/>
      <c r="M531" s="70"/>
      <c r="N531" s="70"/>
      <c r="O531" s="70"/>
    </row>
    <row r="532" spans="1:15" x14ac:dyDescent="0.25">
      <c r="A532" s="37"/>
      <c r="B532" s="78"/>
      <c r="C532" s="70"/>
      <c r="D532" s="37"/>
      <c r="E532" s="70"/>
      <c r="F532" s="70"/>
      <c r="G532" s="37"/>
      <c r="H532" s="70"/>
      <c r="I532" s="70"/>
      <c r="J532" s="37"/>
      <c r="K532" s="70"/>
      <c r="L532" s="70"/>
      <c r="M532" s="70"/>
      <c r="N532" s="70"/>
      <c r="O532" s="70"/>
    </row>
    <row r="533" spans="1:15" x14ac:dyDescent="0.25">
      <c r="A533" s="37"/>
      <c r="B533" s="78"/>
      <c r="C533" s="70"/>
      <c r="D533" s="37"/>
      <c r="E533" s="70"/>
      <c r="F533" s="70"/>
      <c r="G533" s="37"/>
      <c r="H533" s="70"/>
      <c r="I533" s="70"/>
      <c r="J533" s="37"/>
      <c r="K533" s="70"/>
      <c r="L533" s="70"/>
      <c r="M533" s="70"/>
      <c r="N533" s="70"/>
      <c r="O533" s="70"/>
    </row>
    <row r="534" spans="1:15" x14ac:dyDescent="0.25">
      <c r="A534" s="37"/>
      <c r="B534" s="78"/>
      <c r="C534" s="70"/>
      <c r="D534" s="37"/>
      <c r="E534" s="70"/>
      <c r="F534" s="70"/>
      <c r="G534" s="37"/>
      <c r="H534" s="70"/>
      <c r="I534" s="70"/>
      <c r="J534" s="37"/>
      <c r="K534" s="70"/>
      <c r="L534" s="70"/>
      <c r="M534" s="70"/>
      <c r="N534" s="70"/>
      <c r="O534" s="70"/>
    </row>
    <row r="535" spans="1:15" x14ac:dyDescent="0.25">
      <c r="A535" s="37"/>
      <c r="B535" s="78"/>
      <c r="C535" s="70"/>
      <c r="D535" s="37"/>
      <c r="E535" s="70"/>
      <c r="F535" s="70"/>
      <c r="G535" s="37"/>
      <c r="H535" s="70"/>
      <c r="I535" s="70"/>
      <c r="J535" s="37"/>
      <c r="K535" s="70"/>
      <c r="L535" s="70"/>
      <c r="M535" s="70"/>
      <c r="N535" s="70"/>
      <c r="O535" s="70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"/>
  <sheetViews>
    <sheetView topLeftCell="C5" workbookViewId="0">
      <pane ySplit="3" topLeftCell="A47" activePane="bottomLeft" state="frozen"/>
      <selection activeCell="A5" sqref="A5"/>
      <selection pane="bottomLeft" activeCell="S67" sqref="S67"/>
    </sheetView>
  </sheetViews>
  <sheetFormatPr baseColWidth="10" defaultRowHeight="15" x14ac:dyDescent="0.25"/>
  <cols>
    <col min="1" max="1" width="7.7109375" style="7" customWidth="1"/>
    <col min="2" max="2" width="8.7109375" style="7" customWidth="1"/>
    <col min="3" max="3" width="23.7109375" customWidth="1"/>
    <col min="4" max="4" width="7.7109375" style="7" customWidth="1"/>
    <col min="5" max="5" width="8.7109375" customWidth="1"/>
    <col min="6" max="6" width="23.7109375" customWidth="1"/>
    <col min="7" max="7" width="7.7109375" style="7" customWidth="1"/>
    <col min="8" max="8" width="8.7109375" customWidth="1"/>
    <col min="9" max="9" width="23.7109375" customWidth="1"/>
    <col min="10" max="10" width="7.7109375" style="7" customWidth="1"/>
    <col min="11" max="11" width="9.5703125" customWidth="1"/>
    <col min="12" max="12" width="23.7109375" customWidth="1"/>
    <col min="13" max="13" width="7.71093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08" t="s">
        <v>10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10" t="s">
        <v>15</v>
      </c>
      <c r="M1" s="110"/>
      <c r="N1" s="6">
        <v>2014</v>
      </c>
      <c r="O1" s="5"/>
    </row>
    <row r="2" spans="1:18" ht="15.75" x14ac:dyDescent="0.25">
      <c r="A2" s="8">
        <v>2013</v>
      </c>
    </row>
    <row r="3" spans="1:18" ht="15.75" x14ac:dyDescent="0.25">
      <c r="A3" s="30" t="s">
        <v>7</v>
      </c>
      <c r="C3" s="116" t="s">
        <v>8</v>
      </c>
      <c r="D3" s="116"/>
      <c r="E3" s="28" t="s">
        <v>9</v>
      </c>
      <c r="F3" s="4" t="e">
        <f>#REF!+#REF!+#REF!+#REF!+#REF!</f>
        <v>#REF!</v>
      </c>
      <c r="H3" s="4" t="s">
        <v>3</v>
      </c>
      <c r="I3" s="2" t="e">
        <f>#REF!+#REF!+#REF!+#REF!+#REF!</f>
        <v>#REF!</v>
      </c>
    </row>
    <row r="5" spans="1:18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3" t="s">
        <v>6</v>
      </c>
      <c r="K5" s="123"/>
      <c r="L5" s="123"/>
      <c r="M5" s="122" t="s">
        <v>17</v>
      </c>
      <c r="N5" s="122"/>
      <c r="O5" s="122"/>
      <c r="Q5" s="117" t="s">
        <v>18</v>
      </c>
      <c r="R5" s="117"/>
    </row>
    <row r="6" spans="1:18" x14ac:dyDescent="0.25">
      <c r="A6" s="9">
        <f>SUBTOTAL(3,A8:A121)</f>
        <v>74</v>
      </c>
      <c r="B6" s="9">
        <f>SUBTOTAL(9,B8:B121)</f>
        <v>35830</v>
      </c>
      <c r="C6" s="47">
        <v>42253</v>
      </c>
      <c r="D6" s="9">
        <f>SUBTOTAL(3,D8:D120)</f>
        <v>34</v>
      </c>
      <c r="E6" s="1">
        <f>SUBTOTAL(9,E8:E126)</f>
        <v>18080</v>
      </c>
      <c r="F6" s="50">
        <v>42260</v>
      </c>
      <c r="G6" s="9">
        <f>SUBTOTAL(3,G8:G120)</f>
        <v>36</v>
      </c>
      <c r="H6" s="1">
        <f>SUBTOTAL(9,H8:H126)</f>
        <v>17330</v>
      </c>
      <c r="I6" s="51">
        <v>42267</v>
      </c>
      <c r="J6" s="9">
        <f>SUBTOTAL(3,J8:J111)</f>
        <v>40</v>
      </c>
      <c r="K6" s="1">
        <f>SUBTOTAL(9,K8:K111)</f>
        <v>44140</v>
      </c>
      <c r="L6" s="75">
        <v>42274</v>
      </c>
      <c r="M6" s="1">
        <f>SUBTOTAL(3,M8:M120)</f>
        <v>0</v>
      </c>
      <c r="N6" s="1">
        <f>SUBTOTAL(9,N8:N120)</f>
        <v>0</v>
      </c>
      <c r="O6" s="97"/>
      <c r="Q6" s="42">
        <f>+A6+D6+G6+J6+M6</f>
        <v>184</v>
      </c>
      <c r="R6" s="41">
        <f>+B6+E6+H6+K6+N6</f>
        <v>115380</v>
      </c>
    </row>
    <row r="7" spans="1:18" x14ac:dyDescent="0.25">
      <c r="A7" s="58" t="s">
        <v>1</v>
      </c>
      <c r="B7" s="58" t="s">
        <v>3</v>
      </c>
      <c r="C7" s="58" t="s">
        <v>2</v>
      </c>
      <c r="D7" s="59" t="s">
        <v>1</v>
      </c>
      <c r="E7" s="59" t="s">
        <v>3</v>
      </c>
      <c r="F7" s="59" t="s">
        <v>2</v>
      </c>
      <c r="G7" s="60" t="s">
        <v>1</v>
      </c>
      <c r="H7" s="60" t="s">
        <v>3</v>
      </c>
      <c r="I7" s="60" t="s">
        <v>2</v>
      </c>
      <c r="J7" s="72" t="s">
        <v>1</v>
      </c>
      <c r="K7" s="72" t="s">
        <v>3</v>
      </c>
      <c r="L7" s="72" t="s">
        <v>2</v>
      </c>
      <c r="M7" s="53" t="s">
        <v>1</v>
      </c>
      <c r="N7" s="53" t="s">
        <v>3</v>
      </c>
      <c r="O7" s="53" t="s">
        <v>2</v>
      </c>
      <c r="P7" s="39"/>
      <c r="Q7" s="54" t="s">
        <v>9</v>
      </c>
      <c r="R7" s="54" t="s">
        <v>3</v>
      </c>
    </row>
    <row r="8" spans="1:18" x14ac:dyDescent="0.25">
      <c r="A8" s="25">
        <v>10055</v>
      </c>
      <c r="B8" s="61">
        <v>100</v>
      </c>
      <c r="C8" s="26"/>
      <c r="D8" s="20">
        <v>10129</v>
      </c>
      <c r="E8" s="82">
        <v>200</v>
      </c>
      <c r="F8" s="21" t="s">
        <v>395</v>
      </c>
      <c r="G8" s="17">
        <v>10163</v>
      </c>
      <c r="H8" s="79">
        <v>160</v>
      </c>
      <c r="I8" s="18" t="s">
        <v>23</v>
      </c>
      <c r="J8" s="73">
        <v>10199</v>
      </c>
      <c r="K8" s="83">
        <v>400</v>
      </c>
      <c r="L8" s="74"/>
      <c r="M8" s="23"/>
      <c r="N8" s="23"/>
      <c r="O8" s="23"/>
      <c r="Q8" s="44"/>
      <c r="R8" s="44"/>
    </row>
    <row r="9" spans="1:18" x14ac:dyDescent="0.25">
      <c r="A9" s="25">
        <v>10056</v>
      </c>
      <c r="B9" s="61"/>
      <c r="C9" s="26" t="s">
        <v>44</v>
      </c>
      <c r="D9" s="20">
        <v>10130</v>
      </c>
      <c r="E9" s="82">
        <v>600</v>
      </c>
      <c r="F9" s="21" t="s">
        <v>354</v>
      </c>
      <c r="G9" s="17"/>
      <c r="H9" s="79"/>
      <c r="I9" s="18" t="s">
        <v>406</v>
      </c>
      <c r="J9" s="73">
        <v>10200</v>
      </c>
      <c r="K9" s="83"/>
      <c r="L9" s="74" t="s">
        <v>414</v>
      </c>
      <c r="M9" s="23"/>
      <c r="N9" s="23"/>
      <c r="O9" s="23"/>
    </row>
    <row r="10" spans="1:18" x14ac:dyDescent="0.25">
      <c r="A10" s="25">
        <v>10057</v>
      </c>
      <c r="B10" s="61">
        <v>400</v>
      </c>
      <c r="C10" s="26"/>
      <c r="D10" s="20">
        <v>10131</v>
      </c>
      <c r="E10" s="82">
        <v>400</v>
      </c>
      <c r="F10" s="21"/>
      <c r="G10" s="17">
        <v>10164</v>
      </c>
      <c r="H10" s="79">
        <v>600</v>
      </c>
      <c r="I10" s="18" t="s">
        <v>347</v>
      </c>
      <c r="J10" s="73">
        <v>10201</v>
      </c>
      <c r="K10" s="83"/>
      <c r="L10" s="74" t="s">
        <v>414</v>
      </c>
      <c r="M10" s="23"/>
      <c r="N10" s="23"/>
      <c r="O10" s="23"/>
    </row>
    <row r="11" spans="1:18" x14ac:dyDescent="0.25">
      <c r="A11" s="25">
        <v>10058</v>
      </c>
      <c r="B11" s="61">
        <v>300</v>
      </c>
      <c r="C11" s="26" t="s">
        <v>354</v>
      </c>
      <c r="D11" s="20">
        <v>10132</v>
      </c>
      <c r="E11" s="82">
        <v>1600</v>
      </c>
      <c r="F11" s="21" t="s">
        <v>396</v>
      </c>
      <c r="G11" s="17"/>
      <c r="H11" s="79"/>
      <c r="I11" s="18" t="s">
        <v>33</v>
      </c>
      <c r="J11" s="73">
        <v>10202</v>
      </c>
      <c r="K11" s="83"/>
      <c r="L11" s="74" t="s">
        <v>414</v>
      </c>
      <c r="M11" s="23"/>
      <c r="N11" s="23"/>
      <c r="O11" s="23"/>
    </row>
    <row r="12" spans="1:18" x14ac:dyDescent="0.25">
      <c r="A12" s="25">
        <v>10059</v>
      </c>
      <c r="B12" s="61">
        <v>310</v>
      </c>
      <c r="C12" s="26" t="s">
        <v>383</v>
      </c>
      <c r="D12" s="20"/>
      <c r="E12" s="82"/>
      <c r="F12" s="21" t="s">
        <v>25</v>
      </c>
      <c r="G12" s="17">
        <v>10165</v>
      </c>
      <c r="H12" s="79">
        <v>160</v>
      </c>
      <c r="I12" s="18" t="s">
        <v>23</v>
      </c>
      <c r="J12" s="73">
        <v>10203</v>
      </c>
      <c r="K12" s="83">
        <v>320</v>
      </c>
      <c r="L12" s="74" t="s">
        <v>379</v>
      </c>
      <c r="M12" s="23"/>
      <c r="N12" s="23"/>
      <c r="O12" s="23"/>
    </row>
    <row r="13" spans="1:18" x14ac:dyDescent="0.25">
      <c r="A13" s="25"/>
      <c r="B13" s="61"/>
      <c r="C13" s="26" t="s">
        <v>103</v>
      </c>
      <c r="D13" s="20">
        <v>10133</v>
      </c>
      <c r="E13" s="82"/>
      <c r="F13" s="21" t="s">
        <v>73</v>
      </c>
      <c r="G13" s="17">
        <v>10166</v>
      </c>
      <c r="H13" s="79">
        <v>160</v>
      </c>
      <c r="I13" s="18" t="s">
        <v>23</v>
      </c>
      <c r="J13" s="73"/>
      <c r="K13" s="83"/>
      <c r="L13" s="74" t="s">
        <v>415</v>
      </c>
      <c r="M13" s="23"/>
      <c r="N13" s="23"/>
      <c r="O13" s="23"/>
    </row>
    <row r="14" spans="1:18" x14ac:dyDescent="0.25">
      <c r="A14" s="25"/>
      <c r="B14" s="61"/>
      <c r="C14" s="26" t="s">
        <v>384</v>
      </c>
      <c r="D14" s="20">
        <v>10134</v>
      </c>
      <c r="E14" s="82">
        <v>1040</v>
      </c>
      <c r="F14" s="21" t="s">
        <v>397</v>
      </c>
      <c r="G14" s="17"/>
      <c r="H14" s="79"/>
      <c r="I14" s="18" t="s">
        <v>405</v>
      </c>
      <c r="J14" s="73">
        <v>10204</v>
      </c>
      <c r="K14" s="83">
        <v>600</v>
      </c>
      <c r="L14" s="74" t="s">
        <v>366</v>
      </c>
      <c r="M14" s="23"/>
      <c r="N14" s="23"/>
      <c r="O14" s="43"/>
    </row>
    <row r="15" spans="1:18" x14ac:dyDescent="0.25">
      <c r="A15" s="25">
        <v>10060</v>
      </c>
      <c r="B15" s="61">
        <v>150</v>
      </c>
      <c r="C15" s="26"/>
      <c r="D15" s="20"/>
      <c r="E15" s="82"/>
      <c r="F15" s="21" t="s">
        <v>398</v>
      </c>
      <c r="G15" s="17">
        <v>10167</v>
      </c>
      <c r="H15" s="79">
        <v>200</v>
      </c>
      <c r="I15" s="18" t="s">
        <v>222</v>
      </c>
      <c r="J15" s="73"/>
      <c r="K15" s="83"/>
      <c r="L15" s="74" t="s">
        <v>33</v>
      </c>
      <c r="M15" s="23"/>
      <c r="N15" s="23"/>
      <c r="O15" s="23"/>
    </row>
    <row r="16" spans="1:18" x14ac:dyDescent="0.25">
      <c r="A16" s="25">
        <v>10061</v>
      </c>
      <c r="B16" s="61">
        <v>400</v>
      </c>
      <c r="C16" s="26"/>
      <c r="D16" s="20"/>
      <c r="E16" s="82"/>
      <c r="F16" s="21" t="s">
        <v>399</v>
      </c>
      <c r="G16" s="17">
        <v>10168</v>
      </c>
      <c r="H16" s="79">
        <v>400</v>
      </c>
      <c r="I16" s="18"/>
      <c r="J16" s="73">
        <v>10205</v>
      </c>
      <c r="K16" s="83">
        <v>300</v>
      </c>
      <c r="L16" s="74"/>
      <c r="M16" s="23"/>
      <c r="N16" s="23"/>
      <c r="O16" s="23"/>
    </row>
    <row r="17" spans="1:15" x14ac:dyDescent="0.25">
      <c r="A17" s="25">
        <v>10062</v>
      </c>
      <c r="B17" s="61">
        <v>160</v>
      </c>
      <c r="C17" s="26" t="s">
        <v>385</v>
      </c>
      <c r="D17" s="20">
        <v>10135</v>
      </c>
      <c r="E17" s="82">
        <v>320</v>
      </c>
      <c r="F17" s="21" t="s">
        <v>400</v>
      </c>
      <c r="G17" s="17">
        <v>10169</v>
      </c>
      <c r="H17" s="79">
        <v>160</v>
      </c>
      <c r="I17" s="18" t="s">
        <v>49</v>
      </c>
      <c r="J17" s="73">
        <v>10206</v>
      </c>
      <c r="K17" s="83">
        <v>1200</v>
      </c>
      <c r="L17" s="74" t="s">
        <v>416</v>
      </c>
      <c r="M17" s="23"/>
      <c r="N17" s="23"/>
      <c r="O17" s="23"/>
    </row>
    <row r="18" spans="1:15" x14ac:dyDescent="0.25">
      <c r="A18" s="25"/>
      <c r="B18" s="61"/>
      <c r="C18" s="26" t="s">
        <v>386</v>
      </c>
      <c r="D18" s="20"/>
      <c r="E18" s="82"/>
      <c r="F18" s="45" t="s">
        <v>401</v>
      </c>
      <c r="G18" s="17">
        <v>10170</v>
      </c>
      <c r="H18" s="79">
        <v>800</v>
      </c>
      <c r="I18" s="18" t="s">
        <v>347</v>
      </c>
      <c r="J18" s="73"/>
      <c r="K18" s="83"/>
      <c r="L18" s="74" t="s">
        <v>25</v>
      </c>
      <c r="M18" s="23"/>
      <c r="N18" s="23"/>
      <c r="O18" s="23"/>
    </row>
    <row r="19" spans="1:15" x14ac:dyDescent="0.25">
      <c r="A19" s="25">
        <v>10063</v>
      </c>
      <c r="B19" s="61">
        <v>400</v>
      </c>
      <c r="C19" s="26" t="s">
        <v>324</v>
      </c>
      <c r="D19" s="20">
        <v>10136</v>
      </c>
      <c r="E19" s="82">
        <v>400</v>
      </c>
      <c r="F19" s="21"/>
      <c r="G19" s="17"/>
      <c r="H19" s="79"/>
      <c r="I19" s="18" t="s">
        <v>25</v>
      </c>
      <c r="J19" s="73">
        <v>10207</v>
      </c>
      <c r="K19" s="83">
        <v>560</v>
      </c>
      <c r="L19" s="74" t="s">
        <v>378</v>
      </c>
      <c r="M19" s="23"/>
      <c r="N19" s="23"/>
      <c r="O19" s="23"/>
    </row>
    <row r="20" spans="1:15" x14ac:dyDescent="0.25">
      <c r="A20" s="25"/>
      <c r="B20" s="61"/>
      <c r="C20" s="26" t="s">
        <v>27</v>
      </c>
      <c r="D20" s="20">
        <v>10137</v>
      </c>
      <c r="E20" s="82">
        <v>400</v>
      </c>
      <c r="F20" s="21"/>
      <c r="G20" s="17">
        <v>10171</v>
      </c>
      <c r="H20" s="79">
        <v>400</v>
      </c>
      <c r="I20" s="18"/>
      <c r="J20" s="73"/>
      <c r="K20" s="83"/>
      <c r="L20" s="74" t="s">
        <v>429</v>
      </c>
      <c r="M20" s="23"/>
      <c r="N20" s="23"/>
      <c r="O20" s="23"/>
    </row>
    <row r="21" spans="1:15" x14ac:dyDescent="0.25">
      <c r="A21" s="25">
        <v>10064</v>
      </c>
      <c r="B21" s="61">
        <v>400</v>
      </c>
      <c r="C21" s="26"/>
      <c r="D21" s="20">
        <v>10138</v>
      </c>
      <c r="E21" s="82">
        <v>400</v>
      </c>
      <c r="F21" s="21"/>
      <c r="G21" s="17">
        <v>10172</v>
      </c>
      <c r="H21" s="79">
        <v>600</v>
      </c>
      <c r="I21" s="18" t="s">
        <v>303</v>
      </c>
      <c r="J21" s="73">
        <v>10208</v>
      </c>
      <c r="K21" s="83">
        <v>400</v>
      </c>
      <c r="L21" s="74" t="s">
        <v>417</v>
      </c>
      <c r="M21" s="23"/>
      <c r="N21" s="23"/>
      <c r="O21" s="23"/>
    </row>
    <row r="22" spans="1:15" x14ac:dyDescent="0.25">
      <c r="A22" s="25">
        <v>10065</v>
      </c>
      <c r="B22" s="61">
        <v>700</v>
      </c>
      <c r="C22" s="26" t="s">
        <v>362</v>
      </c>
      <c r="D22" s="20">
        <v>10139</v>
      </c>
      <c r="E22" s="82">
        <v>1200</v>
      </c>
      <c r="F22" s="21" t="s">
        <v>349</v>
      </c>
      <c r="G22" s="17"/>
      <c r="H22" s="79"/>
      <c r="I22" s="18" t="s">
        <v>33</v>
      </c>
      <c r="J22" s="73">
        <v>10209</v>
      </c>
      <c r="K22" s="83">
        <v>200</v>
      </c>
      <c r="L22" s="74"/>
      <c r="M22" s="23"/>
      <c r="N22" s="23"/>
      <c r="O22" s="23"/>
    </row>
    <row r="23" spans="1:15" x14ac:dyDescent="0.25">
      <c r="A23" s="25"/>
      <c r="B23" s="61"/>
      <c r="C23" s="26" t="s">
        <v>86</v>
      </c>
      <c r="D23" s="20"/>
      <c r="E23" s="82"/>
      <c r="F23" s="21" t="s">
        <v>25</v>
      </c>
      <c r="G23" s="17">
        <v>10173</v>
      </c>
      <c r="H23" s="79">
        <v>1200</v>
      </c>
      <c r="I23" s="18" t="s">
        <v>344</v>
      </c>
      <c r="J23" s="73">
        <v>10210</v>
      </c>
      <c r="K23" s="83">
        <v>800</v>
      </c>
      <c r="L23" s="74" t="s">
        <v>353</v>
      </c>
      <c r="M23" s="23"/>
      <c r="N23" s="23"/>
      <c r="O23" s="23"/>
    </row>
    <row r="24" spans="1:15" x14ac:dyDescent="0.25">
      <c r="A24" s="25">
        <v>10066</v>
      </c>
      <c r="B24" s="61">
        <v>700</v>
      </c>
      <c r="C24" s="26" t="s">
        <v>362</v>
      </c>
      <c r="D24" s="20">
        <v>10140</v>
      </c>
      <c r="E24" s="82">
        <v>400</v>
      </c>
      <c r="F24" s="21"/>
      <c r="G24" s="17"/>
      <c r="H24" s="79"/>
      <c r="I24" s="18" t="s">
        <v>25</v>
      </c>
      <c r="J24" s="73"/>
      <c r="K24" s="83"/>
      <c r="L24" s="74" t="s">
        <v>25</v>
      </c>
      <c r="M24" s="23"/>
      <c r="N24" s="23"/>
      <c r="O24" s="23"/>
    </row>
    <row r="25" spans="1:15" x14ac:dyDescent="0.25">
      <c r="A25" s="25"/>
      <c r="B25" s="61"/>
      <c r="C25" s="26" t="s">
        <v>86</v>
      </c>
      <c r="D25" s="20">
        <v>10141</v>
      </c>
      <c r="E25" s="82">
        <v>400</v>
      </c>
      <c r="F25" s="21"/>
      <c r="G25" s="17">
        <v>10174</v>
      </c>
      <c r="H25" s="79">
        <v>160</v>
      </c>
      <c r="I25" s="18" t="s">
        <v>23</v>
      </c>
      <c r="J25" s="73">
        <v>10211</v>
      </c>
      <c r="K25" s="83">
        <v>400</v>
      </c>
      <c r="L25" s="74"/>
      <c r="M25" s="23"/>
      <c r="N25" s="23"/>
      <c r="O25" s="23"/>
    </row>
    <row r="26" spans="1:15" x14ac:dyDescent="0.25">
      <c r="A26" s="25">
        <v>10067</v>
      </c>
      <c r="B26" s="61">
        <v>400</v>
      </c>
      <c r="C26" s="26"/>
      <c r="D26" s="20">
        <v>10142</v>
      </c>
      <c r="E26" s="82">
        <v>160</v>
      </c>
      <c r="F26" s="21" t="s">
        <v>402</v>
      </c>
      <c r="G26" s="17">
        <v>10175</v>
      </c>
      <c r="H26" s="79">
        <v>1200</v>
      </c>
      <c r="I26" s="18" t="s">
        <v>344</v>
      </c>
      <c r="J26" s="73">
        <v>10212</v>
      </c>
      <c r="K26" s="83">
        <v>200</v>
      </c>
      <c r="L26" s="74"/>
      <c r="M26" s="23"/>
      <c r="N26" s="23"/>
      <c r="O26" s="23"/>
    </row>
    <row r="27" spans="1:15" x14ac:dyDescent="0.25">
      <c r="A27" s="25">
        <v>10068</v>
      </c>
      <c r="B27" s="61">
        <v>400</v>
      </c>
      <c r="C27" s="26" t="s">
        <v>354</v>
      </c>
      <c r="D27" s="20">
        <v>10143</v>
      </c>
      <c r="E27" s="82">
        <v>1200</v>
      </c>
      <c r="F27" s="21" t="s">
        <v>349</v>
      </c>
      <c r="G27" s="17"/>
      <c r="H27" s="79"/>
      <c r="I27" s="18" t="s">
        <v>25</v>
      </c>
      <c r="J27" s="73">
        <v>10213</v>
      </c>
      <c r="K27" s="83">
        <v>600</v>
      </c>
      <c r="L27" s="74" t="s">
        <v>324</v>
      </c>
      <c r="M27" s="23"/>
      <c r="N27" s="23"/>
      <c r="O27" s="43"/>
    </row>
    <row r="28" spans="1:15" x14ac:dyDescent="0.25">
      <c r="A28" s="25">
        <v>10069</v>
      </c>
      <c r="B28" s="61">
        <v>400</v>
      </c>
      <c r="C28" s="26"/>
      <c r="D28" s="20"/>
      <c r="E28" s="82"/>
      <c r="F28" s="21" t="s">
        <v>25</v>
      </c>
      <c r="G28" s="17">
        <v>10176</v>
      </c>
      <c r="H28" s="79">
        <v>600</v>
      </c>
      <c r="I28" s="18" t="s">
        <v>347</v>
      </c>
      <c r="J28" s="73"/>
      <c r="K28" s="83"/>
      <c r="L28" s="74" t="s">
        <v>33</v>
      </c>
      <c r="M28" s="23"/>
      <c r="N28" s="23"/>
      <c r="O28" s="23"/>
    </row>
    <row r="29" spans="1:15" x14ac:dyDescent="0.25">
      <c r="A29" s="25">
        <v>10070</v>
      </c>
      <c r="B29" s="61">
        <v>400</v>
      </c>
      <c r="C29" s="26"/>
      <c r="D29" s="20">
        <v>10144</v>
      </c>
      <c r="E29" s="82">
        <v>400</v>
      </c>
      <c r="F29" s="21"/>
      <c r="G29" s="17"/>
      <c r="H29" s="79"/>
      <c r="I29" s="18" t="s">
        <v>33</v>
      </c>
      <c r="J29" s="73">
        <v>10214</v>
      </c>
      <c r="K29" s="83">
        <v>800</v>
      </c>
      <c r="L29" s="74" t="s">
        <v>324</v>
      </c>
      <c r="M29" s="23"/>
      <c r="N29" s="23"/>
      <c r="O29" s="23"/>
    </row>
    <row r="30" spans="1:15" x14ac:dyDescent="0.25">
      <c r="A30" s="25">
        <v>10071</v>
      </c>
      <c r="B30" s="61">
        <v>400</v>
      </c>
      <c r="C30" s="26"/>
      <c r="D30" s="20">
        <v>10145</v>
      </c>
      <c r="E30" s="82">
        <v>350</v>
      </c>
      <c r="F30" s="21"/>
      <c r="G30" s="17">
        <v>10177</v>
      </c>
      <c r="H30" s="79">
        <v>300</v>
      </c>
      <c r="I30" s="18"/>
      <c r="J30" s="73"/>
      <c r="K30" s="83"/>
      <c r="L30" s="74" t="s">
        <v>25</v>
      </c>
      <c r="M30" s="23"/>
      <c r="N30" s="23"/>
      <c r="O30" s="23"/>
    </row>
    <row r="31" spans="1:15" x14ac:dyDescent="0.25">
      <c r="A31" s="25">
        <v>10072</v>
      </c>
      <c r="B31" s="61">
        <v>125</v>
      </c>
      <c r="C31" s="26"/>
      <c r="D31" s="20">
        <v>10146</v>
      </c>
      <c r="E31" s="82">
        <v>1200</v>
      </c>
      <c r="F31" s="21" t="s">
        <v>349</v>
      </c>
      <c r="G31" s="17">
        <v>10178</v>
      </c>
      <c r="H31" s="79">
        <v>600</v>
      </c>
      <c r="I31" s="18" t="s">
        <v>349</v>
      </c>
      <c r="J31" s="73">
        <v>10215</v>
      </c>
      <c r="K31" s="83">
        <v>460</v>
      </c>
      <c r="L31" s="74" t="s">
        <v>418</v>
      </c>
      <c r="M31" s="23"/>
      <c r="N31" s="23"/>
      <c r="O31" s="23"/>
    </row>
    <row r="32" spans="1:15" x14ac:dyDescent="0.25">
      <c r="A32" s="25">
        <v>10073</v>
      </c>
      <c r="B32" s="61">
        <v>300</v>
      </c>
      <c r="C32" s="26"/>
      <c r="D32" s="20"/>
      <c r="E32" s="82"/>
      <c r="F32" s="21" t="s">
        <v>25</v>
      </c>
      <c r="G32" s="17"/>
      <c r="H32" s="79"/>
      <c r="I32" s="18" t="s">
        <v>407</v>
      </c>
      <c r="J32" s="73">
        <v>10216</v>
      </c>
      <c r="K32" s="83">
        <v>400</v>
      </c>
      <c r="L32" s="74"/>
      <c r="M32" s="23"/>
      <c r="N32" s="23"/>
      <c r="O32" s="23"/>
    </row>
    <row r="33" spans="1:15" x14ac:dyDescent="0.25">
      <c r="A33" s="25">
        <v>10074</v>
      </c>
      <c r="B33" s="61">
        <v>460</v>
      </c>
      <c r="C33" s="26" t="s">
        <v>387</v>
      </c>
      <c r="D33" s="20">
        <v>10147</v>
      </c>
      <c r="E33" s="82">
        <v>400</v>
      </c>
      <c r="F33" s="21"/>
      <c r="G33" s="17">
        <v>10179</v>
      </c>
      <c r="H33" s="79">
        <v>800</v>
      </c>
      <c r="I33" s="18" t="s">
        <v>353</v>
      </c>
      <c r="J33" s="73">
        <v>10217</v>
      </c>
      <c r="K33" s="83">
        <v>300</v>
      </c>
      <c r="L33" s="74"/>
      <c r="M33" s="23"/>
      <c r="N33" s="23"/>
      <c r="O33" s="23"/>
    </row>
    <row r="34" spans="1:15" x14ac:dyDescent="0.25">
      <c r="A34" s="25"/>
      <c r="B34" s="61"/>
      <c r="C34" s="26" t="s">
        <v>53</v>
      </c>
      <c r="D34" s="20">
        <v>10148</v>
      </c>
      <c r="E34" s="82">
        <v>400</v>
      </c>
      <c r="F34" s="21"/>
      <c r="G34" s="17"/>
      <c r="H34" s="79"/>
      <c r="I34" s="18" t="s">
        <v>25</v>
      </c>
      <c r="J34" s="73">
        <v>10218</v>
      </c>
      <c r="K34" s="83">
        <v>560</v>
      </c>
      <c r="L34" s="74" t="s">
        <v>419</v>
      </c>
      <c r="M34" s="23"/>
      <c r="N34" s="23"/>
      <c r="O34" s="43"/>
    </row>
    <row r="35" spans="1:15" x14ac:dyDescent="0.25">
      <c r="A35" s="25"/>
      <c r="B35" s="61"/>
      <c r="C35" s="26" t="s">
        <v>388</v>
      </c>
      <c r="D35" s="20">
        <v>10149</v>
      </c>
      <c r="E35" s="82">
        <v>150</v>
      </c>
      <c r="F35" s="21"/>
      <c r="G35" s="17">
        <v>10180</v>
      </c>
      <c r="H35" s="79">
        <v>800</v>
      </c>
      <c r="I35" s="18" t="s">
        <v>366</v>
      </c>
      <c r="J35" s="73"/>
      <c r="K35" s="83"/>
      <c r="L35" s="74" t="s">
        <v>420</v>
      </c>
      <c r="M35" s="23"/>
      <c r="N35" s="23"/>
      <c r="O35" s="23"/>
    </row>
    <row r="36" spans="1:15" x14ac:dyDescent="0.25">
      <c r="A36" s="25">
        <v>10075</v>
      </c>
      <c r="B36" s="61">
        <v>600</v>
      </c>
      <c r="C36" s="26" t="s">
        <v>347</v>
      </c>
      <c r="D36" s="20">
        <v>10150</v>
      </c>
      <c r="E36" s="82">
        <v>900</v>
      </c>
      <c r="F36" s="21" t="s">
        <v>259</v>
      </c>
      <c r="G36" s="17"/>
      <c r="H36" s="79"/>
      <c r="I36" s="18" t="s">
        <v>25</v>
      </c>
      <c r="J36" s="73">
        <v>10219</v>
      </c>
      <c r="K36" s="83">
        <v>300</v>
      </c>
      <c r="L36" s="74"/>
      <c r="M36" s="23"/>
      <c r="N36" s="23"/>
      <c r="O36" s="23"/>
    </row>
    <row r="37" spans="1:15" x14ac:dyDescent="0.25">
      <c r="A37" s="25"/>
      <c r="B37" s="61"/>
      <c r="C37" s="26" t="s">
        <v>33</v>
      </c>
      <c r="D37" s="20"/>
      <c r="E37" s="82"/>
      <c r="F37" s="21" t="s">
        <v>33</v>
      </c>
      <c r="G37" s="17">
        <v>10181</v>
      </c>
      <c r="H37" s="79">
        <v>300</v>
      </c>
      <c r="I37" s="18"/>
      <c r="J37" s="73">
        <v>10220</v>
      </c>
      <c r="K37" s="83">
        <v>400</v>
      </c>
      <c r="L37" s="74" t="s">
        <v>320</v>
      </c>
      <c r="M37" s="23"/>
      <c r="N37" s="23"/>
      <c r="O37" s="23"/>
    </row>
    <row r="38" spans="1:15" x14ac:dyDescent="0.25">
      <c r="A38" s="25">
        <v>10076</v>
      </c>
      <c r="B38" s="61">
        <v>600</v>
      </c>
      <c r="C38" s="26" t="s">
        <v>324</v>
      </c>
      <c r="D38" s="20">
        <v>10151</v>
      </c>
      <c r="E38" s="82">
        <v>160</v>
      </c>
      <c r="F38" s="21" t="s">
        <v>49</v>
      </c>
      <c r="G38" s="17">
        <v>10182</v>
      </c>
      <c r="H38" s="79">
        <v>150</v>
      </c>
      <c r="I38" s="18"/>
      <c r="J38" s="73">
        <v>10221</v>
      </c>
      <c r="K38" s="83">
        <v>400</v>
      </c>
      <c r="L38" s="74"/>
      <c r="M38" s="23"/>
      <c r="N38" s="23"/>
      <c r="O38" s="23"/>
    </row>
    <row r="39" spans="1:15" x14ac:dyDescent="0.25">
      <c r="A39" s="25"/>
      <c r="B39" s="61"/>
      <c r="C39" s="26" t="s">
        <v>33</v>
      </c>
      <c r="D39" s="20">
        <v>10152</v>
      </c>
      <c r="E39" s="82">
        <v>400</v>
      </c>
      <c r="F39" s="21" t="s">
        <v>403</v>
      </c>
      <c r="G39" s="17">
        <v>10183</v>
      </c>
      <c r="H39" s="79">
        <v>400</v>
      </c>
      <c r="I39" s="18" t="s">
        <v>354</v>
      </c>
      <c r="J39" s="73">
        <v>10222</v>
      </c>
      <c r="K39" s="83">
        <v>400</v>
      </c>
      <c r="L39" s="74" t="s">
        <v>421</v>
      </c>
      <c r="M39" s="23"/>
      <c r="N39" s="23"/>
      <c r="O39" s="23"/>
    </row>
    <row r="40" spans="1:15" x14ac:dyDescent="0.25">
      <c r="A40" s="25">
        <v>10077</v>
      </c>
      <c r="B40" s="61">
        <v>400</v>
      </c>
      <c r="C40" s="26"/>
      <c r="D40" s="20">
        <v>10153</v>
      </c>
      <c r="E40" s="82">
        <v>800</v>
      </c>
      <c r="F40" s="21" t="s">
        <v>347</v>
      </c>
      <c r="G40" s="17">
        <v>10184</v>
      </c>
      <c r="H40" s="79">
        <v>400</v>
      </c>
      <c r="I40" s="18"/>
      <c r="J40" s="73">
        <v>10223</v>
      </c>
      <c r="K40" s="83">
        <v>400</v>
      </c>
      <c r="L40" s="74" t="s">
        <v>417</v>
      </c>
      <c r="M40" s="23"/>
      <c r="N40" s="23"/>
      <c r="O40" s="23"/>
    </row>
    <row r="41" spans="1:15" x14ac:dyDescent="0.25">
      <c r="A41" s="25">
        <v>10078</v>
      </c>
      <c r="B41" s="61">
        <v>125</v>
      </c>
      <c r="C41" s="26" t="s">
        <v>354</v>
      </c>
      <c r="D41" s="20"/>
      <c r="E41" s="82"/>
      <c r="F41" s="21" t="s">
        <v>25</v>
      </c>
      <c r="G41" s="17">
        <v>10185</v>
      </c>
      <c r="H41" s="79">
        <v>400</v>
      </c>
      <c r="I41" s="18"/>
      <c r="J41" s="73">
        <v>10224</v>
      </c>
      <c r="K41" s="83">
        <v>400</v>
      </c>
      <c r="L41" s="74" t="s">
        <v>353</v>
      </c>
      <c r="M41" s="23"/>
      <c r="N41" s="23"/>
      <c r="O41" s="23"/>
    </row>
    <row r="42" spans="1:15" x14ac:dyDescent="0.25">
      <c r="A42" s="25">
        <v>10079</v>
      </c>
      <c r="B42" s="61">
        <v>300</v>
      </c>
      <c r="C42" s="26" t="s">
        <v>354</v>
      </c>
      <c r="D42" s="20">
        <v>10154</v>
      </c>
      <c r="E42" s="82">
        <v>150</v>
      </c>
      <c r="F42" s="21"/>
      <c r="G42" s="17">
        <v>10186</v>
      </c>
      <c r="H42" s="79">
        <v>160</v>
      </c>
      <c r="I42" s="18" t="s">
        <v>23</v>
      </c>
      <c r="J42" s="73"/>
      <c r="K42" s="83"/>
      <c r="L42" s="74" t="s">
        <v>27</v>
      </c>
      <c r="M42" s="23"/>
      <c r="N42" s="23"/>
      <c r="O42" s="23"/>
    </row>
    <row r="43" spans="1:15" x14ac:dyDescent="0.25">
      <c r="A43" s="25">
        <v>10080</v>
      </c>
      <c r="B43" s="61">
        <v>400</v>
      </c>
      <c r="C43" s="26"/>
      <c r="D43" s="20">
        <v>10155</v>
      </c>
      <c r="E43" s="82">
        <v>200</v>
      </c>
      <c r="F43" s="21"/>
      <c r="G43" s="17"/>
      <c r="H43" s="79"/>
      <c r="I43" s="18" t="s">
        <v>408</v>
      </c>
      <c r="J43" s="73">
        <v>10225</v>
      </c>
      <c r="K43" s="83">
        <v>350</v>
      </c>
      <c r="L43" s="74"/>
      <c r="M43" s="23"/>
      <c r="N43" s="23"/>
      <c r="O43" s="23"/>
    </row>
    <row r="44" spans="1:15" x14ac:dyDescent="0.25">
      <c r="A44" s="25">
        <v>10081</v>
      </c>
      <c r="B44" s="61">
        <v>400</v>
      </c>
      <c r="C44" s="26" t="s">
        <v>354</v>
      </c>
      <c r="D44" s="20">
        <v>10156</v>
      </c>
      <c r="E44" s="82">
        <v>300</v>
      </c>
      <c r="F44" s="21"/>
      <c r="G44" s="17">
        <v>10187</v>
      </c>
      <c r="H44" s="79">
        <v>800</v>
      </c>
      <c r="I44" s="18" t="s">
        <v>366</v>
      </c>
      <c r="J44" s="73">
        <v>10226</v>
      </c>
      <c r="K44" s="83">
        <v>400</v>
      </c>
      <c r="L44" s="74" t="s">
        <v>320</v>
      </c>
      <c r="M44" s="23"/>
      <c r="N44" s="23"/>
      <c r="O44" s="23"/>
    </row>
    <row r="45" spans="1:15" x14ac:dyDescent="0.25">
      <c r="A45" s="25">
        <v>10082</v>
      </c>
      <c r="B45" s="61">
        <v>400</v>
      </c>
      <c r="C45" s="26"/>
      <c r="D45" s="20">
        <v>10157</v>
      </c>
      <c r="E45" s="82">
        <v>300</v>
      </c>
      <c r="F45" s="21"/>
      <c r="G45" s="17"/>
      <c r="H45" s="79"/>
      <c r="I45" s="18" t="s">
        <v>25</v>
      </c>
      <c r="J45" s="73">
        <v>10227</v>
      </c>
      <c r="K45" s="83">
        <v>300</v>
      </c>
      <c r="L45" s="74" t="s">
        <v>378</v>
      </c>
      <c r="M45" s="23"/>
      <c r="N45" s="23"/>
      <c r="O45" s="23"/>
    </row>
    <row r="46" spans="1:15" x14ac:dyDescent="0.25">
      <c r="A46" s="25">
        <v>10083</v>
      </c>
      <c r="B46" s="61">
        <v>800</v>
      </c>
      <c r="C46" s="26" t="s">
        <v>347</v>
      </c>
      <c r="D46" s="20">
        <v>10158</v>
      </c>
      <c r="E46" s="82">
        <v>800</v>
      </c>
      <c r="F46" s="21" t="s">
        <v>347</v>
      </c>
      <c r="G46" s="17">
        <v>10188</v>
      </c>
      <c r="H46" s="79">
        <v>600</v>
      </c>
      <c r="I46" s="18" t="s">
        <v>291</v>
      </c>
      <c r="J46" s="73">
        <v>10228</v>
      </c>
      <c r="K46" s="83">
        <v>2000</v>
      </c>
      <c r="L46" s="74" t="s">
        <v>422</v>
      </c>
      <c r="M46" s="23"/>
      <c r="N46" s="23"/>
      <c r="O46" s="23"/>
    </row>
    <row r="47" spans="1:15" x14ac:dyDescent="0.25">
      <c r="A47" s="25"/>
      <c r="B47" s="61"/>
      <c r="C47" s="26" t="s">
        <v>25</v>
      </c>
      <c r="D47" s="20"/>
      <c r="E47" s="82"/>
      <c r="F47" s="21" t="s">
        <v>25</v>
      </c>
      <c r="G47" s="17"/>
      <c r="H47" s="79"/>
      <c r="I47" s="18" t="s">
        <v>27</v>
      </c>
      <c r="J47" s="73"/>
      <c r="K47" s="83"/>
      <c r="L47" s="74" t="s">
        <v>25</v>
      </c>
      <c r="M47" s="23"/>
      <c r="N47" s="23"/>
      <c r="O47" s="23"/>
    </row>
    <row r="48" spans="1:15" x14ac:dyDescent="0.25">
      <c r="A48" s="25">
        <v>10084</v>
      </c>
      <c r="B48" s="61">
        <v>800</v>
      </c>
      <c r="C48" s="26" t="s">
        <v>324</v>
      </c>
      <c r="D48" s="20">
        <v>10159</v>
      </c>
      <c r="E48" s="82">
        <v>200</v>
      </c>
      <c r="F48" s="21"/>
      <c r="G48" s="17">
        <v>10189</v>
      </c>
      <c r="H48" s="79">
        <v>400</v>
      </c>
      <c r="I48" s="18" t="s">
        <v>274</v>
      </c>
      <c r="J48" s="73">
        <v>10229</v>
      </c>
      <c r="K48" s="83">
        <v>400</v>
      </c>
      <c r="L48" s="74"/>
      <c r="M48" s="23"/>
      <c r="N48" s="23"/>
      <c r="O48" s="23"/>
    </row>
    <row r="49" spans="1:15" x14ac:dyDescent="0.25">
      <c r="A49" s="25"/>
      <c r="B49" s="61"/>
      <c r="C49" s="26" t="s">
        <v>25</v>
      </c>
      <c r="D49" s="20">
        <v>10160</v>
      </c>
      <c r="E49" s="82">
        <v>1750</v>
      </c>
      <c r="F49" s="21" t="s">
        <v>404</v>
      </c>
      <c r="G49" s="17">
        <v>10190</v>
      </c>
      <c r="H49" s="79">
        <v>400</v>
      </c>
      <c r="I49" s="18"/>
      <c r="J49" s="73">
        <v>10230</v>
      </c>
      <c r="K49" s="83">
        <v>480</v>
      </c>
      <c r="L49" s="74" t="s">
        <v>423</v>
      </c>
      <c r="M49" s="23"/>
      <c r="N49" s="23"/>
      <c r="O49" s="23"/>
    </row>
    <row r="50" spans="1:15" x14ac:dyDescent="0.25">
      <c r="A50" s="25">
        <v>10085</v>
      </c>
      <c r="B50" s="61">
        <v>1200</v>
      </c>
      <c r="C50" s="26" t="s">
        <v>349</v>
      </c>
      <c r="D50" s="20"/>
      <c r="E50" s="82"/>
      <c r="F50" s="21" t="s">
        <v>161</v>
      </c>
      <c r="G50" s="17">
        <v>10191</v>
      </c>
      <c r="H50" s="79">
        <v>400</v>
      </c>
      <c r="I50" s="18"/>
      <c r="J50" s="73"/>
      <c r="K50" s="83"/>
      <c r="L50" s="74" t="s">
        <v>424</v>
      </c>
      <c r="M50" s="23"/>
      <c r="N50" s="23"/>
      <c r="O50" s="23"/>
    </row>
    <row r="51" spans="1:15" x14ac:dyDescent="0.25">
      <c r="A51" s="25"/>
      <c r="B51" s="61"/>
      <c r="C51" s="26" t="s">
        <v>389</v>
      </c>
      <c r="D51" s="20">
        <v>10161</v>
      </c>
      <c r="E51" s="82">
        <v>300</v>
      </c>
      <c r="F51" s="21"/>
      <c r="G51" s="17">
        <v>10192</v>
      </c>
      <c r="H51" s="79">
        <v>360</v>
      </c>
      <c r="I51" s="18" t="s">
        <v>409</v>
      </c>
      <c r="J51" s="73">
        <v>10231</v>
      </c>
      <c r="K51" s="83">
        <v>4400</v>
      </c>
      <c r="L51" s="74" t="s">
        <v>425</v>
      </c>
      <c r="M51" s="23"/>
      <c r="N51" s="23"/>
      <c r="O51" s="23"/>
    </row>
    <row r="52" spans="1:15" x14ac:dyDescent="0.25">
      <c r="A52" s="25">
        <v>10086</v>
      </c>
      <c r="B52" s="61">
        <v>400</v>
      </c>
      <c r="C52" s="26"/>
      <c r="D52" s="20">
        <v>10162</v>
      </c>
      <c r="E52" s="82">
        <v>200</v>
      </c>
      <c r="F52" s="21" t="s">
        <v>354</v>
      </c>
      <c r="G52" s="17">
        <v>10193</v>
      </c>
      <c r="H52" s="79">
        <v>400</v>
      </c>
      <c r="I52" s="18"/>
      <c r="J52" s="73"/>
      <c r="K52" s="83"/>
      <c r="L52" s="74" t="s">
        <v>121</v>
      </c>
      <c r="M52" s="23"/>
      <c r="N52" s="23"/>
      <c r="O52" s="23"/>
    </row>
    <row r="53" spans="1:15" x14ac:dyDescent="0.25">
      <c r="A53" s="25">
        <v>10087</v>
      </c>
      <c r="B53" s="61">
        <v>400</v>
      </c>
      <c r="C53" s="26"/>
      <c r="D53" s="20"/>
      <c r="E53" s="82"/>
      <c r="F53" s="21"/>
      <c r="G53" s="17">
        <v>10194</v>
      </c>
      <c r="H53" s="79">
        <v>480</v>
      </c>
      <c r="I53" s="18" t="s">
        <v>410</v>
      </c>
      <c r="J53" s="73">
        <v>10232</v>
      </c>
      <c r="K53" s="83">
        <v>160</v>
      </c>
      <c r="L53" s="74" t="s">
        <v>426</v>
      </c>
      <c r="M53" s="23"/>
      <c r="N53" s="23"/>
      <c r="O53" s="23"/>
    </row>
    <row r="54" spans="1:15" x14ac:dyDescent="0.25">
      <c r="A54" s="25">
        <v>10088</v>
      </c>
      <c r="B54" s="61">
        <v>1200</v>
      </c>
      <c r="C54" s="26" t="s">
        <v>349</v>
      </c>
      <c r="D54" s="20"/>
      <c r="E54" s="82"/>
      <c r="F54" s="21"/>
      <c r="G54" s="17">
        <v>10195</v>
      </c>
      <c r="H54" s="79">
        <v>2220</v>
      </c>
      <c r="I54" s="18" t="s">
        <v>411</v>
      </c>
      <c r="J54" s="73"/>
      <c r="K54" s="83"/>
      <c r="L54" s="74" t="s">
        <v>427</v>
      </c>
      <c r="M54" s="23"/>
      <c r="N54" s="23"/>
      <c r="O54" s="23"/>
    </row>
    <row r="55" spans="1:15" x14ac:dyDescent="0.25">
      <c r="A55" s="25"/>
      <c r="B55" s="61"/>
      <c r="C55" s="26" t="s">
        <v>25</v>
      </c>
      <c r="D55" s="20"/>
      <c r="E55" s="82"/>
      <c r="F55" s="21"/>
      <c r="G55" s="17"/>
      <c r="H55" s="79"/>
      <c r="I55" s="18" t="s">
        <v>412</v>
      </c>
      <c r="J55" s="73">
        <v>10233</v>
      </c>
      <c r="K55" s="83">
        <v>150</v>
      </c>
      <c r="L55" s="74"/>
      <c r="M55" s="23"/>
      <c r="N55" s="23"/>
      <c r="O55" s="23"/>
    </row>
    <row r="56" spans="1:15" x14ac:dyDescent="0.25">
      <c r="A56" s="25">
        <v>10089</v>
      </c>
      <c r="B56" s="61">
        <v>800</v>
      </c>
      <c r="C56" s="26" t="s">
        <v>303</v>
      </c>
      <c r="D56" s="20"/>
      <c r="E56" s="82"/>
      <c r="F56" s="21"/>
      <c r="G56" s="17"/>
      <c r="H56" s="79"/>
      <c r="I56" s="18" t="s">
        <v>413</v>
      </c>
      <c r="J56" s="73">
        <v>10234</v>
      </c>
      <c r="K56" s="83">
        <v>600</v>
      </c>
      <c r="L56" s="74" t="s">
        <v>428</v>
      </c>
      <c r="M56" s="23"/>
      <c r="N56" s="23"/>
      <c r="O56" s="23"/>
    </row>
    <row r="57" spans="1:15" x14ac:dyDescent="0.25">
      <c r="A57" s="25"/>
      <c r="B57" s="61"/>
      <c r="C57" s="26" t="s">
        <v>25</v>
      </c>
      <c r="D57" s="20"/>
      <c r="E57" s="82"/>
      <c r="F57" s="21"/>
      <c r="G57" s="17">
        <v>10196</v>
      </c>
      <c r="H57" s="79"/>
      <c r="I57" s="18" t="s">
        <v>73</v>
      </c>
      <c r="J57" s="73"/>
      <c r="K57" s="83"/>
      <c r="L57" s="74" t="s">
        <v>27</v>
      </c>
      <c r="M57" s="23"/>
      <c r="N57" s="23"/>
      <c r="O57" s="23"/>
    </row>
    <row r="58" spans="1:15" x14ac:dyDescent="0.25">
      <c r="A58" s="25">
        <v>10090</v>
      </c>
      <c r="B58" s="61">
        <v>400</v>
      </c>
      <c r="C58" s="26"/>
      <c r="D58" s="20"/>
      <c r="E58" s="82"/>
      <c r="F58" s="21"/>
      <c r="G58" s="17">
        <v>10197</v>
      </c>
      <c r="H58" s="79">
        <v>160</v>
      </c>
      <c r="I58" s="18" t="s">
        <v>49</v>
      </c>
      <c r="J58" s="107">
        <v>10344</v>
      </c>
      <c r="K58" s="83">
        <v>800</v>
      </c>
      <c r="L58" s="74" t="s">
        <v>558</v>
      </c>
      <c r="M58" s="23"/>
      <c r="N58" s="23"/>
      <c r="O58" s="23"/>
    </row>
    <row r="59" spans="1:15" x14ac:dyDescent="0.25">
      <c r="A59" s="25">
        <v>10091</v>
      </c>
      <c r="B59" s="61">
        <v>300</v>
      </c>
      <c r="C59" s="26"/>
      <c r="D59" s="20"/>
      <c r="E59" s="82"/>
      <c r="F59" s="21"/>
      <c r="G59" s="17">
        <v>10198</v>
      </c>
      <c r="H59" s="79"/>
      <c r="I59" s="18" t="s">
        <v>73</v>
      </c>
      <c r="J59" s="107"/>
      <c r="K59" s="83"/>
      <c r="L59" s="74" t="s">
        <v>25</v>
      </c>
      <c r="M59" s="23"/>
      <c r="N59" s="23"/>
      <c r="O59" s="23"/>
    </row>
    <row r="60" spans="1:15" x14ac:dyDescent="0.25">
      <c r="A60" s="25">
        <v>10092</v>
      </c>
      <c r="B60" s="61">
        <v>400</v>
      </c>
      <c r="C60" s="26" t="s">
        <v>354</v>
      </c>
      <c r="D60" s="20"/>
      <c r="E60" s="82"/>
      <c r="F60" s="21"/>
      <c r="G60" s="17"/>
      <c r="H60" s="79"/>
      <c r="I60" s="18"/>
      <c r="J60" s="107"/>
      <c r="K60" s="83"/>
      <c r="L60" s="74" t="s">
        <v>307</v>
      </c>
      <c r="M60" s="23"/>
      <c r="N60" s="23"/>
      <c r="O60" s="23"/>
    </row>
    <row r="61" spans="1:15" x14ac:dyDescent="0.25">
      <c r="A61" s="25">
        <v>10093</v>
      </c>
      <c r="B61" s="61">
        <v>400</v>
      </c>
      <c r="C61" s="26"/>
      <c r="D61" s="20"/>
      <c r="E61" s="82"/>
      <c r="F61" s="21"/>
      <c r="G61" s="17"/>
      <c r="H61" s="79"/>
      <c r="I61" s="18"/>
      <c r="J61" s="107">
        <v>10345</v>
      </c>
      <c r="K61" s="83">
        <v>300</v>
      </c>
      <c r="L61" s="74" t="s">
        <v>559</v>
      </c>
      <c r="M61" s="23"/>
      <c r="N61" s="23"/>
      <c r="O61" s="23"/>
    </row>
    <row r="62" spans="1:15" x14ac:dyDescent="0.25">
      <c r="A62" s="25">
        <v>10094</v>
      </c>
      <c r="B62" s="61">
        <v>400</v>
      </c>
      <c r="C62" s="26"/>
      <c r="D62" s="20"/>
      <c r="E62" s="82"/>
      <c r="F62" s="21"/>
      <c r="G62" s="17"/>
      <c r="H62" s="79"/>
      <c r="I62" s="18"/>
      <c r="J62" s="107">
        <v>10554</v>
      </c>
      <c r="K62" s="83">
        <v>400</v>
      </c>
      <c r="L62" s="74" t="s">
        <v>560</v>
      </c>
      <c r="M62" s="23"/>
      <c r="N62" s="23"/>
      <c r="O62" s="23"/>
    </row>
    <row r="63" spans="1:15" x14ac:dyDescent="0.25">
      <c r="A63" s="25">
        <v>10095</v>
      </c>
      <c r="B63" s="61">
        <v>600</v>
      </c>
      <c r="C63" s="26" t="s">
        <v>347</v>
      </c>
      <c r="D63" s="20"/>
      <c r="E63" s="82"/>
      <c r="F63" s="21"/>
      <c r="G63" s="17"/>
      <c r="H63" s="79"/>
      <c r="I63" s="18"/>
      <c r="J63" s="107"/>
      <c r="K63" s="83">
        <v>11000</v>
      </c>
      <c r="L63" s="74" t="s">
        <v>561</v>
      </c>
      <c r="M63" s="23"/>
      <c r="N63" s="23"/>
      <c r="O63" s="23"/>
    </row>
    <row r="64" spans="1:15" x14ac:dyDescent="0.25">
      <c r="A64" s="25"/>
      <c r="B64" s="61"/>
      <c r="C64" s="26" t="s">
        <v>33</v>
      </c>
      <c r="D64" s="20"/>
      <c r="E64" s="82"/>
      <c r="F64" s="21"/>
      <c r="G64" s="17"/>
      <c r="H64" s="79"/>
      <c r="I64" s="18"/>
      <c r="J64" s="107">
        <v>10346</v>
      </c>
      <c r="K64" s="83">
        <v>600</v>
      </c>
      <c r="L64" s="74" t="s">
        <v>563</v>
      </c>
      <c r="M64" s="23"/>
      <c r="N64" s="23"/>
      <c r="O64" s="23"/>
    </row>
    <row r="65" spans="1:15" x14ac:dyDescent="0.25">
      <c r="A65" s="25">
        <v>10096</v>
      </c>
      <c r="B65" s="61">
        <v>400</v>
      </c>
      <c r="C65" s="26"/>
      <c r="D65" s="20"/>
      <c r="E65" s="82"/>
      <c r="F65" s="21"/>
      <c r="G65" s="17"/>
      <c r="H65" s="79"/>
      <c r="I65" s="18"/>
      <c r="J65" s="107"/>
      <c r="K65" s="83"/>
      <c r="L65" s="74" t="s">
        <v>564</v>
      </c>
      <c r="M65" s="23"/>
      <c r="N65" s="23"/>
      <c r="O65" s="23"/>
    </row>
    <row r="66" spans="1:15" x14ac:dyDescent="0.25">
      <c r="A66" s="25">
        <v>10097</v>
      </c>
      <c r="B66" s="61">
        <v>300</v>
      </c>
      <c r="C66" s="26"/>
      <c r="D66" s="20"/>
      <c r="E66" s="82"/>
      <c r="F66" s="21"/>
      <c r="G66" s="17"/>
      <c r="H66" s="79"/>
      <c r="I66" s="18"/>
      <c r="J66" s="107"/>
      <c r="K66" s="83">
        <v>11000</v>
      </c>
      <c r="L66" s="74" t="s">
        <v>562</v>
      </c>
      <c r="M66" s="23"/>
      <c r="N66" s="23"/>
      <c r="O66" s="23"/>
    </row>
    <row r="67" spans="1:15" x14ac:dyDescent="0.25">
      <c r="A67" s="25">
        <v>10098</v>
      </c>
      <c r="B67" s="61">
        <v>800</v>
      </c>
      <c r="C67" s="26" t="s">
        <v>390</v>
      </c>
      <c r="D67" s="20"/>
      <c r="E67" s="82"/>
      <c r="F67" s="21"/>
      <c r="G67" s="17"/>
      <c r="H67" s="79"/>
      <c r="I67" s="18"/>
      <c r="J67" s="107"/>
      <c r="K67" s="83"/>
      <c r="L67" s="74"/>
      <c r="M67" s="23"/>
      <c r="N67" s="23"/>
      <c r="O67" s="23"/>
    </row>
    <row r="68" spans="1:15" x14ac:dyDescent="0.25">
      <c r="A68" s="25"/>
      <c r="B68" s="61"/>
      <c r="C68" s="26" t="s">
        <v>25</v>
      </c>
      <c r="D68" s="20"/>
      <c r="E68" s="82"/>
      <c r="F68" s="21"/>
      <c r="G68" s="17"/>
      <c r="H68" s="79"/>
      <c r="I68" s="18"/>
      <c r="J68" s="73"/>
      <c r="K68" s="83"/>
      <c r="L68" s="74"/>
      <c r="M68" s="23"/>
      <c r="N68" s="23"/>
      <c r="O68" s="23"/>
    </row>
    <row r="69" spans="1:15" x14ac:dyDescent="0.25">
      <c r="A69" s="25">
        <v>10099</v>
      </c>
      <c r="B69" s="61">
        <v>500</v>
      </c>
      <c r="C69" s="26" t="s">
        <v>390</v>
      </c>
      <c r="D69" s="20"/>
      <c r="E69" s="82"/>
      <c r="F69" s="21"/>
      <c r="G69" s="17"/>
      <c r="H69" s="79"/>
      <c r="I69" s="18"/>
      <c r="J69" s="73"/>
      <c r="K69" s="83"/>
      <c r="L69" s="74"/>
      <c r="M69" s="23"/>
      <c r="N69" s="23"/>
      <c r="O69" s="23"/>
    </row>
    <row r="70" spans="1:15" x14ac:dyDescent="0.25">
      <c r="A70" s="25"/>
      <c r="B70" s="61"/>
      <c r="C70" s="26" t="s">
        <v>81</v>
      </c>
      <c r="D70" s="20"/>
      <c r="E70" s="82"/>
      <c r="F70" s="21"/>
      <c r="G70" s="17"/>
      <c r="H70" s="79"/>
      <c r="I70" s="18"/>
      <c r="J70" s="73"/>
      <c r="K70" s="83"/>
      <c r="L70" s="74"/>
      <c r="M70" s="23"/>
      <c r="N70" s="23"/>
      <c r="O70" s="23"/>
    </row>
    <row r="71" spans="1:15" x14ac:dyDescent="0.25">
      <c r="A71" s="25">
        <v>10100</v>
      </c>
      <c r="B71" s="61"/>
      <c r="C71" s="26" t="s">
        <v>44</v>
      </c>
      <c r="D71" s="20"/>
      <c r="E71" s="82"/>
      <c r="F71" s="21"/>
      <c r="G71" s="17"/>
      <c r="H71" s="79"/>
      <c r="I71" s="18"/>
      <c r="J71" s="73"/>
      <c r="K71" s="83"/>
      <c r="L71" s="74"/>
      <c r="M71" s="23"/>
      <c r="N71" s="23"/>
      <c r="O71" s="23"/>
    </row>
    <row r="72" spans="1:15" x14ac:dyDescent="0.25">
      <c r="A72" s="25">
        <v>10101</v>
      </c>
      <c r="B72" s="61">
        <v>200</v>
      </c>
      <c r="C72" s="26"/>
      <c r="D72" s="20"/>
      <c r="E72" s="82"/>
      <c r="F72" s="21"/>
      <c r="G72" s="17"/>
      <c r="H72" s="79"/>
      <c r="I72" s="18"/>
      <c r="J72" s="73"/>
      <c r="K72" s="83"/>
      <c r="L72" s="74"/>
      <c r="M72" s="23"/>
      <c r="N72" s="23"/>
      <c r="O72" s="23"/>
    </row>
    <row r="73" spans="1:15" x14ac:dyDescent="0.25">
      <c r="A73" s="25">
        <v>10102</v>
      </c>
      <c r="B73" s="61">
        <v>200</v>
      </c>
      <c r="C73" s="26"/>
      <c r="D73" s="20"/>
      <c r="E73" s="82"/>
      <c r="F73" s="21"/>
      <c r="G73" s="17"/>
      <c r="H73" s="79"/>
      <c r="I73" s="18"/>
      <c r="J73" s="73"/>
      <c r="K73" s="83"/>
      <c r="L73" s="74"/>
      <c r="M73" s="23"/>
      <c r="N73" s="23"/>
      <c r="O73" s="23"/>
    </row>
    <row r="74" spans="1:15" x14ac:dyDescent="0.25">
      <c r="A74" s="25">
        <v>10103</v>
      </c>
      <c r="B74" s="61">
        <v>300</v>
      </c>
      <c r="C74" s="26" t="s">
        <v>354</v>
      </c>
      <c r="D74" s="20"/>
      <c r="E74" s="82"/>
      <c r="F74" s="21"/>
      <c r="G74" s="17"/>
      <c r="H74" s="79"/>
      <c r="I74" s="18"/>
      <c r="J74" s="73"/>
      <c r="K74" s="83"/>
      <c r="L74" s="74"/>
      <c r="M74" s="23"/>
      <c r="N74" s="23"/>
      <c r="O74" s="23"/>
    </row>
    <row r="75" spans="1:15" x14ac:dyDescent="0.25">
      <c r="A75" s="25">
        <v>10104</v>
      </c>
      <c r="B75" s="61">
        <v>1600</v>
      </c>
      <c r="C75" s="26" t="s">
        <v>315</v>
      </c>
      <c r="D75" s="20"/>
      <c r="E75" s="82"/>
      <c r="F75" s="21"/>
      <c r="G75" s="17"/>
      <c r="H75" s="79"/>
      <c r="I75" s="18"/>
      <c r="J75" s="73"/>
      <c r="K75" s="83"/>
      <c r="L75" s="74"/>
      <c r="M75" s="23"/>
      <c r="N75" s="23"/>
      <c r="O75" s="23"/>
    </row>
    <row r="76" spans="1:15" x14ac:dyDescent="0.25">
      <c r="A76" s="25"/>
      <c r="B76" s="61"/>
      <c r="C76" s="26" t="s">
        <v>25</v>
      </c>
      <c r="D76" s="20"/>
      <c r="E76" s="82"/>
      <c r="F76" s="21"/>
      <c r="G76" s="17"/>
      <c r="H76" s="79"/>
      <c r="I76" s="18"/>
      <c r="J76" s="73"/>
      <c r="K76" s="83"/>
      <c r="L76" s="74"/>
      <c r="M76" s="23"/>
      <c r="N76" s="23"/>
      <c r="O76" s="23"/>
    </row>
    <row r="77" spans="1:15" x14ac:dyDescent="0.25">
      <c r="A77" s="25">
        <v>10105</v>
      </c>
      <c r="B77" s="61">
        <v>400</v>
      </c>
      <c r="C77" s="26"/>
      <c r="D77" s="20"/>
      <c r="E77" s="82"/>
      <c r="F77" s="21"/>
      <c r="G77" s="17"/>
      <c r="H77" s="79"/>
      <c r="I77" s="18"/>
      <c r="J77" s="73"/>
      <c r="K77" s="83"/>
      <c r="L77" s="74"/>
      <c r="M77" s="23"/>
      <c r="N77" s="23"/>
      <c r="O77" s="23"/>
    </row>
    <row r="78" spans="1:15" x14ac:dyDescent="0.25">
      <c r="A78" s="25">
        <v>10106</v>
      </c>
      <c r="B78" s="61">
        <v>400</v>
      </c>
      <c r="C78" s="26" t="s">
        <v>354</v>
      </c>
      <c r="D78" s="20"/>
      <c r="E78" s="82"/>
      <c r="F78" s="21"/>
      <c r="G78" s="17"/>
      <c r="H78" s="79"/>
      <c r="I78" s="18"/>
      <c r="J78" s="73"/>
      <c r="K78" s="83"/>
      <c r="L78" s="74"/>
      <c r="M78" s="23"/>
      <c r="N78" s="23"/>
      <c r="O78" s="23"/>
    </row>
    <row r="79" spans="1:15" x14ac:dyDescent="0.25">
      <c r="A79" s="25">
        <v>10107</v>
      </c>
      <c r="B79" s="61">
        <v>200</v>
      </c>
      <c r="C79" s="26" t="s">
        <v>347</v>
      </c>
      <c r="D79" s="20"/>
      <c r="E79" s="82"/>
      <c r="F79" s="21"/>
      <c r="G79" s="17"/>
      <c r="H79" s="79"/>
      <c r="I79" s="18"/>
      <c r="J79" s="73"/>
      <c r="K79" s="83"/>
      <c r="L79" s="74"/>
      <c r="M79" s="23"/>
      <c r="N79" s="23"/>
      <c r="O79" s="23"/>
    </row>
    <row r="80" spans="1:15" x14ac:dyDescent="0.25">
      <c r="A80" s="25"/>
      <c r="B80" s="61"/>
      <c r="C80" s="26" t="s">
        <v>86</v>
      </c>
      <c r="D80" s="20"/>
      <c r="E80" s="82"/>
      <c r="F80" s="21"/>
      <c r="G80" s="17"/>
      <c r="H80" s="79"/>
      <c r="I80" s="18"/>
      <c r="J80" s="73"/>
      <c r="K80" s="83"/>
      <c r="L80" s="74"/>
      <c r="M80" s="23"/>
      <c r="N80" s="23"/>
      <c r="O80" s="23"/>
    </row>
    <row r="81" spans="1:15" x14ac:dyDescent="0.25">
      <c r="A81" s="25">
        <v>10108</v>
      </c>
      <c r="B81" s="61">
        <v>200</v>
      </c>
      <c r="C81" s="26"/>
      <c r="D81" s="20"/>
      <c r="E81" s="82"/>
      <c r="F81" s="21"/>
      <c r="G81" s="17"/>
      <c r="H81" s="79"/>
      <c r="I81" s="18"/>
      <c r="J81" s="73"/>
      <c r="K81" s="83"/>
      <c r="L81" s="74"/>
      <c r="M81" s="23"/>
      <c r="N81" s="23"/>
      <c r="O81" s="23"/>
    </row>
    <row r="82" spans="1:15" x14ac:dyDescent="0.25">
      <c r="A82" s="25">
        <v>10109</v>
      </c>
      <c r="B82" s="61">
        <v>400</v>
      </c>
      <c r="C82" s="26"/>
      <c r="D82" s="20"/>
      <c r="E82" s="82"/>
      <c r="F82" s="21"/>
      <c r="G82" s="17"/>
      <c r="H82" s="79"/>
      <c r="I82" s="18"/>
      <c r="J82" s="73"/>
      <c r="K82" s="83"/>
      <c r="L82" s="74"/>
      <c r="M82" s="23"/>
      <c r="N82" s="23"/>
      <c r="O82" s="23"/>
    </row>
    <row r="83" spans="1:15" x14ac:dyDescent="0.25">
      <c r="A83" s="25">
        <v>10110</v>
      </c>
      <c r="B83" s="61">
        <v>300</v>
      </c>
      <c r="C83" s="26"/>
      <c r="D83" s="20"/>
      <c r="E83" s="82"/>
      <c r="F83" s="21"/>
      <c r="G83" s="17"/>
      <c r="H83" s="79"/>
      <c r="I83" s="18"/>
      <c r="J83" s="73"/>
      <c r="K83" s="83"/>
      <c r="L83" s="74"/>
      <c r="M83" s="23"/>
      <c r="N83" s="23"/>
      <c r="O83" s="23"/>
    </row>
    <row r="84" spans="1:15" x14ac:dyDescent="0.25">
      <c r="A84" s="25">
        <v>10111</v>
      </c>
      <c r="B84" s="61">
        <v>1000</v>
      </c>
      <c r="C84" s="26" t="s">
        <v>391</v>
      </c>
      <c r="D84" s="20"/>
      <c r="E84" s="82"/>
      <c r="F84" s="21"/>
      <c r="G84" s="17"/>
      <c r="H84" s="79"/>
      <c r="I84" s="18"/>
      <c r="J84" s="73"/>
      <c r="K84" s="83"/>
      <c r="L84" s="74"/>
      <c r="M84" s="23"/>
      <c r="N84" s="23"/>
      <c r="O84" s="23"/>
    </row>
    <row r="85" spans="1:15" x14ac:dyDescent="0.25">
      <c r="A85" s="25"/>
      <c r="B85" s="61"/>
      <c r="C85" s="26" t="s">
        <v>81</v>
      </c>
      <c r="D85" s="20"/>
      <c r="E85" s="82"/>
      <c r="F85" s="21"/>
      <c r="G85" s="17"/>
      <c r="H85" s="79"/>
      <c r="I85" s="18"/>
      <c r="J85" s="73"/>
      <c r="K85" s="83"/>
      <c r="L85" s="74"/>
      <c r="M85" s="23"/>
      <c r="N85" s="23"/>
      <c r="O85" s="23"/>
    </row>
    <row r="86" spans="1:15" x14ac:dyDescent="0.25">
      <c r="A86" s="25">
        <v>10112</v>
      </c>
      <c r="B86" s="61">
        <v>400</v>
      </c>
      <c r="C86" s="26"/>
      <c r="D86" s="20"/>
      <c r="E86" s="82"/>
      <c r="F86" s="21"/>
      <c r="G86" s="17"/>
      <c r="H86" s="79"/>
      <c r="I86" s="18"/>
      <c r="J86" s="73"/>
      <c r="K86" s="83"/>
      <c r="L86" s="74"/>
      <c r="M86" s="23"/>
      <c r="N86" s="23"/>
      <c r="O86" s="23"/>
    </row>
    <row r="87" spans="1:15" x14ac:dyDescent="0.25">
      <c r="A87" s="25">
        <v>10113</v>
      </c>
      <c r="B87" s="61">
        <v>400</v>
      </c>
      <c r="C87" s="26"/>
      <c r="D87" s="20"/>
      <c r="E87" s="82"/>
      <c r="F87" s="21"/>
      <c r="G87" s="17"/>
      <c r="H87" s="79"/>
      <c r="I87" s="18"/>
      <c r="J87" s="73"/>
      <c r="K87" s="83"/>
      <c r="L87" s="74"/>
      <c r="M87" s="23"/>
      <c r="N87" s="23"/>
      <c r="O87" s="23"/>
    </row>
    <row r="88" spans="1:15" x14ac:dyDescent="0.25">
      <c r="A88" s="25">
        <v>10114</v>
      </c>
      <c r="B88" s="61">
        <v>200</v>
      </c>
      <c r="C88" s="26" t="s">
        <v>354</v>
      </c>
      <c r="D88" s="20"/>
      <c r="E88" s="82"/>
      <c r="F88" s="21"/>
      <c r="G88" s="17"/>
      <c r="H88" s="79"/>
      <c r="I88" s="18"/>
      <c r="J88" s="73"/>
      <c r="K88" s="83"/>
      <c r="L88" s="74"/>
      <c r="M88" s="23"/>
      <c r="N88" s="23"/>
      <c r="O88" s="23"/>
    </row>
    <row r="89" spans="1:15" x14ac:dyDescent="0.25">
      <c r="A89" s="25">
        <v>10115</v>
      </c>
      <c r="B89" s="61">
        <v>400</v>
      </c>
      <c r="C89" s="26" t="s">
        <v>392</v>
      </c>
      <c r="D89" s="20"/>
      <c r="E89" s="82"/>
      <c r="F89" s="21"/>
      <c r="G89" s="17"/>
      <c r="H89" s="79"/>
      <c r="I89" s="18"/>
      <c r="J89" s="73"/>
      <c r="K89" s="83"/>
      <c r="L89" s="74"/>
      <c r="M89" s="23"/>
      <c r="N89" s="23"/>
      <c r="O89" s="23"/>
    </row>
    <row r="90" spans="1:15" x14ac:dyDescent="0.25">
      <c r="A90" s="25"/>
      <c r="B90" s="61"/>
      <c r="C90" s="26" t="s">
        <v>27</v>
      </c>
      <c r="D90" s="20"/>
      <c r="E90" s="82"/>
      <c r="F90" s="21"/>
      <c r="G90" s="17"/>
      <c r="H90" s="79"/>
      <c r="I90" s="18"/>
      <c r="J90" s="73"/>
      <c r="K90" s="83"/>
      <c r="L90" s="74"/>
      <c r="M90" s="23"/>
      <c r="N90" s="23"/>
      <c r="O90" s="23"/>
    </row>
    <row r="91" spans="1:15" x14ac:dyDescent="0.25">
      <c r="A91" s="25">
        <v>10116</v>
      </c>
      <c r="B91" s="61">
        <v>400</v>
      </c>
      <c r="C91" s="26"/>
      <c r="D91" s="20"/>
      <c r="E91" s="82"/>
      <c r="F91" s="21"/>
      <c r="G91" s="17"/>
      <c r="H91" s="79"/>
      <c r="I91" s="18"/>
      <c r="J91" s="73"/>
      <c r="K91" s="83"/>
      <c r="L91" s="74"/>
      <c r="M91" s="23"/>
      <c r="N91" s="23"/>
      <c r="O91" s="23"/>
    </row>
    <row r="92" spans="1:15" x14ac:dyDescent="0.25">
      <c r="A92" s="25">
        <v>10117</v>
      </c>
      <c r="B92" s="61">
        <v>800</v>
      </c>
      <c r="C92" s="26" t="s">
        <v>390</v>
      </c>
      <c r="D92" s="20"/>
      <c r="E92" s="82"/>
      <c r="F92" s="21"/>
      <c r="G92" s="17"/>
      <c r="H92" s="79"/>
      <c r="I92" s="18"/>
      <c r="J92" s="73"/>
      <c r="K92" s="83"/>
      <c r="L92" s="74"/>
      <c r="M92" s="23"/>
      <c r="N92" s="23"/>
      <c r="O92" s="23"/>
    </row>
    <row r="93" spans="1:15" x14ac:dyDescent="0.25">
      <c r="A93" s="25"/>
      <c r="B93" s="61"/>
      <c r="C93" s="26" t="s">
        <v>25</v>
      </c>
      <c r="D93" s="20"/>
      <c r="E93" s="82"/>
      <c r="F93" s="21"/>
      <c r="G93" s="17"/>
      <c r="H93" s="79"/>
      <c r="I93" s="18"/>
      <c r="J93" s="73"/>
      <c r="K93" s="83"/>
      <c r="L93" s="74"/>
      <c r="M93" s="23"/>
      <c r="N93" s="23"/>
      <c r="O93" s="23"/>
    </row>
    <row r="94" spans="1:15" x14ac:dyDescent="0.25">
      <c r="A94" s="25">
        <v>10118</v>
      </c>
      <c r="B94" s="61">
        <v>800</v>
      </c>
      <c r="C94" s="26" t="s">
        <v>390</v>
      </c>
      <c r="D94" s="20"/>
      <c r="E94" s="82"/>
      <c r="F94" s="21"/>
      <c r="G94" s="17"/>
      <c r="H94" s="79"/>
      <c r="I94" s="18"/>
      <c r="J94" s="73"/>
      <c r="K94" s="83"/>
      <c r="L94" s="74"/>
      <c r="M94" s="23"/>
      <c r="N94" s="23"/>
      <c r="O94" s="23"/>
    </row>
    <row r="95" spans="1:15" x14ac:dyDescent="0.25">
      <c r="A95" s="25"/>
      <c r="B95" s="61"/>
      <c r="C95" s="26" t="s">
        <v>25</v>
      </c>
      <c r="D95" s="20"/>
      <c r="E95" s="82"/>
      <c r="F95" s="21"/>
      <c r="G95" s="17"/>
      <c r="H95" s="79"/>
      <c r="I95" s="18"/>
      <c r="J95" s="73"/>
      <c r="K95" s="83"/>
      <c r="L95" s="74"/>
      <c r="M95" s="23"/>
      <c r="N95" s="23"/>
      <c r="O95" s="23"/>
    </row>
    <row r="96" spans="1:15" x14ac:dyDescent="0.25">
      <c r="A96" s="25">
        <v>10119</v>
      </c>
      <c r="B96" s="61">
        <v>400</v>
      </c>
      <c r="C96" s="26" t="s">
        <v>324</v>
      </c>
      <c r="D96" s="20"/>
      <c r="E96" s="82"/>
      <c r="F96" s="21"/>
      <c r="G96" s="17"/>
      <c r="H96" s="79"/>
      <c r="I96" s="18"/>
      <c r="J96" s="73"/>
      <c r="K96" s="83"/>
      <c r="L96" s="74"/>
      <c r="M96" s="23"/>
      <c r="N96" s="23"/>
      <c r="O96" s="23"/>
    </row>
    <row r="97" spans="1:15" x14ac:dyDescent="0.25">
      <c r="A97" s="25"/>
      <c r="B97" s="61"/>
      <c r="C97" s="26" t="s">
        <v>27</v>
      </c>
      <c r="D97" s="20"/>
      <c r="E97" s="82"/>
      <c r="F97" s="21"/>
      <c r="G97" s="17"/>
      <c r="H97" s="79"/>
      <c r="I97" s="18"/>
      <c r="J97" s="73"/>
      <c r="K97" s="83"/>
      <c r="L97" s="74"/>
      <c r="M97" s="23"/>
      <c r="N97" s="23"/>
      <c r="O97" s="23"/>
    </row>
    <row r="98" spans="1:15" x14ac:dyDescent="0.25">
      <c r="A98" s="25">
        <v>10120</v>
      </c>
      <c r="B98" s="61">
        <v>1200</v>
      </c>
      <c r="C98" s="26" t="s">
        <v>349</v>
      </c>
      <c r="D98" s="20"/>
      <c r="E98" s="82"/>
      <c r="F98" s="21"/>
      <c r="G98" s="17"/>
      <c r="H98" s="79"/>
      <c r="I98" s="18"/>
      <c r="J98" s="73"/>
      <c r="K98" s="83"/>
      <c r="L98" s="74"/>
      <c r="M98" s="23"/>
      <c r="N98" s="23"/>
      <c r="O98" s="23"/>
    </row>
    <row r="99" spans="1:15" x14ac:dyDescent="0.25">
      <c r="A99" s="25"/>
      <c r="B99" s="61"/>
      <c r="C99" s="26" t="s">
        <v>25</v>
      </c>
      <c r="D99" s="20"/>
      <c r="E99" s="82"/>
      <c r="F99" s="21"/>
      <c r="G99" s="17"/>
      <c r="H99" s="79"/>
      <c r="I99" s="18"/>
      <c r="J99" s="73"/>
      <c r="K99" s="83"/>
      <c r="L99" s="74"/>
      <c r="M99" s="23"/>
      <c r="N99" s="23"/>
      <c r="O99" s="23"/>
    </row>
    <row r="100" spans="1:15" x14ac:dyDescent="0.25">
      <c r="A100" s="25">
        <v>10121</v>
      </c>
      <c r="B100" s="61">
        <v>800</v>
      </c>
      <c r="C100" s="26" t="s">
        <v>324</v>
      </c>
      <c r="D100" s="20"/>
      <c r="E100" s="82"/>
      <c r="F100" s="21"/>
      <c r="G100" s="17"/>
      <c r="H100" s="79"/>
      <c r="I100" s="18"/>
      <c r="J100" s="73"/>
      <c r="K100" s="83"/>
      <c r="L100" s="74"/>
      <c r="M100" s="23"/>
      <c r="N100" s="23"/>
      <c r="O100" s="23"/>
    </row>
    <row r="101" spans="1:15" x14ac:dyDescent="0.25">
      <c r="A101" s="25"/>
      <c r="B101" s="61"/>
      <c r="C101" s="26" t="s">
        <v>25</v>
      </c>
      <c r="D101" s="20"/>
      <c r="E101" s="82"/>
      <c r="F101" s="21"/>
      <c r="G101" s="17"/>
      <c r="H101" s="79"/>
      <c r="I101" s="18"/>
      <c r="J101" s="73"/>
      <c r="K101" s="83"/>
      <c r="L101" s="74"/>
      <c r="M101" s="23"/>
      <c r="N101" s="23"/>
      <c r="O101" s="23"/>
    </row>
    <row r="102" spans="1:15" x14ac:dyDescent="0.25">
      <c r="A102" s="25">
        <v>10122</v>
      </c>
      <c r="B102" s="61">
        <v>200</v>
      </c>
      <c r="C102" s="26"/>
      <c r="D102" s="20"/>
      <c r="E102" s="82"/>
      <c r="F102" s="21"/>
      <c r="G102" s="17"/>
      <c r="H102" s="79"/>
      <c r="I102" s="18"/>
      <c r="J102" s="73"/>
      <c r="K102" s="83"/>
      <c r="L102" s="74"/>
      <c r="M102" s="23"/>
      <c r="N102" s="23"/>
      <c r="O102" s="23"/>
    </row>
    <row r="103" spans="1:15" x14ac:dyDescent="0.25">
      <c r="A103" s="25">
        <v>10123</v>
      </c>
      <c r="B103" s="61">
        <v>400</v>
      </c>
      <c r="C103" s="26"/>
      <c r="D103" s="20"/>
      <c r="E103" s="82"/>
      <c r="F103" s="21"/>
      <c r="G103" s="17"/>
      <c r="H103" s="79"/>
      <c r="I103" s="18"/>
      <c r="J103" s="73"/>
      <c r="K103" s="83"/>
      <c r="L103" s="74"/>
      <c r="M103" s="23"/>
      <c r="N103" s="23"/>
      <c r="O103" s="23"/>
    </row>
    <row r="104" spans="1:15" x14ac:dyDescent="0.25">
      <c r="A104" s="25">
        <v>10124</v>
      </c>
      <c r="B104" s="61">
        <v>2000</v>
      </c>
      <c r="C104" s="26" t="s">
        <v>393</v>
      </c>
      <c r="D104" s="20"/>
      <c r="E104" s="82"/>
      <c r="F104" s="21"/>
      <c r="G104" s="17"/>
      <c r="H104" s="79"/>
      <c r="I104" s="18"/>
      <c r="J104" s="73"/>
      <c r="K104" s="83"/>
      <c r="L104" s="74"/>
      <c r="M104" s="23"/>
      <c r="N104" s="23"/>
      <c r="O104" s="23"/>
    </row>
    <row r="105" spans="1:15" x14ac:dyDescent="0.25">
      <c r="A105" s="25"/>
      <c r="B105" s="61"/>
      <c r="C105" s="26" t="s">
        <v>394</v>
      </c>
      <c r="D105" s="20"/>
      <c r="E105" s="82"/>
      <c r="F105" s="21"/>
      <c r="G105" s="17"/>
      <c r="H105" s="79"/>
      <c r="I105" s="18"/>
      <c r="J105" s="73"/>
      <c r="K105" s="83"/>
      <c r="L105" s="74"/>
      <c r="M105" s="23"/>
      <c r="N105" s="23"/>
      <c r="O105" s="23"/>
    </row>
    <row r="106" spans="1:15" x14ac:dyDescent="0.25">
      <c r="A106" s="25">
        <v>10125</v>
      </c>
      <c r="B106" s="61">
        <v>800</v>
      </c>
      <c r="C106" s="26" t="s">
        <v>347</v>
      </c>
      <c r="D106" s="20"/>
      <c r="E106" s="82"/>
      <c r="F106" s="21"/>
      <c r="G106" s="17"/>
      <c r="H106" s="79"/>
      <c r="I106" s="18"/>
      <c r="J106" s="73"/>
      <c r="K106" s="83"/>
      <c r="L106" s="74"/>
      <c r="M106" s="23"/>
      <c r="N106" s="23"/>
      <c r="O106" s="23"/>
    </row>
    <row r="107" spans="1:15" x14ac:dyDescent="0.25">
      <c r="A107" s="25"/>
      <c r="B107" s="61"/>
      <c r="C107" s="26" t="s">
        <v>25</v>
      </c>
      <c r="D107" s="20"/>
      <c r="E107" s="82"/>
      <c r="F107" s="21"/>
      <c r="G107" s="17"/>
      <c r="H107" s="79"/>
      <c r="I107" s="18"/>
      <c r="J107" s="73"/>
      <c r="K107" s="83"/>
      <c r="L107" s="74"/>
      <c r="M107" s="23"/>
      <c r="N107" s="23"/>
      <c r="O107" s="23"/>
    </row>
    <row r="108" spans="1:15" x14ac:dyDescent="0.25">
      <c r="A108" s="25">
        <v>10126</v>
      </c>
      <c r="B108" s="61">
        <v>400</v>
      </c>
      <c r="C108" s="26"/>
      <c r="D108" s="20"/>
      <c r="E108" s="82"/>
      <c r="F108" s="21"/>
      <c r="G108" s="17"/>
      <c r="H108" s="79"/>
      <c r="I108" s="18"/>
      <c r="J108" s="73"/>
      <c r="K108" s="83"/>
      <c r="L108" s="74"/>
      <c r="M108" s="23"/>
      <c r="N108" s="23"/>
      <c r="O108" s="23"/>
    </row>
    <row r="109" spans="1:15" x14ac:dyDescent="0.25">
      <c r="A109" s="25">
        <v>10127</v>
      </c>
      <c r="B109" s="61">
        <v>400</v>
      </c>
      <c r="C109" s="26" t="s">
        <v>248</v>
      </c>
      <c r="D109" s="20"/>
      <c r="E109" s="82"/>
      <c r="F109" s="21"/>
      <c r="G109" s="17"/>
      <c r="H109" s="79"/>
      <c r="I109" s="18"/>
      <c r="J109" s="73"/>
      <c r="K109" s="83"/>
      <c r="L109" s="74"/>
      <c r="M109" s="23"/>
      <c r="N109" s="23"/>
      <c r="O109" s="23"/>
    </row>
    <row r="110" spans="1:15" x14ac:dyDescent="0.25">
      <c r="A110" s="25">
        <v>10128</v>
      </c>
      <c r="B110" s="61">
        <v>400</v>
      </c>
      <c r="C110" s="26"/>
      <c r="D110" s="20"/>
      <c r="E110" s="82"/>
      <c r="F110" s="21"/>
      <c r="G110" s="17"/>
      <c r="H110" s="79"/>
      <c r="I110" s="18"/>
      <c r="J110" s="73"/>
      <c r="K110" s="83"/>
      <c r="L110" s="74"/>
      <c r="M110" s="23"/>
      <c r="N110" s="23"/>
      <c r="O110" s="23"/>
    </row>
    <row r="111" spans="1:15" x14ac:dyDescent="0.25">
      <c r="A111" s="25"/>
      <c r="B111" s="61"/>
      <c r="C111" s="26"/>
      <c r="D111" s="20"/>
      <c r="E111" s="82"/>
      <c r="F111" s="21"/>
      <c r="G111" s="17"/>
      <c r="H111" s="79"/>
      <c r="I111" s="18"/>
      <c r="J111" s="73"/>
      <c r="K111" s="83"/>
      <c r="L111" s="74"/>
      <c r="M111" s="23"/>
      <c r="N111" s="23"/>
      <c r="O111" s="23"/>
    </row>
    <row r="112" spans="1:15" x14ac:dyDescent="0.25">
      <c r="A112" s="25"/>
      <c r="B112" s="61"/>
      <c r="C112" s="26"/>
      <c r="D112" s="20"/>
      <c r="E112" s="82"/>
      <c r="F112" s="21"/>
      <c r="G112" s="17"/>
      <c r="H112" s="79"/>
      <c r="I112" s="18"/>
      <c r="J112" s="73"/>
      <c r="K112" s="83"/>
      <c r="L112" s="74"/>
      <c r="M112" s="23"/>
      <c r="N112" s="23"/>
      <c r="O112" s="23"/>
    </row>
    <row r="113" spans="1:15" x14ac:dyDescent="0.25">
      <c r="A113" s="25"/>
      <c r="B113" s="61"/>
      <c r="C113" s="26"/>
      <c r="D113" s="20"/>
      <c r="E113" s="82"/>
      <c r="F113" s="21"/>
      <c r="G113" s="17"/>
      <c r="H113" s="79"/>
      <c r="I113" s="18"/>
      <c r="J113" s="73"/>
      <c r="K113" s="83"/>
      <c r="L113" s="74"/>
      <c r="M113" s="23"/>
      <c r="N113" s="23"/>
      <c r="O113" s="23"/>
    </row>
    <row r="114" spans="1:15" x14ac:dyDescent="0.25">
      <c r="A114" s="25"/>
      <c r="B114" s="61"/>
      <c r="C114" s="26"/>
      <c r="D114" s="20"/>
      <c r="E114" s="82"/>
      <c r="F114" s="21"/>
      <c r="G114" s="17"/>
      <c r="H114" s="79"/>
      <c r="I114" s="18"/>
      <c r="J114" s="73"/>
      <c r="K114" s="83"/>
      <c r="L114" s="74"/>
      <c r="M114" s="23"/>
      <c r="N114" s="23"/>
      <c r="O114" s="23"/>
    </row>
    <row r="115" spans="1:15" x14ac:dyDescent="0.25">
      <c r="A115" s="25"/>
      <c r="B115" s="61"/>
      <c r="C115" s="26"/>
      <c r="D115" s="20"/>
      <c r="E115" s="82"/>
      <c r="F115" s="21"/>
      <c r="G115" s="17"/>
      <c r="H115" s="79"/>
      <c r="I115" s="18"/>
      <c r="J115" s="73"/>
      <c r="K115" s="83"/>
      <c r="L115" s="74"/>
      <c r="M115" s="23"/>
      <c r="N115" s="23"/>
      <c r="O115" s="23"/>
    </row>
    <row r="116" spans="1:15" x14ac:dyDescent="0.25">
      <c r="A116" s="25"/>
      <c r="B116" s="61"/>
      <c r="C116" s="26"/>
      <c r="D116" s="20"/>
      <c r="E116" s="82"/>
      <c r="F116" s="21"/>
      <c r="G116" s="17"/>
      <c r="H116" s="79"/>
      <c r="I116" s="18"/>
      <c r="J116" s="73"/>
      <c r="K116" s="83"/>
      <c r="L116" s="74"/>
      <c r="M116" s="23"/>
      <c r="N116" s="23"/>
      <c r="O116" s="23"/>
    </row>
    <row r="117" spans="1:15" x14ac:dyDescent="0.25">
      <c r="A117" s="25"/>
      <c r="B117" s="61"/>
      <c r="C117" s="26"/>
      <c r="D117" s="20"/>
      <c r="E117" s="82"/>
      <c r="F117" s="21"/>
      <c r="G117" s="17"/>
      <c r="H117" s="79"/>
      <c r="I117" s="18"/>
      <c r="J117" s="73"/>
      <c r="K117" s="83"/>
      <c r="L117" s="74"/>
      <c r="M117" s="23"/>
      <c r="N117" s="23"/>
      <c r="O117" s="23"/>
    </row>
    <row r="118" spans="1:15" x14ac:dyDescent="0.25">
      <c r="A118" s="25"/>
      <c r="B118" s="61"/>
      <c r="C118" s="26"/>
      <c r="D118" s="20"/>
      <c r="E118" s="82"/>
      <c r="F118" s="21"/>
      <c r="G118" s="17"/>
      <c r="H118" s="79"/>
      <c r="I118" s="18"/>
      <c r="J118" s="73"/>
      <c r="K118" s="83"/>
      <c r="L118" s="74"/>
      <c r="M118" s="23"/>
      <c r="N118" s="23"/>
      <c r="O118" s="23"/>
    </row>
    <row r="119" spans="1:15" x14ac:dyDescent="0.25">
      <c r="A119" s="25"/>
      <c r="B119" s="61"/>
      <c r="C119" s="26"/>
      <c r="D119" s="20"/>
      <c r="E119" s="82"/>
      <c r="F119" s="21"/>
      <c r="G119" s="17"/>
      <c r="H119" s="79"/>
      <c r="I119" s="18"/>
      <c r="J119" s="73"/>
      <c r="K119" s="83"/>
      <c r="L119" s="74"/>
      <c r="M119" s="23"/>
      <c r="N119" s="23"/>
      <c r="O119" s="23"/>
    </row>
    <row r="120" spans="1:15" x14ac:dyDescent="0.25">
      <c r="A120" s="25"/>
      <c r="B120" s="61"/>
      <c r="C120" s="26"/>
      <c r="D120" s="20"/>
      <c r="E120" s="82"/>
      <c r="F120" s="21"/>
      <c r="G120" s="17"/>
      <c r="H120" s="79"/>
      <c r="I120" s="18"/>
      <c r="J120" s="73"/>
      <c r="K120" s="83"/>
      <c r="L120" s="74"/>
      <c r="M120" s="23"/>
      <c r="N120" s="23"/>
      <c r="O120" s="23"/>
    </row>
    <row r="121" spans="1:15" x14ac:dyDescent="0.25">
      <c r="A121" s="25"/>
      <c r="B121" s="61"/>
      <c r="C121" s="26"/>
      <c r="D121" s="20"/>
      <c r="E121" s="82"/>
      <c r="F121" s="21"/>
      <c r="G121" s="17"/>
      <c r="H121" s="79"/>
      <c r="I121" s="18"/>
      <c r="J121" s="73"/>
      <c r="K121" s="83"/>
      <c r="L121" s="74"/>
      <c r="M121" s="23"/>
      <c r="N121" s="23"/>
      <c r="O121" s="23"/>
    </row>
    <row r="122" spans="1:15" x14ac:dyDescent="0.25">
      <c r="A122" s="25"/>
      <c r="B122" s="61"/>
      <c r="C122" s="26"/>
      <c r="D122" s="20"/>
      <c r="E122" s="82"/>
      <c r="F122" s="21"/>
      <c r="G122" s="17"/>
      <c r="H122" s="79"/>
      <c r="I122" s="18"/>
      <c r="J122" s="73"/>
      <c r="K122" s="83"/>
      <c r="L122" s="74"/>
      <c r="M122" s="23"/>
      <c r="N122" s="23"/>
      <c r="O122" s="23"/>
    </row>
    <row r="123" spans="1:15" x14ac:dyDescent="0.25">
      <c r="A123" s="25"/>
      <c r="B123" s="61"/>
      <c r="C123" s="26"/>
      <c r="D123" s="20"/>
      <c r="E123" s="82"/>
      <c r="F123" s="21"/>
      <c r="G123" s="17"/>
      <c r="H123" s="79"/>
      <c r="I123" s="18"/>
      <c r="J123" s="73"/>
      <c r="K123" s="83"/>
      <c r="L123" s="74"/>
      <c r="M123" s="23"/>
      <c r="N123" s="23"/>
      <c r="O123" s="23"/>
    </row>
    <row r="124" spans="1:15" x14ac:dyDescent="0.25">
      <c r="A124" s="25"/>
      <c r="B124" s="61"/>
      <c r="C124" s="26"/>
      <c r="D124" s="20"/>
      <c r="E124" s="82"/>
      <c r="F124" s="21"/>
      <c r="G124" s="17"/>
      <c r="H124" s="79"/>
      <c r="I124" s="18"/>
      <c r="J124" s="73"/>
      <c r="K124" s="83"/>
      <c r="L124" s="74"/>
      <c r="M124" s="23"/>
      <c r="N124" s="23"/>
      <c r="O124" s="23"/>
    </row>
    <row r="125" spans="1:15" x14ac:dyDescent="0.25">
      <c r="A125" s="25"/>
      <c r="B125" s="61"/>
      <c r="C125" s="26"/>
      <c r="D125" s="20"/>
      <c r="E125" s="82"/>
      <c r="F125" s="21"/>
      <c r="G125" s="17"/>
      <c r="H125" s="79"/>
      <c r="I125" s="18"/>
      <c r="J125" s="73"/>
      <c r="K125" s="83"/>
      <c r="L125" s="74"/>
      <c r="M125" s="23"/>
      <c r="N125" s="23"/>
      <c r="O125" s="23"/>
    </row>
    <row r="126" spans="1:15" x14ac:dyDescent="0.25">
      <c r="A126" s="25"/>
      <c r="B126" s="61"/>
      <c r="C126" s="26"/>
      <c r="D126" s="20"/>
      <c r="E126" s="82"/>
      <c r="F126" s="21"/>
      <c r="G126" s="17"/>
      <c r="H126" s="79"/>
      <c r="I126" s="18"/>
      <c r="J126" s="73"/>
      <c r="K126" s="83"/>
      <c r="L126" s="74"/>
      <c r="M126" s="23"/>
      <c r="N126" s="23"/>
      <c r="O126" s="23"/>
    </row>
    <row r="127" spans="1:15" x14ac:dyDescent="0.25">
      <c r="A127" s="25"/>
      <c r="B127" s="61"/>
      <c r="C127" s="26"/>
      <c r="D127" s="20"/>
      <c r="E127" s="82"/>
      <c r="F127" s="21"/>
      <c r="G127" s="17"/>
      <c r="H127" s="79"/>
      <c r="I127" s="18"/>
      <c r="J127" s="73"/>
      <c r="K127" s="83"/>
      <c r="L127" s="74"/>
      <c r="M127" s="23"/>
      <c r="N127" s="23"/>
      <c r="O127" s="23"/>
    </row>
    <row r="128" spans="1:15" x14ac:dyDescent="0.25">
      <c r="A128" s="25"/>
      <c r="B128" s="61"/>
      <c r="C128" s="26"/>
      <c r="D128" s="20"/>
      <c r="E128" s="82"/>
      <c r="F128" s="21"/>
      <c r="G128" s="17"/>
      <c r="H128" s="79"/>
      <c r="I128" s="18"/>
      <c r="J128" s="73"/>
      <c r="K128" s="83"/>
      <c r="L128" s="74"/>
      <c r="M128" s="23"/>
      <c r="N128" s="23"/>
      <c r="O128" s="23"/>
    </row>
    <row r="129" spans="1:15" x14ac:dyDescent="0.25">
      <c r="A129" s="25"/>
      <c r="B129" s="61"/>
      <c r="C129" s="26"/>
      <c r="D129" s="20"/>
      <c r="E129" s="82"/>
      <c r="F129" s="21"/>
      <c r="G129" s="17"/>
      <c r="H129" s="79"/>
      <c r="I129" s="18"/>
      <c r="J129" s="73"/>
      <c r="K129" s="83"/>
      <c r="L129" s="74"/>
      <c r="M129" s="23"/>
      <c r="N129" s="23"/>
      <c r="O129" s="23"/>
    </row>
    <row r="130" spans="1:15" x14ac:dyDescent="0.25">
      <c r="A130" s="25"/>
      <c r="B130" s="61"/>
      <c r="C130" s="26"/>
      <c r="D130" s="20"/>
      <c r="E130" s="82"/>
      <c r="F130" s="21"/>
      <c r="G130" s="17"/>
      <c r="H130" s="79"/>
      <c r="I130" s="18"/>
      <c r="J130" s="73"/>
      <c r="K130" s="83"/>
      <c r="L130" s="74"/>
      <c r="M130" s="23"/>
      <c r="N130" s="23"/>
      <c r="O130" s="23"/>
    </row>
    <row r="131" spans="1:15" x14ac:dyDescent="0.25">
      <c r="A131" s="25"/>
      <c r="B131" s="61"/>
      <c r="C131" s="26"/>
      <c r="D131" s="20"/>
      <c r="E131" s="82"/>
      <c r="F131" s="21"/>
      <c r="G131" s="17"/>
      <c r="H131" s="79"/>
      <c r="I131" s="18"/>
      <c r="J131" s="73"/>
      <c r="K131" s="83"/>
      <c r="L131" s="74"/>
      <c r="M131" s="23"/>
      <c r="N131" s="23"/>
      <c r="O131" s="23"/>
    </row>
    <row r="132" spans="1:15" x14ac:dyDescent="0.25">
      <c r="A132" s="25"/>
      <c r="B132" s="61"/>
      <c r="C132" s="26"/>
      <c r="D132" s="20"/>
      <c r="E132" s="82"/>
      <c r="F132" s="21"/>
      <c r="G132" s="17"/>
      <c r="H132" s="79"/>
      <c r="I132" s="18"/>
      <c r="J132" s="73"/>
      <c r="K132" s="83"/>
      <c r="L132" s="74"/>
      <c r="M132" s="23"/>
      <c r="N132" s="23"/>
      <c r="O132" s="23"/>
    </row>
    <row r="133" spans="1:15" x14ac:dyDescent="0.25">
      <c r="A133" s="25"/>
      <c r="B133" s="61"/>
      <c r="C133" s="26"/>
      <c r="D133" s="20"/>
      <c r="E133" s="82"/>
      <c r="F133" s="21"/>
      <c r="G133" s="17"/>
      <c r="H133" s="79"/>
      <c r="I133" s="18"/>
      <c r="J133" s="73"/>
      <c r="K133" s="83"/>
      <c r="L133" s="74"/>
      <c r="M133" s="23"/>
      <c r="N133" s="23"/>
      <c r="O133" s="23"/>
    </row>
    <row r="134" spans="1:15" x14ac:dyDescent="0.25">
      <c r="A134" s="25"/>
      <c r="B134" s="61"/>
      <c r="C134" s="26"/>
      <c r="D134" s="20"/>
      <c r="E134" s="82"/>
      <c r="F134" s="21"/>
      <c r="G134" s="17"/>
      <c r="H134" s="79"/>
      <c r="I134" s="18"/>
      <c r="J134" s="73"/>
      <c r="K134" s="83"/>
      <c r="L134" s="74"/>
      <c r="M134" s="23"/>
      <c r="N134" s="23"/>
      <c r="O134" s="23"/>
    </row>
    <row r="135" spans="1:15" x14ac:dyDescent="0.25">
      <c r="A135" s="25"/>
      <c r="B135" s="61"/>
      <c r="C135" s="26"/>
      <c r="D135" s="20"/>
      <c r="E135" s="82"/>
      <c r="F135" s="21"/>
      <c r="G135" s="17"/>
      <c r="H135" s="79"/>
      <c r="I135" s="18"/>
      <c r="J135" s="73"/>
      <c r="K135" s="83"/>
      <c r="L135" s="74"/>
      <c r="M135" s="23"/>
      <c r="N135" s="23"/>
      <c r="O135" s="23"/>
    </row>
    <row r="136" spans="1:15" x14ac:dyDescent="0.25">
      <c r="A136" s="25"/>
      <c r="B136" s="61"/>
      <c r="C136" s="26"/>
      <c r="D136" s="20"/>
      <c r="E136" s="82"/>
      <c r="F136" s="21"/>
      <c r="G136" s="17"/>
      <c r="H136" s="79"/>
      <c r="I136" s="18"/>
      <c r="J136" s="73"/>
      <c r="K136" s="83"/>
      <c r="L136" s="74"/>
      <c r="M136" s="23"/>
      <c r="N136" s="23"/>
      <c r="O136" s="23"/>
    </row>
    <row r="137" spans="1:15" x14ac:dyDescent="0.25">
      <c r="A137" s="25"/>
      <c r="B137" s="61"/>
      <c r="C137" s="26"/>
      <c r="D137" s="20"/>
      <c r="E137" s="82"/>
      <c r="F137" s="21"/>
      <c r="G137" s="17"/>
      <c r="H137" s="79"/>
      <c r="I137" s="18"/>
      <c r="J137" s="73"/>
      <c r="K137" s="83"/>
      <c r="L137" s="74"/>
      <c r="M137" s="23"/>
      <c r="N137" s="23"/>
      <c r="O137" s="23"/>
    </row>
    <row r="138" spans="1:15" x14ac:dyDescent="0.25">
      <c r="A138" s="25"/>
      <c r="B138" s="61"/>
      <c r="C138" s="26"/>
      <c r="D138" s="20"/>
      <c r="E138" s="82"/>
      <c r="F138" s="21"/>
      <c r="G138" s="17"/>
      <c r="H138" s="79"/>
      <c r="I138" s="18"/>
      <c r="J138" s="73"/>
      <c r="K138" s="83"/>
      <c r="L138" s="74"/>
      <c r="M138" s="23"/>
      <c r="N138" s="23"/>
      <c r="O138" s="23"/>
    </row>
    <row r="139" spans="1:15" x14ac:dyDescent="0.25">
      <c r="A139" s="25"/>
      <c r="B139" s="61"/>
      <c r="C139" s="26"/>
      <c r="D139" s="20"/>
      <c r="E139" s="82"/>
      <c r="F139" s="21"/>
      <c r="G139" s="17"/>
      <c r="H139" s="79"/>
      <c r="I139" s="18"/>
      <c r="J139" s="73"/>
      <c r="K139" s="83"/>
      <c r="L139" s="74"/>
      <c r="M139" s="23"/>
      <c r="N139" s="23"/>
      <c r="O139" s="23"/>
    </row>
    <row r="140" spans="1:15" x14ac:dyDescent="0.25">
      <c r="A140" s="25"/>
      <c r="B140" s="61"/>
      <c r="C140" s="26"/>
      <c r="D140" s="20"/>
      <c r="E140" s="82"/>
      <c r="F140" s="21"/>
      <c r="G140" s="17"/>
      <c r="H140" s="79"/>
      <c r="I140" s="18"/>
      <c r="J140" s="73"/>
      <c r="K140" s="83"/>
      <c r="L140" s="74"/>
      <c r="M140" s="23"/>
      <c r="N140" s="23"/>
      <c r="O140" s="23"/>
    </row>
    <row r="141" spans="1:15" x14ac:dyDescent="0.25">
      <c r="A141" s="25"/>
      <c r="B141" s="61"/>
      <c r="C141" s="26"/>
      <c r="D141" s="20"/>
      <c r="E141" s="82"/>
      <c r="F141" s="21"/>
      <c r="G141" s="17"/>
      <c r="H141" s="79"/>
      <c r="I141" s="18"/>
      <c r="J141" s="73"/>
      <c r="K141" s="83"/>
      <c r="L141" s="74"/>
      <c r="M141" s="23"/>
      <c r="N141" s="23"/>
      <c r="O141" s="23"/>
    </row>
    <row r="142" spans="1:15" x14ac:dyDescent="0.25">
      <c r="A142" s="25"/>
      <c r="B142" s="61"/>
      <c r="C142" s="26"/>
      <c r="D142" s="20"/>
      <c r="E142" s="82"/>
      <c r="F142" s="21"/>
      <c r="G142" s="17"/>
      <c r="H142" s="79"/>
      <c r="I142" s="18"/>
      <c r="J142" s="73"/>
      <c r="K142" s="83"/>
      <c r="L142" s="74"/>
      <c r="M142" s="23"/>
      <c r="N142" s="23"/>
      <c r="O142" s="23"/>
    </row>
    <row r="143" spans="1:15" x14ac:dyDescent="0.25">
      <c r="A143" s="25"/>
      <c r="B143" s="61"/>
      <c r="C143" s="26"/>
      <c r="D143" s="20"/>
      <c r="E143" s="82"/>
      <c r="F143" s="21"/>
      <c r="G143" s="17"/>
      <c r="H143" s="79"/>
      <c r="I143" s="18"/>
      <c r="J143" s="73"/>
      <c r="K143" s="83"/>
      <c r="L143" s="74"/>
      <c r="M143" s="23"/>
      <c r="N143" s="23"/>
      <c r="O143" s="23"/>
    </row>
    <row r="144" spans="1:15" x14ac:dyDescent="0.25">
      <c r="A144" s="25"/>
      <c r="B144" s="61"/>
      <c r="C144" s="26"/>
      <c r="D144" s="20"/>
      <c r="E144" s="82"/>
      <c r="F144" s="21"/>
      <c r="G144" s="17"/>
      <c r="H144" s="79"/>
      <c r="I144" s="18"/>
      <c r="J144" s="73"/>
      <c r="K144" s="83"/>
      <c r="L144" s="74"/>
      <c r="M144" s="23"/>
      <c r="N144" s="23"/>
      <c r="O144" s="23"/>
    </row>
    <row r="145" spans="1:15" x14ac:dyDescent="0.25">
      <c r="A145" s="25"/>
      <c r="B145" s="61"/>
      <c r="C145" s="26"/>
      <c r="D145" s="20"/>
      <c r="E145" s="82"/>
      <c r="F145" s="21"/>
      <c r="G145" s="17"/>
      <c r="H145" s="79"/>
      <c r="I145" s="18"/>
      <c r="J145" s="73"/>
      <c r="K145" s="83"/>
      <c r="L145" s="74"/>
      <c r="M145" s="23"/>
      <c r="N145" s="23"/>
      <c r="O145" s="23"/>
    </row>
    <row r="146" spans="1:15" x14ac:dyDescent="0.25">
      <c r="A146" s="25"/>
      <c r="B146" s="61"/>
      <c r="C146" s="26"/>
      <c r="D146" s="20"/>
      <c r="E146" s="82"/>
      <c r="F146" s="21"/>
      <c r="G146" s="17"/>
      <c r="H146" s="79"/>
      <c r="I146" s="18"/>
      <c r="J146" s="73"/>
      <c r="K146" s="83"/>
      <c r="L146" s="74"/>
      <c r="M146" s="23"/>
      <c r="N146" s="23"/>
      <c r="O146" s="23"/>
    </row>
    <row r="147" spans="1:15" x14ac:dyDescent="0.25">
      <c r="A147" s="25"/>
      <c r="B147" s="61"/>
      <c r="C147" s="26"/>
      <c r="D147" s="20"/>
      <c r="E147" s="82"/>
      <c r="F147" s="21"/>
      <c r="G147" s="17"/>
      <c r="H147" s="79"/>
      <c r="I147" s="18"/>
      <c r="J147" s="73"/>
      <c r="K147" s="83"/>
      <c r="L147" s="74"/>
      <c r="M147" s="23"/>
      <c r="N147" s="23"/>
      <c r="O147" s="23"/>
    </row>
    <row r="148" spans="1:15" x14ac:dyDescent="0.25">
      <c r="A148" s="25"/>
      <c r="B148" s="61"/>
      <c r="C148" s="26"/>
      <c r="D148" s="20"/>
      <c r="E148" s="82"/>
      <c r="F148" s="21"/>
      <c r="G148" s="17"/>
      <c r="H148" s="79"/>
      <c r="I148" s="18"/>
      <c r="J148" s="73"/>
      <c r="K148" s="83"/>
      <c r="L148" s="74"/>
      <c r="M148" s="23"/>
      <c r="N148" s="23"/>
      <c r="O148" s="23"/>
    </row>
    <row r="149" spans="1:15" x14ac:dyDescent="0.25">
      <c r="A149" s="25"/>
      <c r="B149" s="61"/>
      <c r="C149" s="26"/>
      <c r="D149" s="20"/>
      <c r="E149" s="82"/>
      <c r="F149" s="21"/>
      <c r="G149" s="17"/>
      <c r="H149" s="79"/>
      <c r="I149" s="18"/>
      <c r="J149" s="73"/>
      <c r="K149" s="83"/>
      <c r="L149" s="74"/>
      <c r="M149" s="23"/>
      <c r="N149" s="23"/>
      <c r="O149" s="23"/>
    </row>
    <row r="150" spans="1:15" x14ac:dyDescent="0.25">
      <c r="A150" s="25"/>
      <c r="B150" s="61"/>
      <c r="C150" s="26"/>
      <c r="D150" s="20"/>
      <c r="E150" s="82"/>
      <c r="F150" s="21"/>
      <c r="G150" s="17"/>
      <c r="H150" s="79"/>
      <c r="I150" s="18"/>
      <c r="J150" s="73"/>
      <c r="K150" s="83"/>
      <c r="L150" s="74"/>
      <c r="M150" s="23"/>
      <c r="N150" s="23"/>
      <c r="O150" s="23"/>
    </row>
    <row r="151" spans="1:15" x14ac:dyDescent="0.25">
      <c r="A151" s="25"/>
      <c r="B151" s="61"/>
      <c r="C151" s="26"/>
      <c r="D151" s="20"/>
      <c r="E151" s="82"/>
      <c r="F151" s="21"/>
      <c r="G151" s="17"/>
      <c r="H151" s="79"/>
      <c r="I151" s="18"/>
      <c r="J151" s="73"/>
      <c r="K151" s="83"/>
      <c r="L151" s="74"/>
      <c r="M151" s="23"/>
      <c r="N151" s="23"/>
      <c r="O151" s="23"/>
    </row>
    <row r="152" spans="1:15" x14ac:dyDescent="0.25">
      <c r="A152" s="25"/>
      <c r="B152" s="61"/>
      <c r="C152" s="26"/>
      <c r="D152" s="20"/>
      <c r="E152" s="82"/>
      <c r="F152" s="21"/>
      <c r="G152" s="17"/>
      <c r="H152" s="79"/>
      <c r="I152" s="18"/>
      <c r="J152" s="73"/>
      <c r="K152" s="83"/>
      <c r="L152" s="74"/>
      <c r="M152" s="23"/>
      <c r="N152" s="23"/>
      <c r="O152" s="23"/>
    </row>
    <row r="153" spans="1:15" x14ac:dyDescent="0.25">
      <c r="A153" s="25"/>
      <c r="B153" s="61"/>
      <c r="C153" s="26"/>
      <c r="D153" s="20"/>
      <c r="E153" s="82"/>
      <c r="F153" s="21"/>
      <c r="G153" s="17"/>
      <c r="H153" s="79"/>
      <c r="I153" s="18"/>
      <c r="J153" s="73"/>
      <c r="K153" s="83"/>
      <c r="L153" s="74"/>
      <c r="M153" s="23"/>
      <c r="N153" s="23"/>
      <c r="O153" s="23"/>
    </row>
    <row r="154" spans="1:15" x14ac:dyDescent="0.25">
      <c r="A154" s="25"/>
      <c r="B154" s="61"/>
      <c r="C154" s="26"/>
      <c r="D154" s="20"/>
      <c r="E154" s="82"/>
      <c r="F154" s="21"/>
      <c r="G154" s="17"/>
      <c r="H154" s="79"/>
      <c r="I154" s="18"/>
      <c r="J154" s="73"/>
      <c r="K154" s="83"/>
      <c r="L154" s="74"/>
      <c r="M154" s="23"/>
      <c r="N154" s="23"/>
      <c r="O154" s="23"/>
    </row>
    <row r="155" spans="1:15" x14ac:dyDescent="0.25">
      <c r="A155" s="25"/>
      <c r="B155" s="61"/>
      <c r="C155" s="26"/>
      <c r="D155" s="20"/>
      <c r="E155" s="82"/>
      <c r="F155" s="21"/>
      <c r="G155" s="17"/>
      <c r="H155" s="79"/>
      <c r="I155" s="18"/>
      <c r="J155" s="73"/>
      <c r="K155" s="83"/>
      <c r="L155" s="74"/>
      <c r="M155" s="23"/>
      <c r="N155" s="23"/>
      <c r="O155" s="23"/>
    </row>
    <row r="156" spans="1:15" x14ac:dyDescent="0.25">
      <c r="A156" s="25"/>
      <c r="B156" s="61"/>
      <c r="C156" s="26"/>
      <c r="D156" s="20"/>
      <c r="E156" s="82"/>
      <c r="F156" s="21"/>
      <c r="G156" s="17"/>
      <c r="H156" s="79"/>
      <c r="I156" s="18"/>
      <c r="J156" s="73"/>
      <c r="K156" s="83"/>
      <c r="L156" s="74"/>
      <c r="M156" s="23"/>
      <c r="N156" s="23"/>
      <c r="O156" s="23"/>
    </row>
    <row r="157" spans="1:15" x14ac:dyDescent="0.25">
      <c r="A157" s="25"/>
      <c r="B157" s="61"/>
      <c r="C157" s="26"/>
      <c r="D157" s="20"/>
      <c r="E157" s="82"/>
      <c r="F157" s="21"/>
      <c r="G157" s="17"/>
      <c r="H157" s="79"/>
      <c r="I157" s="18"/>
      <c r="J157" s="73"/>
      <c r="K157" s="83"/>
      <c r="L157" s="74"/>
      <c r="M157" s="23"/>
      <c r="N157" s="23"/>
      <c r="O157" s="23"/>
    </row>
    <row r="158" spans="1:15" x14ac:dyDescent="0.25">
      <c r="A158" s="25"/>
      <c r="B158" s="61"/>
      <c r="C158" s="26"/>
      <c r="D158" s="20"/>
      <c r="E158" s="82"/>
      <c r="F158" s="21"/>
      <c r="G158" s="17"/>
      <c r="H158" s="79"/>
      <c r="I158" s="18"/>
      <c r="J158" s="73"/>
      <c r="K158" s="83"/>
      <c r="L158" s="74"/>
      <c r="M158" s="23"/>
      <c r="N158" s="23"/>
      <c r="O158" s="23"/>
    </row>
    <row r="159" spans="1:15" x14ac:dyDescent="0.25">
      <c r="A159" s="25"/>
      <c r="B159" s="61"/>
      <c r="C159" s="26"/>
      <c r="D159" s="20"/>
      <c r="E159" s="82"/>
      <c r="F159" s="21"/>
      <c r="G159" s="17"/>
      <c r="H159" s="79"/>
      <c r="I159" s="18"/>
      <c r="J159" s="73"/>
      <c r="K159" s="83"/>
      <c r="L159" s="74"/>
      <c r="M159" s="23"/>
      <c r="N159" s="23"/>
      <c r="O159" s="23"/>
    </row>
    <row r="160" spans="1:15" x14ac:dyDescent="0.25">
      <c r="A160" s="25"/>
      <c r="B160" s="61"/>
      <c r="C160" s="26"/>
      <c r="D160" s="20"/>
      <c r="E160" s="82"/>
      <c r="F160" s="21"/>
      <c r="G160" s="17"/>
      <c r="H160" s="79"/>
      <c r="I160" s="18"/>
      <c r="J160" s="73"/>
      <c r="K160" s="83"/>
      <c r="L160" s="74"/>
      <c r="M160" s="23"/>
      <c r="N160" s="23"/>
      <c r="O160" s="23"/>
    </row>
    <row r="161" spans="1:15" x14ac:dyDescent="0.25">
      <c r="A161" s="25"/>
      <c r="B161" s="61"/>
      <c r="C161" s="26"/>
      <c r="D161" s="20"/>
      <c r="E161" s="82"/>
      <c r="F161" s="21"/>
      <c r="G161" s="17"/>
      <c r="H161" s="79"/>
      <c r="I161" s="18"/>
      <c r="J161" s="73"/>
      <c r="K161" s="83"/>
      <c r="L161" s="74"/>
      <c r="M161" s="23"/>
      <c r="N161" s="23"/>
      <c r="O161" s="23"/>
    </row>
    <row r="162" spans="1:15" x14ac:dyDescent="0.25">
      <c r="A162" s="25"/>
      <c r="B162" s="61"/>
      <c r="C162" s="26"/>
      <c r="D162" s="20"/>
      <c r="E162" s="82"/>
      <c r="F162" s="21"/>
      <c r="G162" s="17"/>
      <c r="H162" s="79"/>
      <c r="I162" s="18"/>
      <c r="J162" s="73"/>
      <c r="K162" s="83"/>
      <c r="L162" s="74"/>
      <c r="M162" s="23"/>
      <c r="N162" s="23"/>
      <c r="O162" s="23"/>
    </row>
    <row r="163" spans="1:15" x14ac:dyDescent="0.25">
      <c r="A163" s="25"/>
      <c r="B163" s="61"/>
      <c r="C163" s="26"/>
      <c r="D163" s="20"/>
      <c r="E163" s="82"/>
      <c r="F163" s="21"/>
      <c r="G163" s="17"/>
      <c r="H163" s="79"/>
      <c r="I163" s="18"/>
      <c r="J163" s="73"/>
      <c r="K163" s="83"/>
      <c r="L163" s="74"/>
      <c r="M163" s="23"/>
      <c r="N163" s="23"/>
      <c r="O163" s="23"/>
    </row>
    <row r="164" spans="1:15" x14ac:dyDescent="0.25">
      <c r="A164" s="25"/>
      <c r="B164" s="61"/>
      <c r="C164" s="26"/>
      <c r="D164" s="20"/>
      <c r="E164" s="82"/>
      <c r="F164" s="21"/>
      <c r="G164" s="17"/>
      <c r="H164" s="79"/>
      <c r="I164" s="18"/>
      <c r="J164" s="73"/>
      <c r="K164" s="83"/>
      <c r="L164" s="74"/>
      <c r="M164" s="23"/>
      <c r="N164" s="23"/>
      <c r="O164" s="23"/>
    </row>
    <row r="165" spans="1:15" x14ac:dyDescent="0.25">
      <c r="A165" s="25"/>
      <c r="B165" s="61"/>
      <c r="C165" s="26"/>
      <c r="D165" s="20"/>
      <c r="E165" s="82"/>
      <c r="F165" s="21"/>
      <c r="G165" s="17"/>
      <c r="H165" s="79"/>
      <c r="I165" s="18"/>
      <c r="J165" s="73"/>
      <c r="K165" s="83"/>
      <c r="L165" s="74"/>
      <c r="M165" s="23"/>
      <c r="N165" s="23"/>
      <c r="O165" s="23"/>
    </row>
    <row r="166" spans="1:15" x14ac:dyDescent="0.25">
      <c r="A166" s="25"/>
      <c r="B166" s="61"/>
      <c r="C166" s="26"/>
      <c r="D166" s="20"/>
      <c r="E166" s="82"/>
      <c r="F166" s="21"/>
      <c r="G166" s="17"/>
      <c r="H166" s="79"/>
      <c r="I166" s="18"/>
      <c r="J166" s="73"/>
      <c r="K166" s="83"/>
      <c r="L166" s="74"/>
      <c r="M166" s="23"/>
      <c r="N166" s="23"/>
      <c r="O166" s="23"/>
    </row>
    <row r="167" spans="1:15" x14ac:dyDescent="0.25">
      <c r="A167" s="25"/>
      <c r="B167" s="61"/>
      <c r="C167" s="26"/>
      <c r="D167" s="20"/>
      <c r="E167" s="82"/>
      <c r="F167" s="21"/>
      <c r="G167" s="17"/>
      <c r="H167" s="79"/>
      <c r="I167" s="18"/>
      <c r="J167" s="73"/>
      <c r="K167" s="83"/>
      <c r="L167" s="74"/>
      <c r="M167" s="23"/>
      <c r="N167" s="23"/>
      <c r="O167" s="23"/>
    </row>
    <row r="168" spans="1:15" x14ac:dyDescent="0.25">
      <c r="A168" s="25"/>
      <c r="B168" s="61"/>
      <c r="C168" s="26"/>
      <c r="D168" s="20"/>
      <c r="E168" s="82"/>
      <c r="F168" s="21"/>
      <c r="G168" s="17"/>
      <c r="H168" s="79"/>
      <c r="I168" s="18"/>
      <c r="J168" s="73"/>
      <c r="K168" s="83"/>
      <c r="L168" s="74"/>
      <c r="M168" s="23"/>
      <c r="N168" s="23"/>
      <c r="O168" s="23"/>
    </row>
    <row r="169" spans="1:15" x14ac:dyDescent="0.25">
      <c r="A169" s="25"/>
      <c r="B169" s="61"/>
      <c r="C169" s="26"/>
      <c r="D169" s="20"/>
      <c r="E169" s="82"/>
      <c r="F169" s="21"/>
      <c r="G169" s="17"/>
      <c r="H169" s="79"/>
      <c r="I169" s="18"/>
      <c r="J169" s="73"/>
      <c r="K169" s="83"/>
      <c r="L169" s="74"/>
      <c r="M169" s="23"/>
      <c r="N169" s="23"/>
      <c r="O169" s="23"/>
    </row>
    <row r="170" spans="1:15" x14ac:dyDescent="0.25">
      <c r="A170" s="25"/>
      <c r="B170" s="61"/>
      <c r="C170" s="26"/>
      <c r="D170" s="20"/>
      <c r="E170" s="82"/>
      <c r="F170" s="21"/>
      <c r="G170" s="17"/>
      <c r="H170" s="79"/>
      <c r="I170" s="18"/>
      <c r="J170" s="73"/>
      <c r="K170" s="83"/>
      <c r="L170" s="74"/>
      <c r="M170" s="23"/>
      <c r="N170" s="23"/>
      <c r="O170" s="23"/>
    </row>
    <row r="171" spans="1:15" x14ac:dyDescent="0.25">
      <c r="A171" s="25"/>
      <c r="B171" s="61"/>
      <c r="C171" s="26"/>
      <c r="D171" s="20"/>
      <c r="E171" s="82"/>
      <c r="F171" s="21"/>
      <c r="G171" s="17"/>
      <c r="H171" s="79"/>
      <c r="I171" s="18"/>
      <c r="J171" s="73"/>
      <c r="K171" s="83"/>
      <c r="L171" s="74"/>
      <c r="M171" s="23"/>
      <c r="N171" s="23"/>
      <c r="O171" s="23"/>
    </row>
    <row r="172" spans="1:15" x14ac:dyDescent="0.25">
      <c r="A172" s="25"/>
      <c r="B172" s="61"/>
      <c r="C172" s="26"/>
      <c r="D172" s="20"/>
      <c r="E172" s="82"/>
      <c r="F172" s="21"/>
      <c r="G172" s="17"/>
      <c r="H172" s="79"/>
      <c r="I172" s="18"/>
      <c r="J172" s="73"/>
      <c r="K172" s="83"/>
      <c r="L172" s="74"/>
      <c r="M172" s="23"/>
      <c r="N172" s="23"/>
      <c r="O172" s="23"/>
    </row>
    <row r="173" spans="1:15" x14ac:dyDescent="0.25">
      <c r="A173" s="25"/>
      <c r="B173" s="61"/>
      <c r="C173" s="26"/>
      <c r="D173" s="20"/>
      <c r="E173" s="82"/>
      <c r="F173" s="21"/>
      <c r="G173" s="17"/>
      <c r="H173" s="79"/>
      <c r="I173" s="18"/>
      <c r="J173" s="73"/>
      <c r="K173" s="83"/>
      <c r="L173" s="74"/>
      <c r="M173" s="23"/>
      <c r="N173" s="23"/>
      <c r="O173" s="23"/>
    </row>
    <row r="174" spans="1:15" x14ac:dyDescent="0.25">
      <c r="A174" s="25"/>
      <c r="B174" s="61"/>
      <c r="C174" s="26"/>
      <c r="D174" s="20"/>
      <c r="E174" s="82"/>
      <c r="F174" s="21"/>
      <c r="G174" s="17"/>
      <c r="H174" s="79"/>
      <c r="I174" s="18"/>
      <c r="J174" s="73"/>
      <c r="K174" s="83"/>
      <c r="L174" s="74"/>
      <c r="M174" s="23"/>
      <c r="N174" s="23"/>
      <c r="O174" s="23"/>
    </row>
    <row r="175" spans="1:15" x14ac:dyDescent="0.25">
      <c r="A175" s="37"/>
      <c r="B175" s="78"/>
      <c r="C175" s="70"/>
      <c r="D175" s="37"/>
      <c r="E175" s="70"/>
      <c r="F175" s="70"/>
      <c r="G175" s="37"/>
      <c r="H175" s="70"/>
      <c r="I175" s="70"/>
      <c r="J175" s="73"/>
      <c r="K175" s="83"/>
      <c r="L175" s="74"/>
      <c r="M175" s="70"/>
      <c r="N175" s="70"/>
      <c r="O175" s="70"/>
    </row>
    <row r="176" spans="1:15" x14ac:dyDescent="0.25">
      <c r="A176" s="37"/>
      <c r="B176" s="78"/>
      <c r="C176" s="70"/>
      <c r="D176" s="37"/>
      <c r="E176" s="70"/>
      <c r="F176" s="70"/>
      <c r="G176" s="37"/>
      <c r="H176" s="70"/>
      <c r="I176" s="70"/>
      <c r="J176" s="37"/>
      <c r="K176" s="70"/>
      <c r="L176" s="70"/>
      <c r="M176" s="70"/>
      <c r="N176" s="70"/>
      <c r="O176" s="70"/>
    </row>
    <row r="177" spans="1:15" x14ac:dyDescent="0.25">
      <c r="A177" s="37"/>
      <c r="B177" s="78"/>
      <c r="C177" s="70"/>
      <c r="D177" s="37"/>
      <c r="E177" s="70"/>
      <c r="F177" s="70"/>
      <c r="G177" s="37"/>
      <c r="H177" s="70"/>
      <c r="I177" s="70"/>
      <c r="J177" s="37"/>
      <c r="K177" s="70"/>
      <c r="L177" s="70"/>
      <c r="M177" s="70"/>
      <c r="N177" s="70"/>
      <c r="O177" s="70"/>
    </row>
    <row r="178" spans="1:15" x14ac:dyDescent="0.25">
      <c r="A178" s="37"/>
      <c r="B178" s="78"/>
      <c r="C178" s="70"/>
      <c r="D178" s="37"/>
      <c r="E178" s="70"/>
      <c r="F178" s="70"/>
      <c r="G178" s="37"/>
      <c r="H178" s="70"/>
      <c r="I178" s="70"/>
      <c r="J178" s="37"/>
      <c r="K178" s="70"/>
      <c r="L178" s="70"/>
      <c r="M178" s="70"/>
      <c r="N178" s="70"/>
      <c r="O178" s="70"/>
    </row>
    <row r="179" spans="1:15" x14ac:dyDescent="0.25">
      <c r="A179" s="37"/>
      <c r="B179" s="78"/>
      <c r="C179" s="70"/>
      <c r="D179" s="37"/>
      <c r="E179" s="70"/>
      <c r="F179" s="70"/>
      <c r="G179" s="37"/>
      <c r="H179" s="70"/>
      <c r="I179" s="70"/>
      <c r="J179" s="37"/>
      <c r="K179" s="70"/>
      <c r="L179" s="70"/>
      <c r="M179" s="70"/>
      <c r="N179" s="70"/>
      <c r="O179" s="70"/>
    </row>
    <row r="180" spans="1:15" x14ac:dyDescent="0.25">
      <c r="A180" s="37"/>
      <c r="B180" s="78"/>
      <c r="C180" s="70"/>
      <c r="D180" s="37"/>
      <c r="E180" s="70"/>
      <c r="F180" s="70"/>
      <c r="G180" s="37"/>
      <c r="H180" s="70"/>
      <c r="I180" s="70"/>
      <c r="J180" s="37"/>
      <c r="K180" s="70"/>
      <c r="L180" s="70"/>
      <c r="M180" s="70"/>
      <c r="N180" s="70"/>
      <c r="O180" s="70"/>
    </row>
    <row r="181" spans="1:15" x14ac:dyDescent="0.25">
      <c r="A181" s="37"/>
      <c r="B181" s="78"/>
      <c r="C181" s="70"/>
      <c r="D181" s="37"/>
      <c r="E181" s="70"/>
      <c r="F181" s="70"/>
      <c r="G181" s="37"/>
      <c r="H181" s="70"/>
      <c r="I181" s="70"/>
      <c r="J181" s="37"/>
      <c r="K181" s="70"/>
      <c r="L181" s="70"/>
      <c r="M181" s="70"/>
      <c r="N181" s="70"/>
      <c r="O181" s="70"/>
    </row>
    <row r="182" spans="1:15" x14ac:dyDescent="0.25">
      <c r="A182" s="37"/>
      <c r="B182" s="78"/>
      <c r="C182" s="70"/>
      <c r="D182" s="37"/>
      <c r="E182" s="70"/>
      <c r="F182" s="70"/>
      <c r="G182" s="37"/>
      <c r="H182" s="70"/>
      <c r="I182" s="70"/>
      <c r="J182" s="37"/>
      <c r="K182" s="70"/>
      <c r="L182" s="70"/>
      <c r="M182" s="70"/>
      <c r="N182" s="70"/>
      <c r="O182" s="70"/>
    </row>
    <row r="183" spans="1:15" x14ac:dyDescent="0.25">
      <c r="A183" s="37"/>
      <c r="B183" s="78"/>
      <c r="C183" s="70"/>
      <c r="D183" s="37"/>
      <c r="E183" s="70"/>
      <c r="F183" s="70"/>
      <c r="G183" s="37"/>
      <c r="H183" s="70"/>
      <c r="I183" s="70"/>
      <c r="J183" s="37"/>
      <c r="K183" s="70"/>
      <c r="L183" s="70"/>
      <c r="M183" s="70"/>
      <c r="N183" s="70"/>
      <c r="O183" s="70"/>
    </row>
    <row r="184" spans="1:15" x14ac:dyDescent="0.25">
      <c r="A184" s="37"/>
      <c r="B184" s="78"/>
      <c r="C184" s="70"/>
      <c r="D184" s="37"/>
      <c r="E184" s="70"/>
      <c r="F184" s="70"/>
      <c r="G184" s="37"/>
      <c r="H184" s="70"/>
      <c r="I184" s="70"/>
      <c r="J184" s="37"/>
      <c r="K184" s="70"/>
      <c r="L184" s="70"/>
      <c r="M184" s="70"/>
      <c r="N184" s="70"/>
      <c r="O184" s="70"/>
    </row>
    <row r="185" spans="1:15" x14ac:dyDescent="0.25">
      <c r="A185" s="37"/>
      <c r="B185" s="78"/>
      <c r="C185" s="70"/>
      <c r="D185" s="37"/>
      <c r="E185" s="70"/>
      <c r="F185" s="70"/>
      <c r="G185" s="37"/>
      <c r="H185" s="70"/>
      <c r="I185" s="70"/>
      <c r="J185" s="37"/>
      <c r="K185" s="70"/>
      <c r="L185" s="70"/>
      <c r="M185" s="70"/>
      <c r="N185" s="70"/>
      <c r="O185" s="70"/>
    </row>
    <row r="186" spans="1:15" x14ac:dyDescent="0.25">
      <c r="A186" s="37"/>
      <c r="B186" s="78"/>
      <c r="C186" s="70"/>
      <c r="D186" s="37"/>
      <c r="E186" s="70"/>
      <c r="F186" s="70"/>
      <c r="G186" s="37"/>
      <c r="H186" s="70"/>
      <c r="I186" s="70"/>
      <c r="J186" s="37"/>
      <c r="K186" s="70"/>
      <c r="L186" s="70"/>
      <c r="M186" s="70"/>
      <c r="N186" s="70"/>
      <c r="O186" s="70"/>
    </row>
    <row r="187" spans="1:15" x14ac:dyDescent="0.25">
      <c r="A187" s="37"/>
      <c r="B187" s="78"/>
      <c r="C187" s="70"/>
      <c r="D187" s="37"/>
      <c r="E187" s="70"/>
      <c r="F187" s="70"/>
      <c r="G187" s="37"/>
      <c r="H187" s="70"/>
      <c r="I187" s="70"/>
      <c r="J187" s="37"/>
      <c r="K187" s="70"/>
      <c r="L187" s="70"/>
      <c r="M187" s="70"/>
      <c r="N187" s="70"/>
      <c r="O187" s="70"/>
    </row>
    <row r="188" spans="1:15" x14ac:dyDescent="0.25">
      <c r="A188" s="37"/>
      <c r="B188" s="78"/>
      <c r="C188" s="70"/>
      <c r="D188" s="37"/>
      <c r="E188" s="70"/>
      <c r="F188" s="70"/>
      <c r="G188" s="37"/>
      <c r="H188" s="70"/>
      <c r="I188" s="70"/>
      <c r="J188" s="37"/>
      <c r="K188" s="70"/>
      <c r="L188" s="70"/>
      <c r="M188" s="70"/>
      <c r="N188" s="70"/>
      <c r="O188" s="70"/>
    </row>
    <row r="189" spans="1:15" x14ac:dyDescent="0.25">
      <c r="A189" s="37"/>
      <c r="B189" s="78"/>
      <c r="C189" s="70"/>
      <c r="D189" s="37"/>
      <c r="E189" s="70"/>
      <c r="F189" s="70"/>
      <c r="G189" s="37"/>
      <c r="H189" s="70"/>
      <c r="I189" s="70"/>
      <c r="J189" s="37"/>
      <c r="K189" s="70"/>
      <c r="L189" s="70"/>
      <c r="M189" s="70"/>
      <c r="N189" s="70"/>
      <c r="O189" s="70"/>
    </row>
    <row r="190" spans="1:15" x14ac:dyDescent="0.25">
      <c r="A190" s="37"/>
      <c r="B190" s="78"/>
      <c r="C190" s="70"/>
      <c r="D190" s="37"/>
      <c r="E190" s="70"/>
      <c r="F190" s="70"/>
      <c r="G190" s="37"/>
      <c r="H190" s="70"/>
      <c r="I190" s="70"/>
      <c r="J190" s="37"/>
      <c r="K190" s="70"/>
      <c r="L190" s="70"/>
      <c r="M190" s="70"/>
      <c r="N190" s="70"/>
      <c r="O190" s="70"/>
    </row>
    <row r="191" spans="1:15" x14ac:dyDescent="0.25">
      <c r="A191" s="37"/>
      <c r="B191" s="78"/>
      <c r="C191" s="70"/>
      <c r="D191" s="37"/>
      <c r="E191" s="70"/>
      <c r="F191" s="70"/>
      <c r="G191" s="37"/>
      <c r="H191" s="70"/>
      <c r="I191" s="70"/>
      <c r="J191" s="37"/>
      <c r="K191" s="70"/>
      <c r="L191" s="70"/>
      <c r="M191" s="70"/>
      <c r="N191" s="70"/>
      <c r="O191" s="70"/>
    </row>
    <row r="192" spans="1:15" x14ac:dyDescent="0.25">
      <c r="A192" s="37"/>
      <c r="B192" s="78"/>
      <c r="C192" s="70"/>
      <c r="D192" s="37"/>
      <c r="E192" s="70"/>
      <c r="F192" s="70"/>
      <c r="G192" s="37"/>
      <c r="H192" s="70"/>
      <c r="I192" s="70"/>
      <c r="J192" s="37"/>
      <c r="K192" s="70"/>
      <c r="L192" s="70"/>
      <c r="M192" s="70"/>
      <c r="N192" s="70"/>
      <c r="O192" s="70"/>
    </row>
    <row r="193" spans="1:15" x14ac:dyDescent="0.25">
      <c r="A193" s="37"/>
      <c r="B193" s="78"/>
      <c r="C193" s="70"/>
      <c r="D193" s="37"/>
      <c r="E193" s="70"/>
      <c r="F193" s="70"/>
      <c r="G193" s="37"/>
      <c r="H193" s="70"/>
      <c r="I193" s="70"/>
      <c r="J193" s="37"/>
      <c r="K193" s="70"/>
      <c r="L193" s="70"/>
      <c r="M193" s="70"/>
      <c r="N193" s="70"/>
      <c r="O193" s="70"/>
    </row>
    <row r="194" spans="1:15" x14ac:dyDescent="0.25">
      <c r="A194" s="37"/>
      <c r="B194" s="78"/>
      <c r="C194" s="70"/>
      <c r="D194" s="37"/>
      <c r="E194" s="70"/>
      <c r="F194" s="70"/>
      <c r="G194" s="37"/>
      <c r="H194" s="70"/>
      <c r="I194" s="70"/>
      <c r="J194" s="37"/>
      <c r="K194" s="70"/>
      <c r="L194" s="70"/>
      <c r="M194" s="70"/>
      <c r="N194" s="70"/>
      <c r="O194" s="70"/>
    </row>
    <row r="195" spans="1:15" x14ac:dyDescent="0.25">
      <c r="A195" s="37"/>
      <c r="B195" s="78"/>
      <c r="C195" s="70"/>
      <c r="D195" s="37"/>
      <c r="E195" s="70"/>
      <c r="F195" s="70"/>
      <c r="G195" s="37"/>
      <c r="H195" s="70"/>
      <c r="I195" s="70"/>
      <c r="J195" s="37"/>
      <c r="K195" s="70"/>
      <c r="L195" s="70"/>
      <c r="M195" s="70"/>
      <c r="N195" s="70"/>
      <c r="O195" s="70"/>
    </row>
    <row r="196" spans="1:15" x14ac:dyDescent="0.25">
      <c r="A196" s="37"/>
      <c r="B196" s="78"/>
      <c r="C196" s="70"/>
      <c r="D196" s="37"/>
      <c r="E196" s="70"/>
      <c r="F196" s="70"/>
      <c r="G196" s="37"/>
      <c r="H196" s="70"/>
      <c r="I196" s="70"/>
      <c r="J196" s="37"/>
      <c r="K196" s="70"/>
      <c r="L196" s="70"/>
      <c r="M196" s="70"/>
      <c r="N196" s="70"/>
      <c r="O196" s="70"/>
    </row>
    <row r="197" spans="1:15" x14ac:dyDescent="0.25">
      <c r="A197" s="37"/>
      <c r="B197" s="78"/>
      <c r="C197" s="70"/>
      <c r="D197" s="37"/>
      <c r="E197" s="70"/>
      <c r="F197" s="70"/>
      <c r="G197" s="37"/>
      <c r="H197" s="70"/>
      <c r="I197" s="70"/>
      <c r="J197" s="37"/>
      <c r="K197" s="70"/>
      <c r="L197" s="70"/>
      <c r="M197" s="70"/>
      <c r="N197" s="70"/>
      <c r="O197" s="70"/>
    </row>
    <row r="198" spans="1:15" x14ac:dyDescent="0.25">
      <c r="A198" s="37"/>
      <c r="B198" s="78"/>
      <c r="C198" s="70"/>
      <c r="D198" s="37"/>
      <c r="E198" s="70"/>
      <c r="F198" s="70"/>
      <c r="G198" s="37"/>
      <c r="H198" s="70"/>
      <c r="I198" s="70"/>
      <c r="J198" s="37"/>
      <c r="K198" s="70"/>
      <c r="L198" s="70"/>
      <c r="M198" s="70"/>
      <c r="N198" s="70"/>
      <c r="O198" s="70"/>
    </row>
    <row r="199" spans="1:15" x14ac:dyDescent="0.25">
      <c r="A199" s="37"/>
      <c r="B199" s="78"/>
      <c r="C199" s="70"/>
      <c r="D199" s="37"/>
      <c r="E199" s="70"/>
      <c r="F199" s="70"/>
      <c r="G199" s="37"/>
      <c r="H199" s="70"/>
      <c r="I199" s="70"/>
      <c r="J199" s="37"/>
      <c r="K199" s="70"/>
      <c r="L199" s="70"/>
      <c r="M199" s="70"/>
      <c r="N199" s="70"/>
      <c r="O199" s="70"/>
    </row>
    <row r="200" spans="1:15" x14ac:dyDescent="0.25">
      <c r="A200" s="37"/>
      <c r="B200" s="78"/>
      <c r="C200" s="70"/>
      <c r="D200" s="37"/>
      <c r="E200" s="70"/>
      <c r="F200" s="70"/>
      <c r="G200" s="37"/>
      <c r="H200" s="70"/>
      <c r="I200" s="70"/>
      <c r="J200" s="37"/>
      <c r="K200" s="70"/>
      <c r="L200" s="70"/>
      <c r="M200" s="70"/>
      <c r="N200" s="70"/>
      <c r="O200" s="70"/>
    </row>
    <row r="201" spans="1:15" x14ac:dyDescent="0.25">
      <c r="A201" s="37"/>
      <c r="B201" s="78"/>
      <c r="C201" s="70"/>
      <c r="D201" s="37"/>
      <c r="E201" s="70"/>
      <c r="F201" s="70"/>
      <c r="G201" s="37"/>
      <c r="H201" s="70"/>
      <c r="I201" s="70"/>
      <c r="J201" s="37"/>
      <c r="K201" s="70"/>
      <c r="L201" s="70"/>
      <c r="M201" s="70"/>
      <c r="N201" s="70"/>
      <c r="O201" s="70"/>
    </row>
    <row r="202" spans="1:15" x14ac:dyDescent="0.25">
      <c r="A202" s="37"/>
      <c r="B202" s="78"/>
      <c r="C202" s="70"/>
      <c r="D202" s="37"/>
      <c r="E202" s="70"/>
      <c r="F202" s="70"/>
      <c r="G202" s="37"/>
      <c r="H202" s="70"/>
      <c r="I202" s="70"/>
      <c r="J202" s="37"/>
      <c r="K202" s="70"/>
      <c r="L202" s="70"/>
      <c r="M202" s="70"/>
      <c r="N202" s="70"/>
      <c r="O202" s="70"/>
    </row>
    <row r="203" spans="1:15" x14ac:dyDescent="0.25">
      <c r="A203" s="37"/>
      <c r="B203" s="78"/>
      <c r="C203" s="70"/>
      <c r="D203" s="37"/>
      <c r="E203" s="70"/>
      <c r="F203" s="70"/>
      <c r="G203" s="37"/>
      <c r="H203" s="70"/>
      <c r="I203" s="70"/>
      <c r="J203" s="37"/>
      <c r="K203" s="70"/>
      <c r="L203" s="70"/>
      <c r="M203" s="70"/>
      <c r="N203" s="70"/>
      <c r="O203" s="70"/>
    </row>
    <row r="204" spans="1:15" x14ac:dyDescent="0.25">
      <c r="A204" s="37"/>
      <c r="B204" s="78"/>
      <c r="C204" s="70"/>
      <c r="D204" s="37"/>
      <c r="E204" s="70"/>
      <c r="F204" s="70"/>
      <c r="G204" s="37"/>
      <c r="H204" s="70"/>
      <c r="I204" s="70"/>
      <c r="J204" s="37"/>
      <c r="K204" s="70"/>
      <c r="L204" s="70"/>
      <c r="M204" s="70"/>
      <c r="N204" s="70"/>
      <c r="O204" s="70"/>
    </row>
    <row r="205" spans="1:15" x14ac:dyDescent="0.25">
      <c r="A205" s="37"/>
      <c r="B205" s="78"/>
      <c r="C205" s="70"/>
      <c r="D205" s="37"/>
      <c r="E205" s="70"/>
      <c r="F205" s="70"/>
      <c r="G205" s="37"/>
      <c r="H205" s="70"/>
      <c r="I205" s="70"/>
      <c r="J205" s="37"/>
      <c r="K205" s="70"/>
      <c r="L205" s="70"/>
      <c r="M205" s="70"/>
      <c r="N205" s="70"/>
      <c r="O205" s="70"/>
    </row>
    <row r="206" spans="1:15" x14ac:dyDescent="0.25">
      <c r="A206" s="37"/>
      <c r="B206" s="78"/>
      <c r="C206" s="70"/>
      <c r="D206" s="37"/>
      <c r="E206" s="70"/>
      <c r="F206" s="70"/>
      <c r="G206" s="37"/>
      <c r="H206" s="70"/>
      <c r="I206" s="70"/>
      <c r="J206" s="37"/>
      <c r="K206" s="70"/>
      <c r="L206" s="70"/>
      <c r="M206" s="70"/>
      <c r="N206" s="70"/>
      <c r="O206" s="70"/>
    </row>
    <row r="207" spans="1:15" x14ac:dyDescent="0.25">
      <c r="A207" s="37"/>
      <c r="B207" s="78"/>
      <c r="C207" s="70"/>
      <c r="D207" s="37"/>
      <c r="E207" s="70"/>
      <c r="F207" s="70"/>
      <c r="G207" s="37"/>
      <c r="H207" s="70"/>
      <c r="I207" s="70"/>
      <c r="J207" s="37"/>
      <c r="K207" s="70"/>
      <c r="L207" s="70"/>
      <c r="M207" s="70"/>
      <c r="N207" s="70"/>
      <c r="O207" s="70"/>
    </row>
    <row r="208" spans="1:15" x14ac:dyDescent="0.25">
      <c r="A208" s="37"/>
      <c r="B208" s="78"/>
      <c r="C208" s="70"/>
      <c r="D208" s="37"/>
      <c r="E208" s="70"/>
      <c r="F208" s="70"/>
      <c r="G208" s="37"/>
      <c r="H208" s="70"/>
      <c r="I208" s="70"/>
      <c r="J208" s="37"/>
      <c r="K208" s="70"/>
      <c r="L208" s="70"/>
      <c r="M208" s="70"/>
      <c r="N208" s="70"/>
      <c r="O208" s="70"/>
    </row>
    <row r="209" spans="1:15" x14ac:dyDescent="0.25">
      <c r="A209" s="37"/>
      <c r="B209" s="78"/>
      <c r="C209" s="70"/>
      <c r="D209" s="37"/>
      <c r="E209" s="70"/>
      <c r="F209" s="70"/>
      <c r="G209" s="37"/>
      <c r="H209" s="70"/>
      <c r="I209" s="70"/>
      <c r="J209" s="37"/>
      <c r="K209" s="70"/>
      <c r="L209" s="70"/>
      <c r="M209" s="70"/>
      <c r="N209" s="70"/>
      <c r="O209" s="70"/>
    </row>
    <row r="210" spans="1:15" x14ac:dyDescent="0.25">
      <c r="A210" s="37"/>
      <c r="B210" s="78"/>
      <c r="C210" s="70"/>
      <c r="D210" s="37"/>
      <c r="E210" s="70"/>
      <c r="F210" s="70"/>
      <c r="G210" s="37"/>
      <c r="H210" s="70"/>
      <c r="I210" s="70"/>
      <c r="J210" s="37"/>
      <c r="K210" s="70"/>
      <c r="L210" s="70"/>
      <c r="M210" s="70"/>
      <c r="N210" s="70"/>
      <c r="O210" s="70"/>
    </row>
    <row r="211" spans="1:15" x14ac:dyDescent="0.25">
      <c r="A211" s="37"/>
      <c r="B211" s="78"/>
      <c r="C211" s="70"/>
      <c r="D211" s="37"/>
      <c r="E211" s="70"/>
      <c r="F211" s="70"/>
      <c r="G211" s="37"/>
      <c r="H211" s="70"/>
      <c r="I211" s="70"/>
      <c r="J211" s="37"/>
      <c r="K211" s="70"/>
      <c r="L211" s="70"/>
      <c r="M211" s="70"/>
      <c r="N211" s="70"/>
      <c r="O211" s="70"/>
    </row>
    <row r="212" spans="1:15" x14ac:dyDescent="0.25">
      <c r="A212" s="37"/>
      <c r="B212" s="78"/>
      <c r="C212" s="70"/>
      <c r="D212" s="37"/>
      <c r="E212" s="70"/>
      <c r="F212" s="70"/>
      <c r="G212" s="37"/>
      <c r="H212" s="70"/>
      <c r="I212" s="70"/>
      <c r="J212" s="37"/>
      <c r="K212" s="70"/>
      <c r="L212" s="70"/>
      <c r="M212" s="70"/>
      <c r="N212" s="70"/>
      <c r="O212" s="70"/>
    </row>
    <row r="213" spans="1:15" x14ac:dyDescent="0.25">
      <c r="A213" s="37"/>
      <c r="B213" s="78"/>
      <c r="C213" s="70"/>
      <c r="D213" s="37"/>
      <c r="E213" s="70"/>
      <c r="F213" s="70"/>
      <c r="G213" s="37"/>
      <c r="H213" s="70"/>
      <c r="I213" s="70"/>
      <c r="J213" s="37"/>
      <c r="K213" s="70"/>
      <c r="L213" s="70"/>
      <c r="M213" s="70"/>
      <c r="N213" s="70"/>
      <c r="O213" s="70"/>
    </row>
    <row r="214" spans="1:15" x14ac:dyDescent="0.25">
      <c r="A214" s="37"/>
      <c r="B214" s="78"/>
      <c r="C214" s="70"/>
      <c r="D214" s="37"/>
      <c r="E214" s="70"/>
      <c r="F214" s="70"/>
      <c r="G214" s="37"/>
      <c r="H214" s="70"/>
      <c r="I214" s="70"/>
      <c r="J214" s="37"/>
      <c r="K214" s="70"/>
      <c r="L214" s="70"/>
      <c r="M214" s="70"/>
      <c r="N214" s="70"/>
      <c r="O214" s="70"/>
    </row>
    <row r="215" spans="1:15" x14ac:dyDescent="0.25">
      <c r="A215" s="37"/>
      <c r="B215" s="78"/>
      <c r="C215" s="70"/>
      <c r="D215" s="37"/>
      <c r="E215" s="70"/>
      <c r="F215" s="70"/>
      <c r="G215" s="37"/>
      <c r="H215" s="70"/>
      <c r="I215" s="70"/>
      <c r="J215" s="37"/>
      <c r="K215" s="70"/>
      <c r="L215" s="70"/>
      <c r="M215" s="70"/>
      <c r="N215" s="70"/>
      <c r="O215" s="70"/>
    </row>
    <row r="216" spans="1:15" x14ac:dyDescent="0.25">
      <c r="A216" s="37"/>
      <c r="B216" s="78"/>
      <c r="C216" s="70"/>
      <c r="D216" s="37"/>
      <c r="E216" s="70"/>
      <c r="F216" s="70"/>
      <c r="G216" s="37"/>
      <c r="H216" s="70"/>
      <c r="I216" s="70"/>
      <c r="J216" s="37"/>
      <c r="K216" s="70"/>
      <c r="L216" s="70"/>
      <c r="M216" s="70"/>
      <c r="N216" s="70"/>
      <c r="O216" s="70"/>
    </row>
    <row r="217" spans="1:15" x14ac:dyDescent="0.25">
      <c r="A217" s="37"/>
      <c r="B217" s="78"/>
      <c r="C217" s="70"/>
      <c r="D217" s="37"/>
      <c r="E217" s="70"/>
      <c r="F217" s="70"/>
      <c r="G217" s="37"/>
      <c r="H217" s="70"/>
      <c r="I217" s="70"/>
      <c r="J217" s="37"/>
      <c r="K217" s="70"/>
      <c r="L217" s="70"/>
      <c r="M217" s="70"/>
      <c r="N217" s="70"/>
      <c r="O217" s="70"/>
    </row>
    <row r="218" spans="1:15" x14ac:dyDescent="0.25">
      <c r="A218" s="37"/>
      <c r="B218" s="78"/>
      <c r="C218" s="70"/>
      <c r="D218" s="37"/>
      <c r="E218" s="70"/>
      <c r="F218" s="70"/>
      <c r="G218" s="37"/>
      <c r="H218" s="70"/>
      <c r="I218" s="70"/>
      <c r="J218" s="37"/>
      <c r="K218" s="70"/>
      <c r="L218" s="70"/>
      <c r="M218" s="70"/>
      <c r="N218" s="70"/>
      <c r="O218" s="70"/>
    </row>
    <row r="219" spans="1:15" x14ac:dyDescent="0.25">
      <c r="A219" s="37"/>
      <c r="B219" s="78"/>
      <c r="C219" s="70"/>
      <c r="D219" s="37"/>
      <c r="E219" s="70"/>
      <c r="F219" s="70"/>
      <c r="G219" s="37"/>
      <c r="H219" s="70"/>
      <c r="I219" s="70"/>
      <c r="J219" s="37"/>
      <c r="K219" s="70"/>
      <c r="L219" s="70"/>
      <c r="M219" s="70"/>
      <c r="N219" s="70"/>
      <c r="O219" s="70"/>
    </row>
    <row r="220" spans="1:15" x14ac:dyDescent="0.25">
      <c r="A220" s="37"/>
      <c r="B220" s="78"/>
      <c r="C220" s="70"/>
      <c r="D220" s="37"/>
      <c r="E220" s="70"/>
      <c r="F220" s="70"/>
      <c r="G220" s="37"/>
      <c r="H220" s="70"/>
      <c r="I220" s="70"/>
      <c r="J220" s="37"/>
      <c r="K220" s="70"/>
      <c r="L220" s="70"/>
      <c r="M220" s="70"/>
      <c r="N220" s="70"/>
      <c r="O220" s="70"/>
    </row>
    <row r="221" spans="1:15" x14ac:dyDescent="0.25">
      <c r="A221" s="37"/>
      <c r="B221" s="78"/>
      <c r="C221" s="70"/>
      <c r="D221" s="37"/>
      <c r="E221" s="70"/>
      <c r="F221" s="70"/>
      <c r="G221" s="37"/>
      <c r="H221" s="70"/>
      <c r="I221" s="70"/>
      <c r="J221" s="37"/>
      <c r="K221" s="70"/>
      <c r="L221" s="70"/>
      <c r="M221" s="70"/>
      <c r="N221" s="70"/>
      <c r="O221" s="70"/>
    </row>
    <row r="222" spans="1:15" x14ac:dyDescent="0.25">
      <c r="A222" s="37"/>
      <c r="B222" s="78"/>
      <c r="C222" s="70"/>
      <c r="D222" s="37"/>
      <c r="E222" s="70"/>
      <c r="F222" s="70"/>
      <c r="G222" s="37"/>
      <c r="H222" s="70"/>
      <c r="I222" s="70"/>
      <c r="J222" s="37"/>
      <c r="K222" s="70"/>
      <c r="L222" s="70"/>
      <c r="M222" s="70"/>
      <c r="N222" s="70"/>
      <c r="O222" s="70"/>
    </row>
    <row r="223" spans="1:15" x14ac:dyDescent="0.25">
      <c r="A223" s="37"/>
      <c r="B223" s="78"/>
      <c r="C223" s="70"/>
      <c r="D223" s="37"/>
      <c r="E223" s="70"/>
      <c r="F223" s="70"/>
      <c r="G223" s="37"/>
      <c r="H223" s="70"/>
      <c r="I223" s="70"/>
      <c r="J223" s="37"/>
      <c r="K223" s="70"/>
      <c r="L223" s="70"/>
      <c r="M223" s="70"/>
      <c r="N223" s="70"/>
      <c r="O223" s="70"/>
    </row>
    <row r="224" spans="1:15" x14ac:dyDescent="0.25">
      <c r="A224" s="37"/>
      <c r="B224" s="78"/>
      <c r="C224" s="70"/>
      <c r="D224" s="37"/>
      <c r="E224" s="70"/>
      <c r="F224" s="70"/>
      <c r="G224" s="37"/>
      <c r="H224" s="70"/>
      <c r="I224" s="70"/>
      <c r="J224" s="37"/>
      <c r="K224" s="70"/>
      <c r="L224" s="70"/>
      <c r="M224" s="70"/>
      <c r="N224" s="70"/>
      <c r="O224" s="70"/>
    </row>
    <row r="225" spans="1:15" x14ac:dyDescent="0.25">
      <c r="A225" s="37"/>
      <c r="B225" s="78"/>
      <c r="C225" s="70"/>
      <c r="D225" s="37"/>
      <c r="E225" s="70"/>
      <c r="F225" s="70"/>
      <c r="G225" s="37"/>
      <c r="H225" s="70"/>
      <c r="I225" s="70"/>
      <c r="J225" s="37"/>
      <c r="K225" s="70"/>
      <c r="L225" s="70"/>
      <c r="M225" s="70"/>
      <c r="N225" s="70"/>
      <c r="O225" s="70"/>
    </row>
    <row r="226" spans="1:15" x14ac:dyDescent="0.25">
      <c r="A226" s="37"/>
      <c r="B226" s="78"/>
      <c r="C226" s="70"/>
      <c r="D226" s="37"/>
      <c r="E226" s="70"/>
      <c r="F226" s="70"/>
      <c r="G226" s="37"/>
      <c r="H226" s="70"/>
      <c r="I226" s="70"/>
      <c r="J226" s="37"/>
      <c r="K226" s="70"/>
      <c r="L226" s="70"/>
      <c r="M226" s="70"/>
      <c r="N226" s="70"/>
      <c r="O226" s="70"/>
    </row>
    <row r="227" spans="1:15" x14ac:dyDescent="0.25">
      <c r="A227" s="37"/>
      <c r="B227" s="78"/>
      <c r="C227" s="70"/>
      <c r="D227" s="37"/>
      <c r="E227" s="70"/>
      <c r="F227" s="70"/>
      <c r="G227" s="37"/>
      <c r="H227" s="70"/>
      <c r="I227" s="70"/>
      <c r="J227" s="37"/>
      <c r="K227" s="70"/>
      <c r="L227" s="70"/>
      <c r="M227" s="70"/>
      <c r="N227" s="70"/>
      <c r="O227" s="70"/>
    </row>
    <row r="228" spans="1:15" x14ac:dyDescent="0.25">
      <c r="A228" s="37"/>
      <c r="B228" s="78"/>
      <c r="C228" s="70"/>
      <c r="D228" s="37"/>
      <c r="E228" s="70"/>
      <c r="F228" s="70"/>
      <c r="G228" s="37"/>
      <c r="H228" s="70"/>
      <c r="I228" s="70"/>
      <c r="J228" s="37"/>
      <c r="K228" s="70"/>
      <c r="L228" s="70"/>
      <c r="M228" s="70"/>
      <c r="N228" s="70"/>
      <c r="O228" s="70"/>
    </row>
    <row r="229" spans="1:15" x14ac:dyDescent="0.25">
      <c r="A229" s="37"/>
      <c r="B229" s="78"/>
      <c r="C229" s="70"/>
      <c r="D229" s="37"/>
      <c r="E229" s="70"/>
      <c r="F229" s="70"/>
      <c r="G229" s="37"/>
      <c r="H229" s="70"/>
      <c r="I229" s="70"/>
      <c r="J229" s="37"/>
      <c r="K229" s="70"/>
      <c r="L229" s="70"/>
      <c r="M229" s="70"/>
      <c r="N229" s="70"/>
      <c r="O229" s="70"/>
    </row>
    <row r="230" spans="1:15" x14ac:dyDescent="0.25">
      <c r="A230" s="37"/>
      <c r="B230" s="78"/>
      <c r="C230" s="70"/>
      <c r="D230" s="37"/>
      <c r="E230" s="70"/>
      <c r="F230" s="70"/>
      <c r="G230" s="37"/>
      <c r="H230" s="70"/>
      <c r="I230" s="70"/>
      <c r="J230" s="37"/>
      <c r="K230" s="70"/>
      <c r="L230" s="70"/>
      <c r="M230" s="70"/>
      <c r="N230" s="70"/>
      <c r="O230" s="70"/>
    </row>
    <row r="231" spans="1:15" x14ac:dyDescent="0.25">
      <c r="A231" s="37"/>
      <c r="B231" s="78"/>
      <c r="C231" s="70"/>
      <c r="D231" s="37"/>
      <c r="E231" s="70"/>
      <c r="F231" s="70"/>
      <c r="G231" s="37"/>
      <c r="H231" s="70"/>
      <c r="I231" s="70"/>
      <c r="J231" s="37"/>
      <c r="K231" s="70"/>
      <c r="L231" s="70"/>
      <c r="M231" s="70"/>
      <c r="N231" s="70"/>
      <c r="O231" s="70"/>
    </row>
    <row r="232" spans="1:15" x14ac:dyDescent="0.25">
      <c r="A232" s="37"/>
      <c r="B232" s="78"/>
      <c r="C232" s="70"/>
      <c r="D232" s="37"/>
      <c r="E232" s="70"/>
      <c r="F232" s="70"/>
      <c r="G232" s="37"/>
      <c r="H232" s="70"/>
      <c r="I232" s="70"/>
      <c r="J232" s="37"/>
      <c r="K232" s="70"/>
      <c r="L232" s="70"/>
      <c r="M232" s="70"/>
      <c r="N232" s="70"/>
      <c r="O232" s="70"/>
    </row>
    <row r="233" spans="1:15" x14ac:dyDescent="0.25">
      <c r="A233" s="37"/>
      <c r="B233" s="78"/>
      <c r="C233" s="70"/>
      <c r="D233" s="37"/>
      <c r="E233" s="70"/>
      <c r="F233" s="70"/>
      <c r="G233" s="37"/>
      <c r="H233" s="70"/>
      <c r="I233" s="70"/>
      <c r="J233" s="37"/>
      <c r="K233" s="70"/>
      <c r="L233" s="70"/>
      <c r="M233" s="70"/>
      <c r="N233" s="70"/>
      <c r="O233" s="70"/>
    </row>
    <row r="234" spans="1:15" x14ac:dyDescent="0.25">
      <c r="A234" s="37"/>
      <c r="B234" s="78"/>
      <c r="C234" s="70"/>
      <c r="D234" s="37"/>
      <c r="E234" s="70"/>
      <c r="F234" s="70"/>
      <c r="G234" s="37"/>
      <c r="H234" s="70"/>
      <c r="I234" s="70"/>
      <c r="J234" s="37"/>
      <c r="K234" s="70"/>
      <c r="L234" s="70"/>
      <c r="M234" s="70"/>
      <c r="N234" s="70"/>
      <c r="O234" s="70"/>
    </row>
    <row r="235" spans="1:15" x14ac:dyDescent="0.25">
      <c r="A235" s="37"/>
      <c r="B235" s="78"/>
      <c r="C235" s="70"/>
      <c r="D235" s="37"/>
      <c r="E235" s="70"/>
      <c r="F235" s="70"/>
      <c r="G235" s="37"/>
      <c r="H235" s="70"/>
      <c r="I235" s="70"/>
      <c r="J235" s="37"/>
      <c r="K235" s="70"/>
      <c r="L235" s="70"/>
      <c r="M235" s="70"/>
      <c r="N235" s="70"/>
      <c r="O235" s="70"/>
    </row>
    <row r="236" spans="1:15" x14ac:dyDescent="0.25">
      <c r="A236" s="37"/>
      <c r="B236" s="78"/>
      <c r="C236" s="70"/>
      <c r="D236" s="37"/>
      <c r="E236" s="70"/>
      <c r="F236" s="70"/>
      <c r="G236" s="37"/>
      <c r="H236" s="70"/>
      <c r="I236" s="70"/>
      <c r="J236" s="37"/>
      <c r="K236" s="70"/>
      <c r="L236" s="70"/>
      <c r="M236" s="70"/>
      <c r="N236" s="70"/>
      <c r="O236" s="70"/>
    </row>
    <row r="237" spans="1:15" x14ac:dyDescent="0.25">
      <c r="A237" s="37"/>
      <c r="B237" s="78"/>
      <c r="C237" s="70"/>
      <c r="D237" s="37"/>
      <c r="E237" s="70"/>
      <c r="F237" s="70"/>
      <c r="G237" s="37"/>
      <c r="H237" s="70"/>
      <c r="I237" s="70"/>
      <c r="J237" s="37"/>
      <c r="K237" s="70"/>
      <c r="L237" s="70"/>
      <c r="M237" s="70"/>
      <c r="N237" s="70"/>
      <c r="O237" s="70"/>
    </row>
    <row r="238" spans="1:15" x14ac:dyDescent="0.25">
      <c r="A238" s="37"/>
      <c r="B238" s="78"/>
      <c r="C238" s="70"/>
      <c r="D238" s="37"/>
      <c r="E238" s="70"/>
      <c r="F238" s="70"/>
      <c r="G238" s="37"/>
      <c r="H238" s="70"/>
      <c r="I238" s="70"/>
      <c r="J238" s="37"/>
      <c r="K238" s="70"/>
      <c r="L238" s="70"/>
      <c r="M238" s="70"/>
      <c r="N238" s="70"/>
      <c r="O238" s="70"/>
    </row>
    <row r="239" spans="1:15" x14ac:dyDescent="0.25">
      <c r="A239" s="37"/>
      <c r="B239" s="78"/>
      <c r="C239" s="70"/>
      <c r="D239" s="37"/>
      <c r="E239" s="70"/>
      <c r="F239" s="70"/>
      <c r="G239" s="37"/>
      <c r="H239" s="70"/>
      <c r="I239" s="70"/>
      <c r="J239" s="37"/>
      <c r="K239" s="70"/>
      <c r="L239" s="70"/>
      <c r="M239" s="70"/>
      <c r="N239" s="70"/>
      <c r="O239" s="70"/>
    </row>
    <row r="240" spans="1:15" x14ac:dyDescent="0.25">
      <c r="A240" s="37"/>
      <c r="B240" s="78"/>
      <c r="C240" s="70"/>
      <c r="D240" s="37"/>
      <c r="E240" s="70"/>
      <c r="F240" s="70"/>
      <c r="G240" s="37"/>
      <c r="H240" s="70"/>
      <c r="I240" s="70"/>
      <c r="J240" s="37"/>
      <c r="K240" s="70"/>
      <c r="L240" s="70"/>
      <c r="M240" s="70"/>
      <c r="N240" s="70"/>
      <c r="O240" s="70"/>
    </row>
    <row r="241" spans="1:15" x14ac:dyDescent="0.25">
      <c r="A241" s="37"/>
      <c r="B241" s="78"/>
      <c r="C241" s="70"/>
      <c r="D241" s="37"/>
      <c r="E241" s="70"/>
      <c r="F241" s="70"/>
      <c r="G241" s="37"/>
      <c r="H241" s="70"/>
      <c r="I241" s="70"/>
      <c r="J241" s="37"/>
      <c r="K241" s="70"/>
      <c r="L241" s="70"/>
      <c r="M241" s="70"/>
      <c r="N241" s="70"/>
      <c r="O241" s="70"/>
    </row>
    <row r="242" spans="1:15" x14ac:dyDescent="0.25">
      <c r="A242" s="37"/>
      <c r="B242" s="78"/>
      <c r="C242" s="70"/>
      <c r="D242" s="37"/>
      <c r="E242" s="70"/>
      <c r="F242" s="70"/>
      <c r="G242" s="37"/>
      <c r="H242" s="70"/>
      <c r="I242" s="70"/>
      <c r="J242" s="37"/>
      <c r="K242" s="70"/>
      <c r="L242" s="70"/>
      <c r="M242" s="70"/>
      <c r="N242" s="70"/>
      <c r="O242" s="70"/>
    </row>
    <row r="243" spans="1:15" x14ac:dyDescent="0.25">
      <c r="A243" s="37"/>
      <c r="B243" s="78"/>
      <c r="C243" s="70"/>
      <c r="D243" s="37"/>
      <c r="E243" s="70"/>
      <c r="F243" s="70"/>
      <c r="G243" s="37"/>
      <c r="H243" s="70"/>
      <c r="I243" s="70"/>
      <c r="J243" s="37"/>
      <c r="K243" s="70"/>
      <c r="L243" s="70"/>
      <c r="M243" s="70"/>
      <c r="N243" s="70"/>
      <c r="O243" s="70"/>
    </row>
    <row r="244" spans="1:15" x14ac:dyDescent="0.25">
      <c r="A244" s="37"/>
      <c r="B244" s="78"/>
      <c r="C244" s="70"/>
      <c r="D244" s="37"/>
      <c r="E244" s="70"/>
      <c r="F244" s="70"/>
      <c r="G244" s="37"/>
      <c r="H244" s="70"/>
      <c r="I244" s="70"/>
      <c r="J244" s="37"/>
      <c r="K244" s="70"/>
      <c r="L244" s="70"/>
      <c r="M244" s="70"/>
      <c r="N244" s="70"/>
      <c r="O244" s="70"/>
    </row>
    <row r="245" spans="1:15" x14ac:dyDescent="0.25">
      <c r="A245" s="37"/>
      <c r="B245" s="78"/>
      <c r="C245" s="70"/>
      <c r="D245" s="37"/>
      <c r="E245" s="70"/>
      <c r="F245" s="70"/>
      <c r="G245" s="37"/>
      <c r="H245" s="70"/>
      <c r="I245" s="70"/>
      <c r="J245" s="37"/>
      <c r="K245" s="70"/>
      <c r="L245" s="70"/>
      <c r="M245" s="70"/>
      <c r="N245" s="70"/>
      <c r="O245" s="70"/>
    </row>
    <row r="246" spans="1:15" x14ac:dyDescent="0.25">
      <c r="A246" s="37"/>
      <c r="B246" s="78"/>
      <c r="C246" s="70"/>
      <c r="D246" s="37"/>
      <c r="E246" s="70"/>
      <c r="F246" s="70"/>
      <c r="G246" s="37"/>
      <c r="H246" s="70"/>
      <c r="I246" s="70"/>
      <c r="J246" s="37"/>
      <c r="K246" s="70"/>
      <c r="L246" s="70"/>
      <c r="M246" s="70"/>
      <c r="N246" s="70"/>
      <c r="O246" s="70"/>
    </row>
    <row r="247" spans="1:15" x14ac:dyDescent="0.25">
      <c r="A247" s="37"/>
      <c r="B247" s="78"/>
      <c r="C247" s="70"/>
      <c r="D247" s="37"/>
      <c r="E247" s="70"/>
      <c r="F247" s="70"/>
      <c r="G247" s="37"/>
      <c r="H247" s="70"/>
      <c r="I247" s="70"/>
      <c r="J247" s="37"/>
      <c r="K247" s="70"/>
      <c r="L247" s="70"/>
      <c r="M247" s="70"/>
      <c r="N247" s="70"/>
      <c r="O247" s="70"/>
    </row>
    <row r="248" spans="1:15" x14ac:dyDescent="0.25">
      <c r="A248" s="37"/>
      <c r="B248" s="78"/>
      <c r="C248" s="70"/>
      <c r="D248" s="37"/>
      <c r="E248" s="70"/>
      <c r="F248" s="70"/>
      <c r="G248" s="37"/>
      <c r="H248" s="70"/>
      <c r="I248" s="70"/>
      <c r="J248" s="37"/>
      <c r="K248" s="70"/>
      <c r="L248" s="70"/>
      <c r="M248" s="70"/>
      <c r="N248" s="70"/>
      <c r="O248" s="70"/>
    </row>
    <row r="249" spans="1:15" x14ac:dyDescent="0.25">
      <c r="A249" s="37"/>
      <c r="B249" s="78"/>
      <c r="C249" s="70"/>
      <c r="D249" s="37"/>
      <c r="E249" s="70"/>
      <c r="F249" s="70"/>
      <c r="G249" s="37"/>
      <c r="H249" s="70"/>
      <c r="I249" s="70"/>
      <c r="J249" s="37"/>
      <c r="K249" s="70"/>
      <c r="L249" s="70"/>
      <c r="M249" s="70"/>
      <c r="N249" s="70"/>
      <c r="O249" s="70"/>
    </row>
    <row r="250" spans="1:15" x14ac:dyDescent="0.25">
      <c r="A250" s="37"/>
      <c r="B250" s="78"/>
      <c r="C250" s="70"/>
      <c r="D250" s="37"/>
      <c r="E250" s="70"/>
      <c r="F250" s="70"/>
      <c r="G250" s="37"/>
      <c r="H250" s="70"/>
      <c r="I250" s="70"/>
      <c r="J250" s="37"/>
      <c r="K250" s="70"/>
      <c r="L250" s="70"/>
      <c r="M250" s="70"/>
      <c r="N250" s="70"/>
      <c r="O250" s="70"/>
    </row>
    <row r="251" spans="1:15" x14ac:dyDescent="0.25">
      <c r="A251" s="37"/>
      <c r="B251" s="78"/>
      <c r="C251" s="70"/>
      <c r="D251" s="37"/>
      <c r="E251" s="70"/>
      <c r="F251" s="70"/>
      <c r="G251" s="37"/>
      <c r="H251" s="70"/>
      <c r="I251" s="70"/>
      <c r="J251" s="37"/>
      <c r="K251" s="70"/>
      <c r="L251" s="70"/>
      <c r="M251" s="70"/>
      <c r="N251" s="70"/>
      <c r="O251" s="70"/>
    </row>
    <row r="252" spans="1:15" x14ac:dyDescent="0.25">
      <c r="A252" s="37"/>
      <c r="B252" s="78"/>
      <c r="C252" s="70"/>
      <c r="D252" s="37"/>
      <c r="E252" s="70"/>
      <c r="F252" s="70"/>
      <c r="G252" s="37"/>
      <c r="H252" s="70"/>
      <c r="I252" s="70"/>
      <c r="J252" s="37"/>
      <c r="K252" s="70"/>
      <c r="L252" s="70"/>
      <c r="M252" s="70"/>
      <c r="N252" s="70"/>
      <c r="O252" s="70"/>
    </row>
    <row r="253" spans="1:15" x14ac:dyDescent="0.25">
      <c r="A253" s="37"/>
      <c r="B253" s="78"/>
      <c r="C253" s="70"/>
      <c r="D253" s="37"/>
      <c r="E253" s="70"/>
      <c r="F253" s="70"/>
      <c r="G253" s="37"/>
      <c r="H253" s="70"/>
      <c r="I253" s="70"/>
      <c r="J253" s="37"/>
      <c r="K253" s="70"/>
      <c r="L253" s="70"/>
      <c r="M253" s="70"/>
      <c r="N253" s="70"/>
      <c r="O253" s="70"/>
    </row>
    <row r="254" spans="1:15" x14ac:dyDescent="0.25">
      <c r="A254" s="37"/>
      <c r="B254" s="78"/>
      <c r="C254" s="70"/>
      <c r="D254" s="37"/>
      <c r="E254" s="70"/>
      <c r="F254" s="70"/>
      <c r="G254" s="37"/>
      <c r="H254" s="70"/>
      <c r="I254" s="70"/>
      <c r="J254" s="37"/>
      <c r="K254" s="70"/>
      <c r="L254" s="70"/>
      <c r="M254" s="70"/>
      <c r="N254" s="70"/>
      <c r="O254" s="70"/>
    </row>
    <row r="255" spans="1:15" x14ac:dyDescent="0.25">
      <c r="A255" s="37"/>
      <c r="B255" s="78"/>
      <c r="C255" s="70"/>
      <c r="D255" s="37"/>
      <c r="E255" s="70"/>
      <c r="F255" s="70"/>
      <c r="G255" s="37"/>
      <c r="H255" s="70"/>
      <c r="I255" s="70"/>
      <c r="J255" s="37"/>
      <c r="K255" s="70"/>
      <c r="L255" s="70"/>
      <c r="M255" s="70"/>
      <c r="N255" s="70"/>
      <c r="O255" s="70"/>
    </row>
    <row r="256" spans="1:15" x14ac:dyDescent="0.25">
      <c r="A256" s="37"/>
      <c r="B256" s="78"/>
      <c r="C256" s="70"/>
      <c r="D256" s="37"/>
      <c r="E256" s="70"/>
      <c r="F256" s="70"/>
      <c r="G256" s="37"/>
      <c r="H256" s="70"/>
      <c r="I256" s="70"/>
      <c r="J256" s="37"/>
      <c r="K256" s="70"/>
      <c r="L256" s="70"/>
      <c r="M256" s="70"/>
      <c r="N256" s="70"/>
      <c r="O256" s="70"/>
    </row>
    <row r="257" spans="1:15" x14ac:dyDescent="0.25">
      <c r="A257" s="37"/>
      <c r="B257" s="78"/>
      <c r="C257" s="70"/>
      <c r="D257" s="37"/>
      <c r="E257" s="70"/>
      <c r="F257" s="70"/>
      <c r="G257" s="37"/>
      <c r="H257" s="70"/>
      <c r="I257" s="70"/>
      <c r="J257" s="37"/>
      <c r="K257" s="70"/>
      <c r="L257" s="70"/>
      <c r="M257" s="70"/>
      <c r="N257" s="70"/>
      <c r="O257" s="70"/>
    </row>
    <row r="258" spans="1:15" x14ac:dyDescent="0.25">
      <c r="A258" s="37"/>
      <c r="B258" s="78"/>
      <c r="C258" s="70"/>
      <c r="D258" s="37"/>
      <c r="E258" s="70"/>
      <c r="F258" s="70"/>
      <c r="G258" s="37"/>
      <c r="H258" s="70"/>
      <c r="I258" s="70"/>
      <c r="J258" s="37"/>
      <c r="K258" s="70"/>
      <c r="L258" s="70"/>
      <c r="M258" s="70"/>
      <c r="N258" s="70"/>
      <c r="O258" s="70"/>
    </row>
    <row r="259" spans="1:15" x14ac:dyDescent="0.25">
      <c r="A259" s="37"/>
      <c r="B259" s="78"/>
      <c r="C259" s="70"/>
      <c r="D259" s="37"/>
      <c r="E259" s="70"/>
      <c r="F259" s="70"/>
      <c r="G259" s="37"/>
      <c r="H259" s="70"/>
      <c r="I259" s="70"/>
      <c r="J259" s="37"/>
      <c r="K259" s="70"/>
      <c r="L259" s="70"/>
      <c r="M259" s="70"/>
      <c r="N259" s="70"/>
      <c r="O259" s="70"/>
    </row>
    <row r="260" spans="1:15" x14ac:dyDescent="0.25">
      <c r="A260" s="37"/>
      <c r="B260" s="78"/>
      <c r="C260" s="70"/>
      <c r="D260" s="37"/>
      <c r="E260" s="70"/>
      <c r="F260" s="70"/>
      <c r="G260" s="37"/>
      <c r="H260" s="70"/>
      <c r="I260" s="70"/>
      <c r="J260" s="37"/>
      <c r="K260" s="70"/>
      <c r="L260" s="70"/>
      <c r="M260" s="70"/>
      <c r="N260" s="70"/>
      <c r="O260" s="70"/>
    </row>
    <row r="261" spans="1:15" x14ac:dyDescent="0.25">
      <c r="A261" s="37"/>
      <c r="B261" s="78"/>
      <c r="C261" s="70"/>
      <c r="D261" s="37"/>
      <c r="E261" s="70"/>
      <c r="F261" s="70"/>
      <c r="G261" s="37"/>
      <c r="H261" s="70"/>
      <c r="I261" s="70"/>
      <c r="J261" s="37"/>
      <c r="K261" s="70"/>
      <c r="L261" s="70"/>
      <c r="M261" s="70"/>
      <c r="N261" s="70"/>
      <c r="O261" s="70"/>
    </row>
    <row r="262" spans="1:15" x14ac:dyDescent="0.25">
      <c r="A262" s="37"/>
      <c r="B262" s="78"/>
      <c r="C262" s="70"/>
      <c r="D262" s="37"/>
      <c r="E262" s="70"/>
      <c r="F262" s="70"/>
      <c r="G262" s="37"/>
      <c r="H262" s="70"/>
      <c r="I262" s="70"/>
      <c r="J262" s="37"/>
      <c r="K262" s="70"/>
      <c r="L262" s="70"/>
      <c r="M262" s="70"/>
      <c r="N262" s="70"/>
      <c r="O262" s="70"/>
    </row>
    <row r="263" spans="1:15" x14ac:dyDescent="0.25">
      <c r="A263" s="37"/>
      <c r="B263" s="78"/>
      <c r="C263" s="70"/>
      <c r="D263" s="37"/>
      <c r="E263" s="70"/>
      <c r="F263" s="70"/>
      <c r="G263" s="37"/>
      <c r="H263" s="70"/>
      <c r="I263" s="70"/>
      <c r="J263" s="37"/>
      <c r="K263" s="70"/>
      <c r="L263" s="70"/>
      <c r="M263" s="70"/>
      <c r="N263" s="70"/>
      <c r="O263" s="70"/>
    </row>
    <row r="264" spans="1:15" x14ac:dyDescent="0.25">
      <c r="A264" s="37"/>
      <c r="B264" s="78"/>
      <c r="C264" s="70"/>
      <c r="D264" s="37"/>
      <c r="E264" s="70"/>
      <c r="F264" s="70"/>
      <c r="G264" s="37"/>
      <c r="H264" s="70"/>
      <c r="I264" s="70"/>
      <c r="J264" s="37"/>
      <c r="K264" s="70"/>
      <c r="L264" s="70"/>
      <c r="M264" s="70"/>
      <c r="N264" s="70"/>
      <c r="O264" s="70"/>
    </row>
    <row r="265" spans="1:15" x14ac:dyDescent="0.25">
      <c r="A265" s="37"/>
      <c r="B265" s="78"/>
      <c r="C265" s="70"/>
      <c r="D265" s="37"/>
      <c r="E265" s="70"/>
      <c r="F265" s="70"/>
      <c r="G265" s="37"/>
      <c r="H265" s="70"/>
      <c r="I265" s="70"/>
      <c r="J265" s="37"/>
      <c r="K265" s="70"/>
      <c r="L265" s="70"/>
      <c r="M265" s="70"/>
      <c r="N265" s="70"/>
      <c r="O265" s="70"/>
    </row>
    <row r="266" spans="1:15" x14ac:dyDescent="0.25">
      <c r="A266" s="37"/>
      <c r="B266" s="78"/>
      <c r="C266" s="70"/>
      <c r="D266" s="37"/>
      <c r="E266" s="70"/>
      <c r="F266" s="70"/>
      <c r="G266" s="37"/>
      <c r="H266" s="70"/>
      <c r="I266" s="70"/>
      <c r="J266" s="37"/>
      <c r="K266" s="70"/>
      <c r="L266" s="70"/>
      <c r="M266" s="70"/>
      <c r="N266" s="70"/>
      <c r="O266" s="70"/>
    </row>
    <row r="267" spans="1:15" x14ac:dyDescent="0.25">
      <c r="A267" s="37"/>
      <c r="B267" s="78"/>
      <c r="C267" s="70"/>
      <c r="D267" s="37"/>
      <c r="E267" s="70"/>
      <c r="F267" s="70"/>
      <c r="G267" s="37"/>
      <c r="H267" s="70"/>
      <c r="I267" s="70"/>
      <c r="J267" s="37"/>
      <c r="K267" s="70"/>
      <c r="L267" s="70"/>
      <c r="M267" s="70"/>
      <c r="N267" s="70"/>
      <c r="O267" s="70"/>
    </row>
    <row r="268" spans="1:15" x14ac:dyDescent="0.25">
      <c r="A268" s="37"/>
      <c r="B268" s="78"/>
      <c r="C268" s="70"/>
      <c r="D268" s="37"/>
      <c r="E268" s="70"/>
      <c r="F268" s="70"/>
      <c r="G268" s="37"/>
      <c r="H268" s="70"/>
      <c r="I268" s="70"/>
      <c r="J268" s="37"/>
      <c r="K268" s="70"/>
      <c r="L268" s="70"/>
      <c r="M268" s="70"/>
      <c r="N268" s="70"/>
      <c r="O268" s="70"/>
    </row>
    <row r="269" spans="1:15" x14ac:dyDescent="0.25">
      <c r="A269" s="37"/>
      <c r="B269" s="78"/>
      <c r="C269" s="70"/>
      <c r="D269" s="37"/>
      <c r="E269" s="70"/>
      <c r="F269" s="70"/>
      <c r="G269" s="37"/>
      <c r="H269" s="70"/>
      <c r="I269" s="70"/>
      <c r="J269" s="37"/>
      <c r="K269" s="70"/>
      <c r="L269" s="70"/>
      <c r="M269" s="70"/>
      <c r="N269" s="70"/>
      <c r="O269" s="70"/>
    </row>
    <row r="270" spans="1:15" x14ac:dyDescent="0.25">
      <c r="A270" s="37"/>
      <c r="B270" s="78"/>
      <c r="C270" s="70"/>
      <c r="D270" s="37"/>
      <c r="E270" s="70"/>
      <c r="F270" s="70"/>
      <c r="G270" s="37"/>
      <c r="H270" s="70"/>
      <c r="I270" s="70"/>
      <c r="J270" s="37"/>
      <c r="K270" s="70"/>
      <c r="L270" s="70"/>
      <c r="M270" s="70"/>
      <c r="N270" s="70"/>
      <c r="O270" s="70"/>
    </row>
    <row r="271" spans="1:15" x14ac:dyDescent="0.25">
      <c r="A271" s="37"/>
      <c r="B271" s="78"/>
      <c r="C271" s="70"/>
      <c r="D271" s="37"/>
      <c r="E271" s="70"/>
      <c r="F271" s="70"/>
      <c r="G271" s="37"/>
      <c r="H271" s="70"/>
      <c r="I271" s="70"/>
      <c r="J271" s="37"/>
      <c r="K271" s="70"/>
      <c r="L271" s="70"/>
      <c r="M271" s="70"/>
      <c r="N271" s="70"/>
      <c r="O271" s="70"/>
    </row>
    <row r="272" spans="1:15" x14ac:dyDescent="0.25">
      <c r="A272" s="37"/>
      <c r="B272" s="78"/>
      <c r="C272" s="70"/>
      <c r="D272" s="37"/>
      <c r="E272" s="70"/>
      <c r="F272" s="70"/>
      <c r="G272" s="37"/>
      <c r="H272" s="70"/>
      <c r="I272" s="70"/>
      <c r="J272" s="37"/>
      <c r="K272" s="70"/>
      <c r="L272" s="70"/>
      <c r="M272" s="70"/>
      <c r="N272" s="70"/>
      <c r="O272" s="70"/>
    </row>
    <row r="273" spans="1:15" x14ac:dyDescent="0.25">
      <c r="A273" s="37"/>
      <c r="B273" s="78"/>
      <c r="C273" s="70"/>
      <c r="D273" s="37"/>
      <c r="E273" s="70"/>
      <c r="F273" s="70"/>
      <c r="G273" s="37"/>
      <c r="H273" s="70"/>
      <c r="I273" s="70"/>
      <c r="J273" s="37"/>
      <c r="K273" s="70"/>
      <c r="L273" s="70"/>
      <c r="M273" s="70"/>
      <c r="N273" s="70"/>
      <c r="O273" s="70"/>
    </row>
    <row r="274" spans="1:15" x14ac:dyDescent="0.25">
      <c r="A274" s="37"/>
      <c r="B274" s="78"/>
      <c r="C274" s="70"/>
      <c r="D274" s="37"/>
      <c r="E274" s="70"/>
      <c r="F274" s="70"/>
      <c r="G274" s="37"/>
      <c r="H274" s="70"/>
      <c r="I274" s="70"/>
      <c r="J274" s="37"/>
      <c r="K274" s="70"/>
      <c r="L274" s="70"/>
      <c r="M274" s="70"/>
      <c r="N274" s="70"/>
      <c r="O274" s="70"/>
    </row>
    <row r="275" spans="1:15" x14ac:dyDescent="0.25">
      <c r="A275" s="37"/>
      <c r="B275" s="78"/>
      <c r="C275" s="70"/>
      <c r="D275" s="37"/>
      <c r="E275" s="70"/>
      <c r="F275" s="70"/>
      <c r="G275" s="37"/>
      <c r="H275" s="70"/>
      <c r="I275" s="70"/>
      <c r="J275" s="37"/>
      <c r="K275" s="70"/>
      <c r="L275" s="70"/>
      <c r="M275" s="70"/>
      <c r="N275" s="70"/>
      <c r="O275" s="70"/>
    </row>
    <row r="276" spans="1:15" x14ac:dyDescent="0.25">
      <c r="A276" s="37"/>
      <c r="B276" s="78"/>
      <c r="C276" s="70"/>
      <c r="D276" s="37"/>
      <c r="E276" s="70"/>
      <c r="F276" s="70"/>
      <c r="G276" s="37"/>
      <c r="H276" s="70"/>
      <c r="I276" s="70"/>
      <c r="J276" s="37"/>
      <c r="K276" s="70"/>
      <c r="L276" s="70"/>
      <c r="M276" s="70"/>
      <c r="N276" s="70"/>
      <c r="O276" s="70"/>
    </row>
    <row r="277" spans="1:15" x14ac:dyDescent="0.25">
      <c r="A277" s="37"/>
      <c r="B277" s="78"/>
      <c r="C277" s="70"/>
      <c r="D277" s="37"/>
      <c r="E277" s="70"/>
      <c r="F277" s="70"/>
      <c r="G277" s="37"/>
      <c r="H277" s="70"/>
      <c r="I277" s="70"/>
      <c r="J277" s="37"/>
      <c r="K277" s="70"/>
      <c r="L277" s="70"/>
      <c r="M277" s="70"/>
      <c r="N277" s="70"/>
      <c r="O277" s="70"/>
    </row>
    <row r="278" spans="1:15" x14ac:dyDescent="0.25">
      <c r="A278" s="37"/>
      <c r="B278" s="78"/>
      <c r="C278" s="70"/>
      <c r="D278" s="37"/>
      <c r="E278" s="70"/>
      <c r="F278" s="70"/>
      <c r="G278" s="37"/>
      <c r="H278" s="70"/>
      <c r="I278" s="70"/>
      <c r="J278" s="37"/>
      <c r="K278" s="70"/>
      <c r="L278" s="70"/>
      <c r="M278" s="70"/>
      <c r="N278" s="70"/>
      <c r="O278" s="70"/>
    </row>
    <row r="279" spans="1:15" x14ac:dyDescent="0.25">
      <c r="A279" s="37"/>
      <c r="B279" s="78"/>
      <c r="C279" s="70"/>
      <c r="D279" s="37"/>
      <c r="E279" s="70"/>
      <c r="F279" s="70"/>
      <c r="G279" s="37"/>
      <c r="H279" s="70"/>
      <c r="I279" s="70"/>
      <c r="J279" s="37"/>
      <c r="K279" s="70"/>
      <c r="L279" s="70"/>
      <c r="M279" s="70"/>
      <c r="N279" s="70"/>
      <c r="O279" s="70"/>
    </row>
    <row r="280" spans="1:15" x14ac:dyDescent="0.25">
      <c r="A280" s="37"/>
      <c r="B280" s="78"/>
      <c r="C280" s="70"/>
      <c r="D280" s="37"/>
      <c r="E280" s="70"/>
      <c r="F280" s="70"/>
      <c r="G280" s="37"/>
      <c r="H280" s="70"/>
      <c r="I280" s="70"/>
      <c r="J280" s="37"/>
      <c r="K280" s="70"/>
      <c r="L280" s="70"/>
      <c r="M280" s="70"/>
      <c r="N280" s="70"/>
      <c r="O280" s="70"/>
    </row>
    <row r="281" spans="1:15" x14ac:dyDescent="0.25">
      <c r="A281" s="37"/>
      <c r="B281" s="78"/>
      <c r="C281" s="70"/>
      <c r="D281" s="37"/>
      <c r="E281" s="70"/>
      <c r="F281" s="70"/>
      <c r="G281" s="37"/>
      <c r="H281" s="70"/>
      <c r="I281" s="70"/>
      <c r="J281" s="37"/>
      <c r="K281" s="70"/>
      <c r="L281" s="70"/>
      <c r="M281" s="70"/>
      <c r="N281" s="70"/>
      <c r="O281" s="70"/>
    </row>
    <row r="282" spans="1:15" x14ac:dyDescent="0.25">
      <c r="A282" s="37"/>
      <c r="B282" s="78"/>
      <c r="C282" s="70"/>
      <c r="D282" s="37"/>
      <c r="E282" s="70"/>
      <c r="F282" s="70"/>
      <c r="G282" s="37"/>
      <c r="H282" s="70"/>
      <c r="I282" s="70"/>
      <c r="J282" s="37"/>
      <c r="K282" s="70"/>
      <c r="L282" s="70"/>
      <c r="M282" s="70"/>
      <c r="N282" s="70"/>
      <c r="O282" s="70"/>
    </row>
    <row r="283" spans="1:15" x14ac:dyDescent="0.25">
      <c r="A283" s="37"/>
      <c r="B283" s="78"/>
      <c r="C283" s="70"/>
      <c r="D283" s="37"/>
      <c r="E283" s="70"/>
      <c r="F283" s="70"/>
      <c r="G283" s="37"/>
      <c r="H283" s="70"/>
      <c r="I283" s="70"/>
      <c r="J283" s="37"/>
      <c r="K283" s="70"/>
      <c r="L283" s="70"/>
      <c r="M283" s="70"/>
      <c r="N283" s="70"/>
      <c r="O283" s="70"/>
    </row>
    <row r="284" spans="1:15" x14ac:dyDescent="0.25">
      <c r="A284" s="37"/>
      <c r="B284" s="78"/>
      <c r="C284" s="70"/>
      <c r="D284" s="37"/>
      <c r="E284" s="70"/>
      <c r="F284" s="70"/>
      <c r="G284" s="37"/>
      <c r="H284" s="70"/>
      <c r="I284" s="70"/>
      <c r="J284" s="37"/>
      <c r="K284" s="70"/>
      <c r="L284" s="70"/>
      <c r="M284" s="70"/>
      <c r="N284" s="70"/>
      <c r="O284" s="70"/>
    </row>
    <row r="285" spans="1:15" x14ac:dyDescent="0.25">
      <c r="A285" s="37"/>
      <c r="B285" s="78"/>
      <c r="C285" s="70"/>
      <c r="D285" s="37"/>
      <c r="E285" s="70"/>
      <c r="F285" s="70"/>
      <c r="G285" s="37"/>
      <c r="H285" s="70"/>
      <c r="I285" s="70"/>
      <c r="J285" s="37"/>
      <c r="K285" s="70"/>
      <c r="L285" s="70"/>
      <c r="M285" s="70"/>
      <c r="N285" s="70"/>
      <c r="O285" s="70"/>
    </row>
    <row r="286" spans="1:15" x14ac:dyDescent="0.25">
      <c r="A286" s="37"/>
      <c r="B286" s="78"/>
      <c r="C286" s="70"/>
      <c r="D286" s="37"/>
      <c r="E286" s="70"/>
      <c r="F286" s="70"/>
      <c r="G286" s="37"/>
      <c r="H286" s="70"/>
      <c r="I286" s="70"/>
      <c r="J286" s="37"/>
      <c r="K286" s="70"/>
      <c r="L286" s="70"/>
      <c r="M286" s="70"/>
      <c r="N286" s="70"/>
      <c r="O286" s="70"/>
    </row>
    <row r="287" spans="1:15" x14ac:dyDescent="0.25">
      <c r="A287" s="37"/>
      <c r="B287" s="78"/>
      <c r="C287" s="70"/>
      <c r="D287" s="37"/>
      <c r="E287" s="70"/>
      <c r="F287" s="70"/>
      <c r="G287" s="37"/>
      <c r="H287" s="70"/>
      <c r="I287" s="70"/>
      <c r="J287" s="37"/>
      <c r="K287" s="70"/>
      <c r="L287" s="70"/>
      <c r="M287" s="70"/>
      <c r="N287" s="70"/>
      <c r="O287" s="70"/>
    </row>
    <row r="288" spans="1:15" x14ac:dyDescent="0.25">
      <c r="A288" s="37"/>
      <c r="B288" s="78"/>
      <c r="C288" s="70"/>
      <c r="D288" s="37"/>
      <c r="E288" s="70"/>
      <c r="F288" s="70"/>
      <c r="G288" s="37"/>
      <c r="H288" s="70"/>
      <c r="I288" s="70"/>
      <c r="J288" s="37"/>
      <c r="K288" s="70"/>
      <c r="L288" s="70"/>
      <c r="M288" s="70"/>
      <c r="N288" s="70"/>
      <c r="O288" s="70"/>
    </row>
    <row r="289" spans="1:15" x14ac:dyDescent="0.25">
      <c r="A289" s="37"/>
      <c r="B289" s="78"/>
      <c r="C289" s="70"/>
      <c r="D289" s="37"/>
      <c r="E289" s="70"/>
      <c r="F289" s="70"/>
      <c r="G289" s="37"/>
      <c r="H289" s="70"/>
      <c r="I289" s="70"/>
      <c r="J289" s="37"/>
      <c r="K289" s="70"/>
      <c r="L289" s="70"/>
      <c r="M289" s="70"/>
      <c r="N289" s="70"/>
      <c r="O289" s="70"/>
    </row>
    <row r="290" spans="1:15" x14ac:dyDescent="0.25">
      <c r="A290" s="37"/>
      <c r="B290" s="78"/>
      <c r="C290" s="70"/>
      <c r="D290" s="37"/>
      <c r="E290" s="70"/>
      <c r="F290" s="70"/>
      <c r="G290" s="37"/>
      <c r="H290" s="70"/>
      <c r="I290" s="70"/>
      <c r="J290" s="37"/>
      <c r="K290" s="70"/>
      <c r="L290" s="70"/>
      <c r="M290" s="70"/>
      <c r="N290" s="70"/>
      <c r="O290" s="70"/>
    </row>
    <row r="291" spans="1:15" x14ac:dyDescent="0.25">
      <c r="A291" s="37"/>
      <c r="B291" s="78"/>
      <c r="C291" s="70"/>
      <c r="D291" s="37"/>
      <c r="E291" s="70"/>
      <c r="F291" s="70"/>
      <c r="G291" s="37"/>
      <c r="H291" s="70"/>
      <c r="I291" s="70"/>
      <c r="J291" s="37"/>
      <c r="K291" s="70"/>
      <c r="L291" s="70"/>
      <c r="M291" s="70"/>
      <c r="N291" s="70"/>
      <c r="O291" s="70"/>
    </row>
    <row r="292" spans="1:15" x14ac:dyDescent="0.25">
      <c r="A292" s="37"/>
      <c r="B292" s="78"/>
      <c r="C292" s="70"/>
      <c r="D292" s="37"/>
      <c r="E292" s="70"/>
      <c r="F292" s="70"/>
      <c r="G292" s="37"/>
      <c r="H292" s="70"/>
      <c r="I292" s="70"/>
      <c r="J292" s="37"/>
      <c r="K292" s="70"/>
      <c r="L292" s="70"/>
      <c r="M292" s="70"/>
      <c r="N292" s="70"/>
      <c r="O292" s="70"/>
    </row>
    <row r="293" spans="1:15" x14ac:dyDescent="0.25">
      <c r="A293" s="37"/>
      <c r="B293" s="78"/>
      <c r="C293" s="70"/>
      <c r="D293" s="37"/>
      <c r="E293" s="70"/>
      <c r="F293" s="70"/>
      <c r="G293" s="37"/>
      <c r="H293" s="70"/>
      <c r="I293" s="70"/>
      <c r="J293" s="37"/>
      <c r="K293" s="70"/>
      <c r="L293" s="70"/>
      <c r="M293" s="70"/>
      <c r="N293" s="70"/>
      <c r="O293" s="70"/>
    </row>
    <row r="294" spans="1:15" x14ac:dyDescent="0.25">
      <c r="A294" s="37"/>
      <c r="B294" s="78"/>
      <c r="C294" s="70"/>
      <c r="D294" s="37"/>
      <c r="E294" s="70"/>
      <c r="F294" s="70"/>
      <c r="G294" s="37"/>
      <c r="H294" s="70"/>
      <c r="I294" s="70"/>
      <c r="J294" s="37"/>
      <c r="K294" s="70"/>
      <c r="L294" s="70"/>
      <c r="M294" s="70"/>
      <c r="N294" s="70"/>
      <c r="O294" s="70"/>
    </row>
    <row r="295" spans="1:15" x14ac:dyDescent="0.25">
      <c r="A295" s="37"/>
      <c r="B295" s="78"/>
      <c r="C295" s="70"/>
      <c r="D295" s="37"/>
      <c r="E295" s="70"/>
      <c r="F295" s="70"/>
      <c r="G295" s="37"/>
      <c r="H295" s="70"/>
      <c r="I295" s="70"/>
      <c r="J295" s="37"/>
      <c r="K295" s="70"/>
      <c r="L295" s="70"/>
      <c r="M295" s="70"/>
      <c r="N295" s="70"/>
      <c r="O295" s="70"/>
    </row>
    <row r="296" spans="1:15" x14ac:dyDescent="0.25">
      <c r="A296" s="37"/>
      <c r="B296" s="78"/>
      <c r="C296" s="70"/>
      <c r="D296" s="37"/>
      <c r="E296" s="70"/>
      <c r="F296" s="70"/>
      <c r="G296" s="37"/>
      <c r="H296" s="70"/>
      <c r="I296" s="70"/>
      <c r="J296" s="37"/>
      <c r="K296" s="70"/>
      <c r="L296" s="70"/>
      <c r="M296" s="70"/>
      <c r="N296" s="70"/>
      <c r="O296" s="70"/>
    </row>
    <row r="297" spans="1:15" x14ac:dyDescent="0.25">
      <c r="A297" s="37"/>
      <c r="B297" s="78"/>
      <c r="C297" s="70"/>
      <c r="D297" s="37"/>
      <c r="E297" s="70"/>
      <c r="F297" s="70"/>
      <c r="G297" s="37"/>
      <c r="H297" s="70"/>
      <c r="I297" s="70"/>
      <c r="J297" s="37"/>
      <c r="K297" s="70"/>
      <c r="L297" s="70"/>
      <c r="M297" s="70"/>
      <c r="N297" s="70"/>
      <c r="O297" s="70"/>
    </row>
    <row r="298" spans="1:15" x14ac:dyDescent="0.25">
      <c r="A298" s="37"/>
      <c r="B298" s="78"/>
      <c r="C298" s="70"/>
      <c r="D298" s="37"/>
      <c r="E298" s="70"/>
      <c r="F298" s="70"/>
      <c r="G298" s="37"/>
      <c r="H298" s="70"/>
      <c r="I298" s="70"/>
      <c r="J298" s="37"/>
      <c r="K298" s="70"/>
      <c r="L298" s="70"/>
      <c r="M298" s="70"/>
      <c r="N298" s="70"/>
      <c r="O298" s="70"/>
    </row>
    <row r="299" spans="1:15" x14ac:dyDescent="0.25">
      <c r="A299" s="37"/>
      <c r="B299" s="78"/>
      <c r="C299" s="70"/>
      <c r="D299" s="37"/>
      <c r="E299" s="70"/>
      <c r="F299" s="70"/>
      <c r="G299" s="37"/>
      <c r="H299" s="70"/>
      <c r="I299" s="70"/>
      <c r="J299" s="37"/>
      <c r="K299" s="70"/>
      <c r="L299" s="70"/>
      <c r="M299" s="70"/>
      <c r="N299" s="70"/>
      <c r="O299" s="70"/>
    </row>
    <row r="300" spans="1:15" x14ac:dyDescent="0.25">
      <c r="A300" s="37"/>
      <c r="B300" s="78"/>
      <c r="C300" s="70"/>
      <c r="D300" s="37"/>
      <c r="E300" s="70"/>
      <c r="F300" s="70"/>
      <c r="G300" s="37"/>
      <c r="H300" s="70"/>
      <c r="I300" s="70"/>
      <c r="J300" s="37"/>
      <c r="K300" s="70"/>
      <c r="L300" s="70"/>
      <c r="M300" s="70"/>
      <c r="N300" s="70"/>
      <c r="O300" s="70"/>
    </row>
    <row r="301" spans="1:15" x14ac:dyDescent="0.25">
      <c r="A301" s="37"/>
      <c r="B301" s="78"/>
      <c r="C301" s="70"/>
      <c r="D301" s="37"/>
      <c r="E301" s="70"/>
      <c r="F301" s="70"/>
      <c r="G301" s="37"/>
      <c r="H301" s="70"/>
      <c r="I301" s="70"/>
      <c r="J301" s="37"/>
      <c r="K301" s="70"/>
      <c r="L301" s="70"/>
      <c r="M301" s="70"/>
      <c r="N301" s="70"/>
      <c r="O301" s="70"/>
    </row>
    <row r="302" spans="1:15" x14ac:dyDescent="0.25">
      <c r="A302" s="37"/>
      <c r="B302" s="78"/>
      <c r="C302" s="70"/>
      <c r="D302" s="37"/>
      <c r="E302" s="70"/>
      <c r="F302" s="70"/>
      <c r="G302" s="37"/>
      <c r="H302" s="70"/>
      <c r="I302" s="70"/>
      <c r="J302" s="37"/>
      <c r="K302" s="70"/>
      <c r="L302" s="70"/>
      <c r="M302" s="70"/>
      <c r="N302" s="70"/>
      <c r="O302" s="70"/>
    </row>
    <row r="303" spans="1:15" x14ac:dyDescent="0.25">
      <c r="A303" s="37"/>
      <c r="B303" s="78"/>
      <c r="C303" s="70"/>
      <c r="D303" s="37"/>
      <c r="E303" s="70"/>
      <c r="F303" s="70"/>
      <c r="G303" s="37"/>
      <c r="H303" s="70"/>
      <c r="I303" s="70"/>
      <c r="J303" s="37"/>
      <c r="K303" s="70"/>
      <c r="L303" s="70"/>
      <c r="M303" s="70"/>
      <c r="N303" s="70"/>
      <c r="O303" s="70"/>
    </row>
    <row r="304" spans="1:15" x14ac:dyDescent="0.25">
      <c r="A304" s="37"/>
      <c r="B304" s="78"/>
      <c r="C304" s="70"/>
      <c r="D304" s="37"/>
      <c r="E304" s="70"/>
      <c r="F304" s="70"/>
      <c r="G304" s="37"/>
      <c r="H304" s="70"/>
      <c r="I304" s="70"/>
      <c r="J304" s="37"/>
      <c r="K304" s="70"/>
      <c r="L304" s="70"/>
      <c r="M304" s="70"/>
      <c r="N304" s="70"/>
      <c r="O304" s="70"/>
    </row>
    <row r="305" spans="1:15" x14ac:dyDescent="0.25">
      <c r="A305" s="37"/>
      <c r="B305" s="78"/>
      <c r="C305" s="70"/>
      <c r="D305" s="37"/>
      <c r="E305" s="70"/>
      <c r="F305" s="70"/>
      <c r="G305" s="37"/>
      <c r="H305" s="70"/>
      <c r="I305" s="70"/>
      <c r="J305" s="37"/>
      <c r="K305" s="70"/>
      <c r="L305" s="70"/>
      <c r="M305" s="70"/>
      <c r="N305" s="70"/>
      <c r="O305" s="70"/>
    </row>
    <row r="306" spans="1:15" x14ac:dyDescent="0.25">
      <c r="A306" s="37"/>
      <c r="B306" s="78"/>
      <c r="C306" s="70"/>
      <c r="D306" s="37"/>
      <c r="E306" s="70"/>
      <c r="F306" s="70"/>
      <c r="G306" s="37"/>
      <c r="H306" s="70"/>
      <c r="I306" s="70"/>
      <c r="J306" s="37"/>
      <c r="K306" s="70"/>
      <c r="L306" s="70"/>
      <c r="M306" s="70"/>
      <c r="N306" s="70"/>
      <c r="O306" s="70"/>
    </row>
    <row r="307" spans="1:15" x14ac:dyDescent="0.25">
      <c r="A307" s="37"/>
      <c r="B307" s="78"/>
      <c r="C307" s="70"/>
      <c r="D307" s="37"/>
      <c r="E307" s="70"/>
      <c r="F307" s="70"/>
      <c r="G307" s="37"/>
      <c r="H307" s="70"/>
      <c r="I307" s="70"/>
      <c r="J307" s="37"/>
      <c r="K307" s="70"/>
      <c r="L307" s="70"/>
      <c r="M307" s="70"/>
      <c r="N307" s="70"/>
      <c r="O307" s="70"/>
    </row>
    <row r="308" spans="1:15" x14ac:dyDescent="0.25">
      <c r="A308" s="37"/>
      <c r="B308" s="78"/>
      <c r="C308" s="70"/>
      <c r="D308" s="37"/>
      <c r="E308" s="70"/>
      <c r="F308" s="70"/>
      <c r="G308" s="37"/>
      <c r="H308" s="70"/>
      <c r="I308" s="70"/>
      <c r="J308" s="37"/>
      <c r="K308" s="70"/>
      <c r="L308" s="70"/>
      <c r="M308" s="70"/>
      <c r="N308" s="70"/>
      <c r="O308" s="70"/>
    </row>
    <row r="309" spans="1:15" x14ac:dyDescent="0.25">
      <c r="A309" s="37"/>
      <c r="B309" s="78"/>
      <c r="C309" s="70"/>
      <c r="D309" s="37"/>
      <c r="E309" s="70"/>
      <c r="F309" s="70"/>
      <c r="G309" s="37"/>
      <c r="H309" s="70"/>
      <c r="I309" s="70"/>
      <c r="J309" s="37"/>
      <c r="K309" s="70"/>
      <c r="L309" s="70"/>
      <c r="M309" s="70"/>
      <c r="N309" s="70"/>
      <c r="O309" s="70"/>
    </row>
    <row r="310" spans="1:15" x14ac:dyDescent="0.25">
      <c r="A310" s="37"/>
      <c r="B310" s="78"/>
      <c r="C310" s="70"/>
      <c r="D310" s="37"/>
      <c r="E310" s="70"/>
      <c r="F310" s="70"/>
      <c r="G310" s="37"/>
      <c r="H310" s="70"/>
      <c r="I310" s="70"/>
      <c r="J310" s="37"/>
      <c r="K310" s="70"/>
      <c r="L310" s="70"/>
      <c r="M310" s="70"/>
      <c r="N310" s="70"/>
      <c r="O310" s="70"/>
    </row>
    <row r="311" spans="1:15" x14ac:dyDescent="0.25">
      <c r="A311" s="37"/>
      <c r="B311" s="78"/>
      <c r="C311" s="70"/>
      <c r="D311" s="37"/>
      <c r="E311" s="70"/>
      <c r="F311" s="70"/>
      <c r="G311" s="37"/>
      <c r="H311" s="70"/>
      <c r="I311" s="70"/>
      <c r="J311" s="37"/>
      <c r="K311" s="70"/>
      <c r="L311" s="70"/>
      <c r="M311" s="70"/>
      <c r="N311" s="70"/>
      <c r="O311" s="70"/>
    </row>
    <row r="312" spans="1:15" x14ac:dyDescent="0.25">
      <c r="A312" s="37"/>
      <c r="B312" s="78"/>
      <c r="C312" s="70"/>
      <c r="D312" s="37"/>
      <c r="E312" s="70"/>
      <c r="F312" s="70"/>
      <c r="G312" s="37"/>
      <c r="H312" s="70"/>
      <c r="I312" s="70"/>
      <c r="J312" s="37"/>
      <c r="K312" s="70"/>
      <c r="L312" s="70"/>
      <c r="M312" s="70"/>
      <c r="N312" s="70"/>
      <c r="O312" s="70"/>
    </row>
    <row r="313" spans="1:15" x14ac:dyDescent="0.25">
      <c r="A313" s="37"/>
      <c r="B313" s="78"/>
      <c r="C313" s="70"/>
      <c r="D313" s="37"/>
      <c r="E313" s="70"/>
      <c r="F313" s="70"/>
      <c r="G313" s="37"/>
      <c r="H313" s="70"/>
      <c r="I313" s="70"/>
      <c r="J313" s="37"/>
      <c r="K313" s="70"/>
      <c r="L313" s="70"/>
      <c r="M313" s="70"/>
      <c r="N313" s="70"/>
      <c r="O313" s="70"/>
    </row>
    <row r="314" spans="1:15" x14ac:dyDescent="0.25">
      <c r="A314" s="37"/>
      <c r="B314" s="78"/>
      <c r="C314" s="70"/>
      <c r="D314" s="37"/>
      <c r="E314" s="70"/>
      <c r="F314" s="70"/>
      <c r="G314" s="37"/>
      <c r="H314" s="70"/>
      <c r="I314" s="70"/>
      <c r="J314" s="37"/>
      <c r="K314" s="70"/>
      <c r="L314" s="70"/>
      <c r="M314" s="70"/>
      <c r="N314" s="70"/>
      <c r="O314" s="70"/>
    </row>
    <row r="315" spans="1:15" x14ac:dyDescent="0.25">
      <c r="A315" s="37"/>
      <c r="B315" s="78"/>
      <c r="C315" s="70"/>
      <c r="D315" s="37"/>
      <c r="E315" s="70"/>
      <c r="F315" s="70"/>
      <c r="G315" s="37"/>
      <c r="H315" s="70"/>
      <c r="I315" s="70"/>
      <c r="J315" s="37"/>
      <c r="K315" s="70"/>
      <c r="L315" s="70"/>
      <c r="M315" s="70"/>
      <c r="N315" s="70"/>
      <c r="O315" s="70"/>
    </row>
    <row r="316" spans="1:15" x14ac:dyDescent="0.25">
      <c r="A316" s="37"/>
      <c r="B316" s="78"/>
      <c r="C316" s="70"/>
      <c r="D316" s="37"/>
      <c r="E316" s="70"/>
      <c r="F316" s="70"/>
      <c r="G316" s="37"/>
      <c r="H316" s="70"/>
      <c r="I316" s="70"/>
      <c r="J316" s="37"/>
      <c r="K316" s="70"/>
      <c r="L316" s="70"/>
      <c r="M316" s="70"/>
      <c r="N316" s="70"/>
      <c r="O316" s="70"/>
    </row>
    <row r="317" spans="1:15" x14ac:dyDescent="0.25">
      <c r="A317" s="37"/>
      <c r="B317" s="78"/>
      <c r="C317" s="70"/>
      <c r="D317" s="37"/>
      <c r="E317" s="70"/>
      <c r="F317" s="70"/>
      <c r="G317" s="37"/>
      <c r="H317" s="70"/>
      <c r="I317" s="70"/>
      <c r="J317" s="37"/>
      <c r="K317" s="70"/>
      <c r="L317" s="70"/>
      <c r="M317" s="70"/>
      <c r="N317" s="70"/>
      <c r="O317" s="70"/>
    </row>
    <row r="318" spans="1:15" x14ac:dyDescent="0.25">
      <c r="A318" s="37"/>
      <c r="B318" s="78"/>
      <c r="C318" s="70"/>
      <c r="D318" s="37"/>
      <c r="E318" s="70"/>
      <c r="F318" s="70"/>
      <c r="G318" s="37"/>
      <c r="H318" s="70"/>
      <c r="I318" s="70"/>
      <c r="J318" s="37"/>
      <c r="K318" s="70"/>
      <c r="L318" s="70"/>
      <c r="M318" s="70"/>
      <c r="N318" s="70"/>
      <c r="O318" s="70"/>
    </row>
    <row r="319" spans="1:15" x14ac:dyDescent="0.25">
      <c r="A319" s="37"/>
      <c r="B319" s="78"/>
      <c r="C319" s="70"/>
      <c r="D319" s="37"/>
      <c r="E319" s="70"/>
      <c r="F319" s="70"/>
      <c r="G319" s="37"/>
      <c r="H319" s="70"/>
      <c r="I319" s="70"/>
      <c r="J319" s="37"/>
      <c r="K319" s="70"/>
      <c r="L319" s="70"/>
      <c r="M319" s="70"/>
      <c r="N319" s="70"/>
      <c r="O319" s="70"/>
    </row>
    <row r="320" spans="1:15" x14ac:dyDescent="0.25">
      <c r="A320" s="37"/>
      <c r="B320" s="78"/>
      <c r="C320" s="70"/>
      <c r="D320" s="37"/>
      <c r="E320" s="70"/>
      <c r="F320" s="70"/>
      <c r="G320" s="37"/>
      <c r="H320" s="70"/>
      <c r="I320" s="70"/>
      <c r="J320" s="37"/>
      <c r="K320" s="70"/>
      <c r="L320" s="70"/>
      <c r="M320" s="70"/>
      <c r="N320" s="70"/>
      <c r="O320" s="70"/>
    </row>
    <row r="321" spans="1:15" x14ac:dyDescent="0.25">
      <c r="A321" s="37"/>
      <c r="B321" s="78"/>
      <c r="C321" s="70"/>
      <c r="D321" s="37"/>
      <c r="E321" s="70"/>
      <c r="F321" s="70"/>
      <c r="G321" s="37"/>
      <c r="H321" s="70"/>
      <c r="I321" s="70"/>
      <c r="J321" s="37"/>
      <c r="K321" s="70"/>
      <c r="L321" s="70"/>
      <c r="M321" s="70"/>
      <c r="N321" s="70"/>
      <c r="O321" s="70"/>
    </row>
    <row r="322" spans="1:15" x14ac:dyDescent="0.25">
      <c r="A322" s="37"/>
      <c r="B322" s="78"/>
      <c r="C322" s="70"/>
      <c r="D322" s="37"/>
      <c r="E322" s="70"/>
      <c r="F322" s="70"/>
      <c r="G322" s="37"/>
      <c r="H322" s="70"/>
      <c r="I322" s="70"/>
      <c r="J322" s="37"/>
      <c r="K322" s="70"/>
      <c r="L322" s="70"/>
      <c r="M322" s="70"/>
      <c r="N322" s="70"/>
      <c r="O322" s="70"/>
    </row>
    <row r="323" spans="1:15" x14ac:dyDescent="0.25">
      <c r="A323" s="37"/>
      <c r="B323" s="78"/>
      <c r="C323" s="70"/>
      <c r="D323" s="37"/>
      <c r="E323" s="70"/>
      <c r="F323" s="70"/>
      <c r="G323" s="37"/>
      <c r="H323" s="70"/>
      <c r="I323" s="70"/>
      <c r="J323" s="37"/>
      <c r="K323" s="70"/>
      <c r="L323" s="70"/>
      <c r="M323" s="70"/>
      <c r="N323" s="70"/>
      <c r="O323" s="70"/>
    </row>
    <row r="324" spans="1:15" x14ac:dyDescent="0.25">
      <c r="A324" s="37"/>
      <c r="B324" s="78"/>
      <c r="C324" s="70"/>
      <c r="D324" s="37"/>
      <c r="E324" s="70"/>
      <c r="F324" s="70"/>
      <c r="G324" s="37"/>
      <c r="H324" s="70"/>
      <c r="I324" s="70"/>
      <c r="J324" s="37"/>
      <c r="K324" s="70"/>
      <c r="L324" s="70"/>
      <c r="M324" s="70"/>
      <c r="N324" s="70"/>
      <c r="O324" s="70"/>
    </row>
    <row r="325" spans="1:15" x14ac:dyDescent="0.25">
      <c r="A325" s="37"/>
      <c r="B325" s="78"/>
      <c r="C325" s="70"/>
      <c r="D325" s="37"/>
      <c r="E325" s="70"/>
      <c r="F325" s="70"/>
      <c r="G325" s="37"/>
      <c r="H325" s="70"/>
      <c r="I325" s="70"/>
      <c r="J325" s="37"/>
      <c r="K325" s="70"/>
      <c r="L325" s="70"/>
      <c r="M325" s="70"/>
      <c r="N325" s="70"/>
      <c r="O325" s="70"/>
    </row>
    <row r="326" spans="1:15" x14ac:dyDescent="0.25">
      <c r="A326" s="37"/>
      <c r="B326" s="78"/>
      <c r="C326" s="70"/>
      <c r="D326" s="37"/>
      <c r="E326" s="70"/>
      <c r="F326" s="70"/>
      <c r="G326" s="37"/>
      <c r="H326" s="70"/>
      <c r="I326" s="70"/>
      <c r="J326" s="37"/>
      <c r="K326" s="70"/>
      <c r="L326" s="70"/>
      <c r="M326" s="70"/>
      <c r="N326" s="70"/>
      <c r="O326" s="70"/>
    </row>
    <row r="327" spans="1:15" x14ac:dyDescent="0.25">
      <c r="A327" s="37"/>
      <c r="B327" s="78"/>
      <c r="C327" s="70"/>
      <c r="D327" s="37"/>
      <c r="E327" s="70"/>
      <c r="F327" s="70"/>
      <c r="G327" s="37"/>
      <c r="H327" s="70"/>
      <c r="I327" s="70"/>
      <c r="J327" s="37"/>
      <c r="K327" s="70"/>
      <c r="L327" s="70"/>
      <c r="M327" s="70"/>
      <c r="N327" s="70"/>
      <c r="O327" s="70"/>
    </row>
    <row r="328" spans="1:15" x14ac:dyDescent="0.25">
      <c r="A328" s="37"/>
      <c r="B328" s="78"/>
      <c r="C328" s="70"/>
      <c r="D328" s="37"/>
      <c r="E328" s="70"/>
      <c r="F328" s="70"/>
      <c r="G328" s="37"/>
      <c r="H328" s="70"/>
      <c r="I328" s="70"/>
      <c r="J328" s="37"/>
      <c r="K328" s="70"/>
      <c r="L328" s="70"/>
      <c r="M328" s="70"/>
      <c r="N328" s="70"/>
      <c r="O328" s="70"/>
    </row>
    <row r="329" spans="1:15" x14ac:dyDescent="0.25">
      <c r="A329" s="37"/>
      <c r="B329" s="78"/>
      <c r="C329" s="70"/>
      <c r="D329" s="37"/>
      <c r="E329" s="70"/>
      <c r="F329" s="70"/>
      <c r="G329" s="37"/>
      <c r="H329" s="70"/>
      <c r="I329" s="70"/>
      <c r="J329" s="37"/>
      <c r="K329" s="70"/>
      <c r="L329" s="70"/>
      <c r="M329" s="70"/>
      <c r="N329" s="70"/>
      <c r="O329" s="70"/>
    </row>
    <row r="330" spans="1:15" x14ac:dyDescent="0.25">
      <c r="A330" s="37"/>
      <c r="B330" s="78"/>
      <c r="C330" s="70"/>
      <c r="D330" s="37"/>
      <c r="E330" s="70"/>
      <c r="F330" s="70"/>
      <c r="G330" s="37"/>
      <c r="H330" s="70"/>
      <c r="I330" s="70"/>
      <c r="J330" s="37"/>
      <c r="K330" s="70"/>
      <c r="L330" s="70"/>
      <c r="M330" s="70"/>
      <c r="N330" s="70"/>
      <c r="O330" s="70"/>
    </row>
    <row r="331" spans="1:15" x14ac:dyDescent="0.25">
      <c r="A331" s="37"/>
      <c r="B331" s="78"/>
      <c r="C331" s="70"/>
      <c r="D331" s="37"/>
      <c r="E331" s="70"/>
      <c r="F331" s="70"/>
      <c r="G331" s="37"/>
      <c r="H331" s="70"/>
      <c r="I331" s="70"/>
      <c r="J331" s="37"/>
      <c r="K331" s="70"/>
      <c r="L331" s="70"/>
      <c r="M331" s="70"/>
      <c r="N331" s="70"/>
      <c r="O331" s="70"/>
    </row>
    <row r="332" spans="1:15" x14ac:dyDescent="0.25">
      <c r="A332" s="37"/>
      <c r="B332" s="78"/>
      <c r="C332" s="70"/>
      <c r="D332" s="37"/>
      <c r="E332" s="70"/>
      <c r="F332" s="70"/>
      <c r="G332" s="37"/>
      <c r="H332" s="70"/>
      <c r="I332" s="70"/>
      <c r="J332" s="37"/>
      <c r="K332" s="70"/>
      <c r="L332" s="70"/>
      <c r="M332" s="70"/>
      <c r="N332" s="70"/>
      <c r="O332" s="70"/>
    </row>
    <row r="333" spans="1:15" x14ac:dyDescent="0.25">
      <c r="A333" s="37"/>
      <c r="B333" s="78"/>
      <c r="C333" s="70"/>
      <c r="D333" s="37"/>
      <c r="E333" s="70"/>
      <c r="F333" s="70"/>
      <c r="G333" s="37"/>
      <c r="H333" s="70"/>
      <c r="I333" s="70"/>
      <c r="J333" s="37"/>
      <c r="K333" s="70"/>
      <c r="L333" s="70"/>
      <c r="M333" s="70"/>
      <c r="N333" s="70"/>
      <c r="O333" s="70"/>
    </row>
    <row r="334" spans="1:15" x14ac:dyDescent="0.25">
      <c r="A334" s="37"/>
      <c r="B334" s="78"/>
      <c r="C334" s="70"/>
      <c r="D334" s="37"/>
      <c r="E334" s="70"/>
      <c r="F334" s="70"/>
      <c r="G334" s="37"/>
      <c r="H334" s="70"/>
      <c r="I334" s="70"/>
      <c r="J334" s="37"/>
      <c r="K334" s="70"/>
      <c r="L334" s="70"/>
      <c r="M334" s="70"/>
      <c r="N334" s="70"/>
      <c r="O334" s="70"/>
    </row>
    <row r="335" spans="1:15" x14ac:dyDescent="0.25">
      <c r="A335" s="37"/>
      <c r="B335" s="78"/>
      <c r="C335" s="70"/>
      <c r="D335" s="37"/>
      <c r="E335" s="70"/>
      <c r="F335" s="70"/>
      <c r="G335" s="37"/>
      <c r="H335" s="70"/>
      <c r="I335" s="70"/>
      <c r="J335" s="37"/>
      <c r="K335" s="70"/>
      <c r="L335" s="70"/>
      <c r="M335" s="70"/>
      <c r="N335" s="70"/>
      <c r="O335" s="70"/>
    </row>
    <row r="336" spans="1:15" x14ac:dyDescent="0.25">
      <c r="A336" s="37"/>
      <c r="B336" s="78"/>
      <c r="C336" s="70"/>
      <c r="D336" s="37"/>
      <c r="E336" s="70"/>
      <c r="F336" s="70"/>
      <c r="G336" s="37"/>
      <c r="H336" s="70"/>
      <c r="I336" s="70"/>
      <c r="J336" s="37"/>
      <c r="K336" s="70"/>
      <c r="L336" s="70"/>
      <c r="M336" s="70"/>
      <c r="N336" s="70"/>
      <c r="O336" s="70"/>
    </row>
    <row r="337" spans="1:15" x14ac:dyDescent="0.25">
      <c r="A337" s="37"/>
      <c r="B337" s="78"/>
      <c r="C337" s="70"/>
      <c r="D337" s="37"/>
      <c r="E337" s="70"/>
      <c r="F337" s="70"/>
      <c r="G337" s="37"/>
      <c r="H337" s="70"/>
      <c r="I337" s="70"/>
      <c r="J337" s="37"/>
      <c r="K337" s="70"/>
      <c r="L337" s="70"/>
      <c r="M337" s="70"/>
      <c r="N337" s="70"/>
      <c r="O337" s="70"/>
    </row>
    <row r="338" spans="1:15" x14ac:dyDescent="0.25">
      <c r="A338" s="37"/>
      <c r="B338" s="78"/>
      <c r="C338" s="70"/>
      <c r="D338" s="37"/>
      <c r="E338" s="70"/>
      <c r="F338" s="70"/>
      <c r="G338" s="37"/>
      <c r="H338" s="70"/>
      <c r="I338" s="70"/>
      <c r="J338" s="37"/>
      <c r="K338" s="70"/>
      <c r="L338" s="70"/>
      <c r="M338" s="70"/>
      <c r="N338" s="70"/>
      <c r="O338" s="70"/>
    </row>
    <row r="339" spans="1:15" x14ac:dyDescent="0.25">
      <c r="A339" s="37"/>
      <c r="B339" s="78"/>
      <c r="C339" s="70"/>
      <c r="D339" s="37"/>
      <c r="E339" s="70"/>
      <c r="F339" s="70"/>
      <c r="G339" s="37"/>
      <c r="H339" s="70"/>
      <c r="I339" s="70"/>
      <c r="J339" s="37"/>
      <c r="K339" s="70"/>
      <c r="L339" s="70"/>
      <c r="M339" s="70"/>
      <c r="N339" s="70"/>
      <c r="O339" s="70"/>
    </row>
    <row r="340" spans="1:15" x14ac:dyDescent="0.25">
      <c r="A340" s="37"/>
      <c r="B340" s="78"/>
      <c r="C340" s="70"/>
      <c r="D340" s="37"/>
      <c r="E340" s="70"/>
      <c r="F340" s="70"/>
      <c r="G340" s="37"/>
      <c r="H340" s="70"/>
      <c r="I340" s="70"/>
      <c r="J340" s="37"/>
      <c r="K340" s="70"/>
      <c r="L340" s="70"/>
      <c r="M340" s="70"/>
      <c r="N340" s="70"/>
      <c r="O340" s="70"/>
    </row>
    <row r="341" spans="1:15" x14ac:dyDescent="0.25">
      <c r="A341" s="37"/>
      <c r="B341" s="78"/>
      <c r="C341" s="70"/>
      <c r="D341" s="37"/>
      <c r="E341" s="70"/>
      <c r="F341" s="70"/>
      <c r="G341" s="37"/>
      <c r="H341" s="70"/>
      <c r="I341" s="70"/>
      <c r="J341" s="37"/>
      <c r="K341" s="70"/>
      <c r="L341" s="70"/>
      <c r="M341" s="70"/>
      <c r="N341" s="70"/>
      <c r="O341" s="70"/>
    </row>
    <row r="342" spans="1:15" x14ac:dyDescent="0.25">
      <c r="A342" s="37"/>
      <c r="B342" s="78"/>
      <c r="C342" s="70"/>
      <c r="D342" s="37"/>
      <c r="E342" s="70"/>
      <c r="F342" s="70"/>
      <c r="G342" s="37"/>
      <c r="H342" s="70"/>
      <c r="I342" s="70"/>
      <c r="J342" s="37"/>
      <c r="K342" s="70"/>
      <c r="L342" s="70"/>
      <c r="M342" s="70"/>
      <c r="N342" s="70"/>
      <c r="O342" s="70"/>
    </row>
    <row r="343" spans="1:15" x14ac:dyDescent="0.25">
      <c r="A343" s="37"/>
      <c r="B343" s="78"/>
      <c r="C343" s="70"/>
      <c r="D343" s="37"/>
      <c r="E343" s="70"/>
      <c r="F343" s="70"/>
      <c r="G343" s="37"/>
      <c r="H343" s="70"/>
      <c r="I343" s="70"/>
      <c r="J343" s="37"/>
      <c r="K343" s="70"/>
      <c r="L343" s="70"/>
      <c r="M343" s="70"/>
      <c r="N343" s="70"/>
      <c r="O343" s="70"/>
    </row>
    <row r="344" spans="1:15" x14ac:dyDescent="0.25">
      <c r="A344" s="37"/>
      <c r="B344" s="78"/>
      <c r="C344" s="70"/>
      <c r="D344" s="37"/>
      <c r="E344" s="70"/>
      <c r="F344" s="70"/>
      <c r="G344" s="37"/>
      <c r="H344" s="70"/>
      <c r="I344" s="70"/>
      <c r="J344" s="37"/>
      <c r="K344" s="70"/>
      <c r="L344" s="70"/>
      <c r="M344" s="70"/>
      <c r="N344" s="70"/>
      <c r="O344" s="70"/>
    </row>
    <row r="345" spans="1:15" x14ac:dyDescent="0.25">
      <c r="A345" s="37"/>
      <c r="B345" s="78"/>
      <c r="C345" s="70"/>
      <c r="D345" s="37"/>
      <c r="E345" s="70"/>
      <c r="F345" s="70"/>
      <c r="G345" s="37"/>
      <c r="H345" s="70"/>
      <c r="I345" s="70"/>
      <c r="J345" s="37"/>
      <c r="K345" s="70"/>
      <c r="L345" s="70"/>
      <c r="M345" s="70"/>
      <c r="N345" s="70"/>
      <c r="O345" s="70"/>
    </row>
    <row r="346" spans="1:15" x14ac:dyDescent="0.25">
      <c r="A346" s="37"/>
      <c r="B346" s="78"/>
      <c r="C346" s="70"/>
      <c r="D346" s="37"/>
      <c r="E346" s="70"/>
      <c r="F346" s="70"/>
      <c r="G346" s="37"/>
      <c r="H346" s="70"/>
      <c r="I346" s="70"/>
      <c r="J346" s="37"/>
      <c r="K346" s="70"/>
      <c r="L346" s="70"/>
      <c r="M346" s="70"/>
      <c r="N346" s="70"/>
      <c r="O346" s="70"/>
    </row>
    <row r="347" spans="1:15" x14ac:dyDescent="0.25">
      <c r="A347" s="37"/>
      <c r="B347" s="78"/>
      <c r="C347" s="70"/>
      <c r="D347" s="37"/>
      <c r="E347" s="70"/>
      <c r="F347" s="70"/>
      <c r="G347" s="37"/>
      <c r="H347" s="70"/>
      <c r="I347" s="70"/>
      <c r="J347" s="37"/>
      <c r="K347" s="70"/>
      <c r="L347" s="70"/>
      <c r="M347" s="70"/>
      <c r="N347" s="70"/>
      <c r="O347" s="70"/>
    </row>
    <row r="348" spans="1:15" x14ac:dyDescent="0.25">
      <c r="A348" s="37"/>
      <c r="B348" s="78"/>
      <c r="C348" s="70"/>
      <c r="D348" s="37"/>
      <c r="E348" s="70"/>
      <c r="F348" s="70"/>
      <c r="G348" s="37"/>
      <c r="H348" s="70"/>
      <c r="I348" s="70"/>
      <c r="J348" s="37"/>
      <c r="K348" s="70"/>
      <c r="L348" s="70"/>
      <c r="M348" s="70"/>
      <c r="N348" s="70"/>
      <c r="O348" s="70"/>
    </row>
    <row r="349" spans="1:15" x14ac:dyDescent="0.25">
      <c r="A349" s="37"/>
      <c r="B349" s="78"/>
      <c r="C349" s="70"/>
      <c r="D349" s="37"/>
      <c r="E349" s="70"/>
      <c r="F349" s="70"/>
      <c r="G349" s="37"/>
      <c r="H349" s="70"/>
      <c r="I349" s="70"/>
      <c r="J349" s="37"/>
      <c r="K349" s="70"/>
      <c r="L349" s="70"/>
      <c r="M349" s="70"/>
      <c r="N349" s="70"/>
      <c r="O349" s="70"/>
    </row>
    <row r="350" spans="1:15" x14ac:dyDescent="0.25">
      <c r="A350" s="37"/>
      <c r="B350" s="78"/>
      <c r="C350" s="70"/>
      <c r="D350" s="37"/>
      <c r="E350" s="70"/>
      <c r="F350" s="70"/>
      <c r="G350" s="37"/>
      <c r="H350" s="70"/>
      <c r="I350" s="70"/>
      <c r="J350" s="37"/>
      <c r="K350" s="70"/>
      <c r="L350" s="70"/>
      <c r="M350" s="70"/>
      <c r="N350" s="70"/>
      <c r="O350" s="70"/>
    </row>
    <row r="351" spans="1:15" x14ac:dyDescent="0.25">
      <c r="A351" s="37"/>
      <c r="B351" s="78"/>
      <c r="C351" s="70"/>
      <c r="D351" s="37"/>
      <c r="E351" s="70"/>
      <c r="F351" s="70"/>
      <c r="G351" s="37"/>
      <c r="H351" s="70"/>
      <c r="I351" s="70"/>
      <c r="J351" s="37"/>
      <c r="K351" s="70"/>
      <c r="L351" s="70"/>
      <c r="M351" s="70"/>
      <c r="N351" s="70"/>
      <c r="O351" s="70"/>
    </row>
    <row r="352" spans="1:15" x14ac:dyDescent="0.25">
      <c r="A352" s="37"/>
      <c r="B352" s="78"/>
      <c r="C352" s="70"/>
      <c r="D352" s="37"/>
      <c r="E352" s="70"/>
      <c r="F352" s="70"/>
      <c r="G352" s="37"/>
      <c r="H352" s="70"/>
      <c r="I352" s="70"/>
      <c r="J352" s="37"/>
      <c r="K352" s="70"/>
      <c r="L352" s="70"/>
      <c r="M352" s="70"/>
      <c r="N352" s="70"/>
      <c r="O352" s="70"/>
    </row>
    <row r="353" spans="1:15" x14ac:dyDescent="0.25">
      <c r="A353" s="37"/>
      <c r="B353" s="78"/>
      <c r="C353" s="70"/>
      <c r="D353" s="37"/>
      <c r="E353" s="70"/>
      <c r="F353" s="70"/>
      <c r="G353" s="37"/>
      <c r="H353" s="70"/>
      <c r="I353" s="70"/>
      <c r="J353" s="37"/>
      <c r="K353" s="70"/>
      <c r="L353" s="70"/>
      <c r="M353" s="70"/>
      <c r="N353" s="70"/>
      <c r="O353" s="70"/>
    </row>
    <row r="354" spans="1:15" x14ac:dyDescent="0.25">
      <c r="A354" s="37"/>
      <c r="B354" s="78"/>
      <c r="C354" s="70"/>
      <c r="D354" s="37"/>
      <c r="E354" s="70"/>
      <c r="F354" s="70"/>
      <c r="G354" s="37"/>
      <c r="H354" s="70"/>
      <c r="I354" s="70"/>
      <c r="J354" s="37"/>
      <c r="K354" s="70"/>
      <c r="L354" s="70"/>
      <c r="M354" s="70"/>
      <c r="N354" s="70"/>
      <c r="O354" s="70"/>
    </row>
    <row r="355" spans="1:15" x14ac:dyDescent="0.25">
      <c r="A355" s="37"/>
      <c r="B355" s="78"/>
      <c r="C355" s="70"/>
      <c r="D355" s="37"/>
      <c r="E355" s="70"/>
      <c r="F355" s="70"/>
      <c r="G355" s="37"/>
      <c r="H355" s="70"/>
      <c r="I355" s="70"/>
      <c r="J355" s="37"/>
      <c r="K355" s="70"/>
      <c r="L355" s="70"/>
      <c r="M355" s="70"/>
      <c r="N355" s="70"/>
      <c r="O355" s="70"/>
    </row>
    <row r="356" spans="1:15" x14ac:dyDescent="0.25">
      <c r="A356" s="37"/>
      <c r="B356" s="78"/>
      <c r="C356" s="70"/>
      <c r="D356" s="37"/>
      <c r="E356" s="70"/>
      <c r="F356" s="70"/>
      <c r="G356" s="37"/>
      <c r="H356" s="70"/>
      <c r="I356" s="70"/>
      <c r="J356" s="37"/>
      <c r="K356" s="70"/>
      <c r="L356" s="70"/>
      <c r="M356" s="70"/>
      <c r="N356" s="70"/>
      <c r="O356" s="70"/>
    </row>
    <row r="357" spans="1:15" x14ac:dyDescent="0.25">
      <c r="A357" s="37"/>
      <c r="B357" s="78"/>
      <c r="C357" s="70"/>
      <c r="D357" s="37"/>
      <c r="E357" s="70"/>
      <c r="F357" s="70"/>
      <c r="G357" s="37"/>
      <c r="H357" s="70"/>
      <c r="I357" s="70"/>
      <c r="J357" s="37"/>
      <c r="K357" s="70"/>
      <c r="L357" s="70"/>
      <c r="M357" s="70"/>
      <c r="N357" s="70"/>
      <c r="O357" s="70"/>
    </row>
    <row r="358" spans="1:15" x14ac:dyDescent="0.25">
      <c r="A358" s="37"/>
      <c r="B358" s="78"/>
      <c r="C358" s="70"/>
      <c r="D358" s="37"/>
      <c r="E358" s="70"/>
      <c r="F358" s="70"/>
      <c r="G358" s="37"/>
      <c r="H358" s="70"/>
      <c r="I358" s="70"/>
      <c r="J358" s="37"/>
      <c r="K358" s="70"/>
      <c r="L358" s="70"/>
      <c r="M358" s="70"/>
      <c r="N358" s="70"/>
      <c r="O358" s="70"/>
    </row>
    <row r="359" spans="1:15" x14ac:dyDescent="0.25">
      <c r="A359" s="37"/>
      <c r="B359" s="78"/>
      <c r="C359" s="70"/>
      <c r="D359" s="37"/>
      <c r="E359" s="70"/>
      <c r="F359" s="70"/>
      <c r="G359" s="37"/>
      <c r="H359" s="70"/>
      <c r="I359" s="70"/>
      <c r="J359" s="37"/>
      <c r="K359" s="70"/>
      <c r="L359" s="70"/>
      <c r="M359" s="70"/>
      <c r="N359" s="70"/>
      <c r="O359" s="70"/>
    </row>
    <row r="360" spans="1:15" x14ac:dyDescent="0.25">
      <c r="A360" s="37"/>
      <c r="B360" s="78"/>
      <c r="C360" s="70"/>
      <c r="D360" s="37"/>
      <c r="E360" s="70"/>
      <c r="F360" s="70"/>
      <c r="G360" s="37"/>
      <c r="H360" s="70"/>
      <c r="I360" s="70"/>
      <c r="J360" s="37"/>
      <c r="K360" s="70"/>
      <c r="L360" s="70"/>
      <c r="M360" s="70"/>
      <c r="N360" s="70"/>
      <c r="O360" s="70"/>
    </row>
    <row r="361" spans="1:15" x14ac:dyDescent="0.25">
      <c r="A361" s="37"/>
      <c r="B361" s="78"/>
      <c r="C361" s="70"/>
      <c r="D361" s="37"/>
      <c r="E361" s="70"/>
      <c r="F361" s="70"/>
      <c r="G361" s="37"/>
      <c r="H361" s="70"/>
      <c r="I361" s="70"/>
      <c r="J361" s="37"/>
      <c r="K361" s="70"/>
      <c r="L361" s="70"/>
      <c r="M361" s="70"/>
      <c r="N361" s="70"/>
      <c r="O361" s="70"/>
    </row>
    <row r="362" spans="1:15" x14ac:dyDescent="0.25">
      <c r="A362" s="37"/>
      <c r="B362" s="78"/>
      <c r="C362" s="70"/>
      <c r="D362" s="37"/>
      <c r="E362" s="70"/>
      <c r="F362" s="70"/>
      <c r="G362" s="37"/>
      <c r="H362" s="70"/>
      <c r="I362" s="70"/>
      <c r="J362" s="37"/>
      <c r="K362" s="70"/>
      <c r="L362" s="70"/>
      <c r="M362" s="70"/>
      <c r="N362" s="70"/>
      <c r="O362" s="70"/>
    </row>
    <row r="363" spans="1:15" x14ac:dyDescent="0.25">
      <c r="A363" s="37"/>
      <c r="B363" s="78"/>
      <c r="C363" s="70"/>
      <c r="D363" s="37"/>
      <c r="E363" s="70"/>
      <c r="F363" s="70"/>
      <c r="G363" s="37"/>
      <c r="H363" s="70"/>
      <c r="I363" s="70"/>
      <c r="J363" s="37"/>
      <c r="K363" s="70"/>
      <c r="L363" s="70"/>
      <c r="M363" s="70"/>
      <c r="N363" s="70"/>
      <c r="O363" s="70"/>
    </row>
    <row r="364" spans="1:15" x14ac:dyDescent="0.25">
      <c r="A364" s="37"/>
      <c r="B364" s="78"/>
      <c r="C364" s="70"/>
      <c r="D364" s="37"/>
      <c r="E364" s="70"/>
      <c r="F364" s="70"/>
      <c r="G364" s="37"/>
      <c r="H364" s="70"/>
      <c r="I364" s="70"/>
      <c r="J364" s="37"/>
      <c r="K364" s="70"/>
      <c r="L364" s="70"/>
      <c r="M364" s="70"/>
      <c r="N364" s="70"/>
      <c r="O364" s="70"/>
    </row>
    <row r="365" spans="1:15" x14ac:dyDescent="0.25">
      <c r="A365" s="37"/>
      <c r="B365" s="78"/>
      <c r="C365" s="70"/>
      <c r="D365" s="37"/>
      <c r="E365" s="70"/>
      <c r="F365" s="70"/>
      <c r="G365" s="37"/>
      <c r="H365" s="70"/>
      <c r="I365" s="70"/>
      <c r="J365" s="37"/>
      <c r="K365" s="70"/>
      <c r="L365" s="70"/>
      <c r="M365" s="70"/>
      <c r="N365" s="70"/>
      <c r="O365" s="70"/>
    </row>
    <row r="366" spans="1:15" x14ac:dyDescent="0.25">
      <c r="A366" s="37"/>
      <c r="B366" s="78"/>
      <c r="C366" s="70"/>
      <c r="D366" s="37"/>
      <c r="E366" s="70"/>
      <c r="F366" s="70"/>
      <c r="G366" s="37"/>
      <c r="H366" s="70"/>
      <c r="I366" s="70"/>
      <c r="J366" s="37"/>
      <c r="K366" s="70"/>
      <c r="L366" s="70"/>
      <c r="M366" s="70"/>
      <c r="N366" s="70"/>
      <c r="O366" s="70"/>
    </row>
    <row r="367" spans="1:15" x14ac:dyDescent="0.25">
      <c r="A367" s="37"/>
      <c r="B367" s="78"/>
      <c r="C367" s="70"/>
      <c r="D367" s="37"/>
      <c r="E367" s="70"/>
      <c r="F367" s="70"/>
      <c r="G367" s="37"/>
      <c r="H367" s="70"/>
      <c r="I367" s="70"/>
      <c r="J367" s="37"/>
      <c r="K367" s="70"/>
      <c r="L367" s="70"/>
      <c r="M367" s="70"/>
      <c r="N367" s="70"/>
      <c r="O367" s="70"/>
    </row>
    <row r="368" spans="1:15" x14ac:dyDescent="0.25">
      <c r="A368" s="37"/>
      <c r="B368" s="78"/>
      <c r="C368" s="70"/>
      <c r="D368" s="37"/>
      <c r="E368" s="70"/>
      <c r="F368" s="70"/>
      <c r="G368" s="37"/>
      <c r="H368" s="70"/>
      <c r="I368" s="70"/>
      <c r="J368" s="37"/>
      <c r="K368" s="70"/>
      <c r="L368" s="70"/>
      <c r="M368" s="70"/>
      <c r="N368" s="70"/>
      <c r="O368" s="70"/>
    </row>
    <row r="369" spans="1:15" x14ac:dyDescent="0.25">
      <c r="A369" s="37"/>
      <c r="B369" s="78"/>
      <c r="C369" s="70"/>
      <c r="D369" s="37"/>
      <c r="E369" s="70"/>
      <c r="F369" s="70"/>
      <c r="G369" s="37"/>
      <c r="H369" s="70"/>
      <c r="I369" s="70"/>
      <c r="J369" s="37"/>
      <c r="K369" s="70"/>
      <c r="L369" s="70"/>
      <c r="M369" s="70"/>
      <c r="N369" s="70"/>
      <c r="O369" s="70"/>
    </row>
    <row r="370" spans="1:15" x14ac:dyDescent="0.25">
      <c r="A370" s="37"/>
      <c r="B370" s="78"/>
      <c r="C370" s="70"/>
      <c r="D370" s="37"/>
      <c r="E370" s="70"/>
      <c r="F370" s="70"/>
      <c r="G370" s="37"/>
      <c r="H370" s="70"/>
      <c r="I370" s="70"/>
      <c r="J370" s="37"/>
      <c r="K370" s="70"/>
      <c r="L370" s="70"/>
      <c r="M370" s="70"/>
      <c r="N370" s="70"/>
      <c r="O370" s="70"/>
    </row>
    <row r="371" spans="1:15" x14ac:dyDescent="0.25">
      <c r="A371" s="37"/>
      <c r="B371" s="78"/>
      <c r="C371" s="70"/>
      <c r="D371" s="37"/>
      <c r="E371" s="70"/>
      <c r="F371" s="70"/>
      <c r="G371" s="37"/>
      <c r="H371" s="70"/>
      <c r="I371" s="70"/>
      <c r="J371" s="37"/>
      <c r="K371" s="70"/>
      <c r="L371" s="70"/>
      <c r="M371" s="70"/>
      <c r="N371" s="70"/>
      <c r="O371" s="70"/>
    </row>
    <row r="372" spans="1:15" x14ac:dyDescent="0.25">
      <c r="A372" s="37"/>
      <c r="B372" s="78"/>
      <c r="C372" s="70"/>
      <c r="D372" s="37"/>
      <c r="E372" s="70"/>
      <c r="F372" s="70"/>
      <c r="G372" s="37"/>
      <c r="H372" s="70"/>
      <c r="I372" s="70"/>
      <c r="J372" s="37"/>
      <c r="K372" s="70"/>
      <c r="L372" s="70"/>
      <c r="M372" s="70"/>
      <c r="N372" s="70"/>
      <c r="O372" s="70"/>
    </row>
    <row r="373" spans="1:15" x14ac:dyDescent="0.25">
      <c r="A373" s="37"/>
      <c r="B373" s="78"/>
      <c r="C373" s="70"/>
      <c r="D373" s="37"/>
      <c r="E373" s="70"/>
      <c r="F373" s="70"/>
      <c r="G373" s="37"/>
      <c r="H373" s="70"/>
      <c r="I373" s="70"/>
      <c r="J373" s="37"/>
      <c r="K373" s="70"/>
      <c r="L373" s="70"/>
      <c r="M373" s="70"/>
      <c r="N373" s="70"/>
      <c r="O373" s="70"/>
    </row>
    <row r="374" spans="1:15" x14ac:dyDescent="0.25">
      <c r="A374" s="37"/>
      <c r="B374" s="78"/>
      <c r="C374" s="70"/>
      <c r="D374" s="37"/>
      <c r="E374" s="70"/>
      <c r="F374" s="70"/>
      <c r="G374" s="37"/>
      <c r="H374" s="70"/>
      <c r="I374" s="70"/>
      <c r="J374" s="37"/>
      <c r="K374" s="70"/>
      <c r="L374" s="70"/>
      <c r="M374" s="70"/>
      <c r="N374" s="70"/>
      <c r="O374" s="70"/>
    </row>
    <row r="375" spans="1:15" x14ac:dyDescent="0.25">
      <c r="A375" s="37"/>
      <c r="B375" s="78"/>
      <c r="C375" s="70"/>
      <c r="D375" s="37"/>
      <c r="E375" s="70"/>
      <c r="F375" s="70"/>
      <c r="G375" s="37"/>
      <c r="H375" s="70"/>
      <c r="I375" s="70"/>
      <c r="J375" s="37"/>
      <c r="K375" s="70"/>
      <c r="L375" s="70"/>
      <c r="M375" s="70"/>
      <c r="N375" s="70"/>
      <c r="O375" s="70"/>
    </row>
    <row r="376" spans="1:15" x14ac:dyDescent="0.25">
      <c r="A376" s="37"/>
      <c r="B376" s="78"/>
      <c r="C376" s="70"/>
      <c r="D376" s="37"/>
      <c r="E376" s="70"/>
      <c r="F376" s="70"/>
      <c r="G376" s="37"/>
      <c r="H376" s="70"/>
      <c r="I376" s="70"/>
      <c r="J376" s="37"/>
      <c r="K376" s="70"/>
      <c r="L376" s="70"/>
      <c r="M376" s="70"/>
      <c r="N376" s="70"/>
      <c r="O376" s="70"/>
    </row>
    <row r="377" spans="1:15" x14ac:dyDescent="0.25">
      <c r="A377" s="37"/>
      <c r="B377" s="78"/>
      <c r="C377" s="70"/>
      <c r="D377" s="37"/>
      <c r="E377" s="70"/>
      <c r="F377" s="70"/>
      <c r="G377" s="37"/>
      <c r="H377" s="70"/>
      <c r="I377" s="70"/>
      <c r="J377" s="37"/>
      <c r="K377" s="70"/>
      <c r="L377" s="70"/>
      <c r="M377" s="70"/>
      <c r="N377" s="70"/>
      <c r="O377" s="70"/>
    </row>
    <row r="378" spans="1:15" x14ac:dyDescent="0.25">
      <c r="A378" s="37"/>
      <c r="B378" s="78"/>
      <c r="C378" s="70"/>
      <c r="D378" s="37"/>
      <c r="E378" s="70"/>
      <c r="F378" s="70"/>
      <c r="G378" s="37"/>
      <c r="H378" s="70"/>
      <c r="I378" s="70"/>
      <c r="J378" s="37"/>
      <c r="K378" s="70"/>
      <c r="L378" s="70"/>
      <c r="M378" s="70"/>
      <c r="N378" s="70"/>
      <c r="O378" s="70"/>
    </row>
    <row r="379" spans="1:15" x14ac:dyDescent="0.25">
      <c r="A379" s="37"/>
      <c r="B379" s="78"/>
      <c r="C379" s="70"/>
      <c r="D379" s="37"/>
      <c r="E379" s="70"/>
      <c r="F379" s="70"/>
      <c r="G379" s="37"/>
      <c r="H379" s="70"/>
      <c r="I379" s="70"/>
      <c r="J379" s="37"/>
      <c r="K379" s="70"/>
      <c r="L379" s="70"/>
      <c r="M379" s="70"/>
      <c r="N379" s="70"/>
      <c r="O379" s="70"/>
    </row>
    <row r="380" spans="1:15" x14ac:dyDescent="0.25">
      <c r="A380" s="37"/>
      <c r="B380" s="78"/>
      <c r="C380" s="70"/>
      <c r="D380" s="37"/>
      <c r="E380" s="70"/>
      <c r="F380" s="70"/>
      <c r="G380" s="37"/>
      <c r="H380" s="70"/>
      <c r="I380" s="70"/>
      <c r="J380" s="37"/>
      <c r="K380" s="70"/>
      <c r="L380" s="70"/>
      <c r="M380" s="70"/>
      <c r="N380" s="70"/>
      <c r="O380" s="70"/>
    </row>
    <row r="381" spans="1:15" x14ac:dyDescent="0.25">
      <c r="A381" s="37"/>
      <c r="B381" s="78"/>
      <c r="C381" s="70"/>
      <c r="D381" s="37"/>
      <c r="E381" s="70"/>
      <c r="F381" s="70"/>
      <c r="G381" s="37"/>
      <c r="H381" s="70"/>
      <c r="I381" s="70"/>
      <c r="J381" s="37"/>
      <c r="K381" s="70"/>
      <c r="L381" s="70"/>
      <c r="M381" s="70"/>
      <c r="N381" s="70"/>
      <c r="O381" s="70"/>
    </row>
    <row r="382" spans="1:15" x14ac:dyDescent="0.25">
      <c r="A382" s="37"/>
      <c r="B382" s="78"/>
      <c r="C382" s="70"/>
      <c r="D382" s="37"/>
      <c r="E382" s="70"/>
      <c r="F382" s="70"/>
      <c r="G382" s="37"/>
      <c r="H382" s="70"/>
      <c r="I382" s="70"/>
      <c r="J382" s="37"/>
      <c r="K382" s="70"/>
      <c r="L382" s="70"/>
      <c r="M382" s="70"/>
      <c r="N382" s="70"/>
      <c r="O382" s="70"/>
    </row>
    <row r="383" spans="1:15" x14ac:dyDescent="0.25">
      <c r="A383" s="37"/>
      <c r="B383" s="78"/>
      <c r="C383" s="70"/>
      <c r="D383" s="37"/>
      <c r="E383" s="70"/>
      <c r="F383" s="70"/>
      <c r="G383" s="37"/>
      <c r="H383" s="70"/>
      <c r="I383" s="70"/>
      <c r="J383" s="37"/>
      <c r="K383" s="70"/>
      <c r="L383" s="70"/>
      <c r="M383" s="70"/>
      <c r="N383" s="70"/>
      <c r="O383" s="70"/>
    </row>
    <row r="384" spans="1:15" x14ac:dyDescent="0.25">
      <c r="A384" s="37"/>
      <c r="B384" s="78"/>
      <c r="C384" s="70"/>
      <c r="D384" s="37"/>
      <c r="E384" s="70"/>
      <c r="F384" s="70"/>
      <c r="G384" s="37"/>
      <c r="H384" s="70"/>
      <c r="I384" s="70"/>
      <c r="J384" s="37"/>
      <c r="K384" s="70"/>
      <c r="L384" s="70"/>
      <c r="M384" s="70"/>
      <c r="N384" s="70"/>
      <c r="O384" s="70"/>
    </row>
    <row r="385" spans="1:15" x14ac:dyDescent="0.25">
      <c r="A385" s="37"/>
      <c r="B385" s="78"/>
      <c r="C385" s="70"/>
      <c r="D385" s="37"/>
      <c r="E385" s="70"/>
      <c r="F385" s="70"/>
      <c r="G385" s="37"/>
      <c r="H385" s="70"/>
      <c r="I385" s="70"/>
      <c r="J385" s="37"/>
      <c r="K385" s="70"/>
      <c r="L385" s="70"/>
      <c r="M385" s="70"/>
      <c r="N385" s="70"/>
      <c r="O385" s="70"/>
    </row>
    <row r="386" spans="1:15" x14ac:dyDescent="0.25">
      <c r="A386" s="37"/>
      <c r="B386" s="78"/>
      <c r="C386" s="70"/>
      <c r="D386" s="37"/>
      <c r="E386" s="70"/>
      <c r="F386" s="70"/>
      <c r="G386" s="37"/>
      <c r="H386" s="70"/>
      <c r="I386" s="70"/>
      <c r="J386" s="37"/>
      <c r="K386" s="70"/>
      <c r="L386" s="70"/>
      <c r="M386" s="70"/>
      <c r="N386" s="70"/>
      <c r="O386" s="70"/>
    </row>
    <row r="387" spans="1:15" x14ac:dyDescent="0.25">
      <c r="A387" s="37"/>
      <c r="B387" s="78"/>
      <c r="C387" s="70"/>
      <c r="D387" s="37"/>
      <c r="E387" s="70"/>
      <c r="F387" s="70"/>
      <c r="G387" s="37"/>
      <c r="H387" s="70"/>
      <c r="I387" s="70"/>
      <c r="J387" s="37"/>
      <c r="K387" s="70"/>
      <c r="L387" s="70"/>
      <c r="M387" s="70"/>
      <c r="N387" s="70"/>
      <c r="O387" s="70"/>
    </row>
    <row r="388" spans="1:15" x14ac:dyDescent="0.25">
      <c r="A388" s="37"/>
      <c r="B388" s="78"/>
      <c r="C388" s="70"/>
      <c r="D388" s="37"/>
      <c r="E388" s="70"/>
      <c r="F388" s="70"/>
      <c r="G388" s="37"/>
      <c r="H388" s="70"/>
      <c r="I388" s="70"/>
      <c r="J388" s="37"/>
      <c r="K388" s="70"/>
      <c r="L388" s="70"/>
      <c r="M388" s="70"/>
      <c r="N388" s="70"/>
      <c r="O388" s="70"/>
    </row>
    <row r="389" spans="1:15" x14ac:dyDescent="0.25">
      <c r="A389" s="37"/>
      <c r="B389" s="78"/>
      <c r="C389" s="70"/>
      <c r="D389" s="37"/>
      <c r="E389" s="70"/>
      <c r="F389" s="70"/>
      <c r="G389" s="37"/>
      <c r="H389" s="70"/>
      <c r="I389" s="70"/>
      <c r="J389" s="37"/>
      <c r="K389" s="70"/>
      <c r="L389" s="70"/>
      <c r="M389" s="70"/>
      <c r="N389" s="70"/>
      <c r="O389" s="70"/>
    </row>
    <row r="390" spans="1:15" x14ac:dyDescent="0.25">
      <c r="A390" s="37"/>
      <c r="B390" s="78"/>
      <c r="C390" s="70"/>
      <c r="D390" s="37"/>
      <c r="E390" s="70"/>
      <c r="F390" s="70"/>
      <c r="G390" s="37"/>
      <c r="H390" s="70"/>
      <c r="I390" s="70"/>
      <c r="J390" s="37"/>
      <c r="K390" s="70"/>
      <c r="L390" s="70"/>
      <c r="M390" s="70"/>
      <c r="N390" s="70"/>
      <c r="O390" s="70"/>
    </row>
    <row r="391" spans="1:15" x14ac:dyDescent="0.25">
      <c r="A391" s="37"/>
      <c r="B391" s="78"/>
      <c r="C391" s="70"/>
      <c r="D391" s="37"/>
      <c r="E391" s="70"/>
      <c r="F391" s="70"/>
      <c r="G391" s="37"/>
      <c r="H391" s="70"/>
      <c r="I391" s="70"/>
      <c r="J391" s="37"/>
      <c r="K391" s="70"/>
      <c r="L391" s="70"/>
      <c r="M391" s="70"/>
      <c r="N391" s="70"/>
      <c r="O391" s="70"/>
    </row>
    <row r="392" spans="1:15" x14ac:dyDescent="0.25">
      <c r="A392" s="37"/>
      <c r="B392" s="78"/>
      <c r="C392" s="70"/>
      <c r="D392" s="37"/>
      <c r="E392" s="70"/>
      <c r="F392" s="70"/>
      <c r="G392" s="37"/>
      <c r="H392" s="70"/>
      <c r="I392" s="70"/>
      <c r="J392" s="37"/>
      <c r="K392" s="70"/>
      <c r="L392" s="70"/>
      <c r="M392" s="70"/>
      <c r="N392" s="70"/>
      <c r="O392" s="70"/>
    </row>
    <row r="393" spans="1:15" x14ac:dyDescent="0.25">
      <c r="A393" s="37"/>
      <c r="B393" s="78"/>
      <c r="C393" s="70"/>
      <c r="D393" s="37"/>
      <c r="E393" s="70"/>
      <c r="F393" s="70"/>
      <c r="G393" s="37"/>
      <c r="H393" s="70"/>
      <c r="I393" s="70"/>
      <c r="J393" s="37"/>
      <c r="K393" s="70"/>
      <c r="L393" s="70"/>
      <c r="M393" s="70"/>
      <c r="N393" s="70"/>
      <c r="O393" s="70"/>
    </row>
    <row r="394" spans="1:15" x14ac:dyDescent="0.25">
      <c r="A394" s="37"/>
      <c r="B394" s="78"/>
      <c r="C394" s="70"/>
      <c r="D394" s="37"/>
      <c r="E394" s="70"/>
      <c r="F394" s="70"/>
      <c r="G394" s="37"/>
      <c r="H394" s="70"/>
      <c r="I394" s="70"/>
      <c r="J394" s="37"/>
      <c r="K394" s="70"/>
      <c r="L394" s="70"/>
      <c r="M394" s="70"/>
      <c r="N394" s="70"/>
      <c r="O394" s="70"/>
    </row>
    <row r="395" spans="1:15" x14ac:dyDescent="0.25">
      <c r="A395" s="37"/>
      <c r="B395" s="78"/>
      <c r="C395" s="70"/>
      <c r="D395" s="37"/>
      <c r="E395" s="70"/>
      <c r="F395" s="70"/>
      <c r="G395" s="37"/>
      <c r="H395" s="70"/>
      <c r="I395" s="70"/>
      <c r="J395" s="37"/>
      <c r="K395" s="70"/>
      <c r="L395" s="70"/>
      <c r="M395" s="70"/>
      <c r="N395" s="70"/>
      <c r="O395" s="70"/>
    </row>
    <row r="396" spans="1:15" x14ac:dyDescent="0.25">
      <c r="A396" s="37"/>
      <c r="B396" s="78"/>
      <c r="C396" s="70"/>
      <c r="D396" s="37"/>
      <c r="E396" s="70"/>
      <c r="F396" s="70"/>
      <c r="G396" s="37"/>
      <c r="H396" s="70"/>
      <c r="I396" s="70"/>
      <c r="J396" s="37"/>
      <c r="K396" s="70"/>
      <c r="L396" s="70"/>
      <c r="M396" s="70"/>
      <c r="N396" s="70"/>
      <c r="O396" s="70"/>
    </row>
    <row r="397" spans="1:15" x14ac:dyDescent="0.25">
      <c r="A397" s="37"/>
      <c r="B397" s="78"/>
      <c r="C397" s="70"/>
      <c r="D397" s="37"/>
      <c r="E397" s="70"/>
      <c r="F397" s="70"/>
      <c r="G397" s="37"/>
      <c r="H397" s="70"/>
      <c r="I397" s="70"/>
      <c r="J397" s="37"/>
      <c r="K397" s="70"/>
      <c r="L397" s="70"/>
      <c r="M397" s="70"/>
      <c r="N397" s="70"/>
      <c r="O397" s="70"/>
    </row>
    <row r="398" spans="1:15" x14ac:dyDescent="0.25">
      <c r="A398" s="37"/>
      <c r="B398" s="78"/>
      <c r="C398" s="70"/>
      <c r="D398" s="37"/>
      <c r="E398" s="70"/>
      <c r="F398" s="70"/>
      <c r="G398" s="37"/>
      <c r="H398" s="70"/>
      <c r="I398" s="70"/>
      <c r="J398" s="37"/>
      <c r="K398" s="70"/>
      <c r="L398" s="70"/>
      <c r="M398" s="70"/>
      <c r="N398" s="70"/>
      <c r="O398" s="70"/>
    </row>
    <row r="399" spans="1:15" x14ac:dyDescent="0.25">
      <c r="A399" s="37"/>
      <c r="B399" s="78"/>
      <c r="C399" s="70"/>
      <c r="D399" s="37"/>
      <c r="E399" s="70"/>
      <c r="F399" s="70"/>
      <c r="G399" s="37"/>
      <c r="H399" s="70"/>
      <c r="I399" s="70"/>
      <c r="J399" s="37"/>
      <c r="K399" s="70"/>
      <c r="L399" s="70"/>
      <c r="M399" s="70"/>
      <c r="N399" s="70"/>
      <c r="O399" s="70"/>
    </row>
    <row r="400" spans="1:15" x14ac:dyDescent="0.25">
      <c r="A400" s="37"/>
      <c r="B400" s="78"/>
      <c r="C400" s="70"/>
      <c r="D400" s="37"/>
      <c r="E400" s="70"/>
      <c r="F400" s="70"/>
      <c r="G400" s="37"/>
      <c r="H400" s="70"/>
      <c r="I400" s="70"/>
      <c r="J400" s="37"/>
      <c r="K400" s="70"/>
      <c r="L400" s="70"/>
      <c r="M400" s="70"/>
      <c r="N400" s="70"/>
      <c r="O400" s="70"/>
    </row>
    <row r="401" spans="1:15" x14ac:dyDescent="0.25">
      <c r="A401" s="37"/>
      <c r="B401" s="78"/>
      <c r="C401" s="70"/>
      <c r="D401" s="37"/>
      <c r="E401" s="70"/>
      <c r="F401" s="70"/>
      <c r="G401" s="37"/>
      <c r="H401" s="70"/>
      <c r="I401" s="70"/>
      <c r="J401" s="37"/>
      <c r="K401" s="70"/>
      <c r="L401" s="70"/>
      <c r="M401" s="70"/>
      <c r="N401" s="70"/>
      <c r="O401" s="70"/>
    </row>
    <row r="402" spans="1:15" x14ac:dyDescent="0.25">
      <c r="A402" s="37"/>
      <c r="B402" s="78"/>
      <c r="C402" s="70"/>
      <c r="D402" s="37"/>
      <c r="E402" s="70"/>
      <c r="F402" s="70"/>
      <c r="G402" s="37"/>
      <c r="H402" s="70"/>
      <c r="I402" s="70"/>
      <c r="J402" s="37"/>
      <c r="K402" s="70"/>
      <c r="L402" s="70"/>
      <c r="M402" s="70"/>
      <c r="N402" s="70"/>
      <c r="O402" s="70"/>
    </row>
    <row r="403" spans="1:15" x14ac:dyDescent="0.25">
      <c r="A403" s="37"/>
      <c r="B403" s="78"/>
      <c r="C403" s="70"/>
      <c r="D403" s="37"/>
      <c r="E403" s="70"/>
      <c r="F403" s="70"/>
      <c r="G403" s="37"/>
      <c r="H403" s="70"/>
      <c r="I403" s="70"/>
      <c r="J403" s="37"/>
      <c r="K403" s="70"/>
      <c r="L403" s="70"/>
      <c r="M403" s="70"/>
      <c r="N403" s="70"/>
      <c r="O403" s="70"/>
    </row>
    <row r="404" spans="1:15" x14ac:dyDescent="0.25">
      <c r="A404" s="37"/>
      <c r="B404" s="78"/>
      <c r="C404" s="70"/>
      <c r="D404" s="37"/>
      <c r="E404" s="70"/>
      <c r="F404" s="70"/>
      <c r="G404" s="37"/>
      <c r="H404" s="70"/>
      <c r="I404" s="70"/>
      <c r="J404" s="37"/>
      <c r="K404" s="70"/>
      <c r="L404" s="70"/>
      <c r="M404" s="70"/>
      <c r="N404" s="70"/>
      <c r="O404" s="70"/>
    </row>
    <row r="405" spans="1:15" x14ac:dyDescent="0.25">
      <c r="A405" s="37"/>
      <c r="B405" s="78"/>
      <c r="C405" s="70"/>
      <c r="D405" s="37"/>
      <c r="E405" s="70"/>
      <c r="F405" s="70"/>
      <c r="G405" s="37"/>
      <c r="H405" s="70"/>
      <c r="I405" s="70"/>
      <c r="J405" s="37"/>
      <c r="K405" s="70"/>
      <c r="L405" s="70"/>
      <c r="M405" s="70"/>
      <c r="N405" s="70"/>
      <c r="O405" s="70"/>
    </row>
    <row r="406" spans="1:15" x14ac:dyDescent="0.25">
      <c r="A406" s="37"/>
      <c r="B406" s="78"/>
      <c r="C406" s="70"/>
      <c r="D406" s="37"/>
      <c r="E406" s="70"/>
      <c r="F406" s="70"/>
      <c r="G406" s="37"/>
      <c r="H406" s="70"/>
      <c r="I406" s="70"/>
      <c r="J406" s="37"/>
      <c r="K406" s="70"/>
      <c r="L406" s="70"/>
      <c r="M406" s="70"/>
      <c r="N406" s="70"/>
      <c r="O406" s="70"/>
    </row>
    <row r="407" spans="1:15" x14ac:dyDescent="0.25">
      <c r="A407" s="37"/>
      <c r="B407" s="78"/>
      <c r="C407" s="70"/>
      <c r="D407" s="37"/>
      <c r="E407" s="70"/>
      <c r="F407" s="70"/>
      <c r="G407" s="37"/>
      <c r="H407" s="70"/>
      <c r="I407" s="70"/>
      <c r="J407" s="37"/>
      <c r="K407" s="70"/>
      <c r="L407" s="70"/>
      <c r="M407" s="70"/>
      <c r="N407" s="70"/>
      <c r="O407" s="70"/>
    </row>
    <row r="408" spans="1:15" x14ac:dyDescent="0.25">
      <c r="A408" s="37"/>
      <c r="B408" s="78"/>
      <c r="C408" s="70"/>
      <c r="D408" s="37"/>
      <c r="E408" s="70"/>
      <c r="F408" s="70"/>
      <c r="G408" s="37"/>
      <c r="H408" s="70"/>
      <c r="I408" s="70"/>
      <c r="J408" s="37"/>
      <c r="K408" s="70"/>
      <c r="L408" s="70"/>
      <c r="M408" s="70"/>
      <c r="N408" s="70"/>
      <c r="O408" s="70"/>
    </row>
    <row r="409" spans="1:15" x14ac:dyDescent="0.25">
      <c r="A409" s="37"/>
      <c r="B409" s="78"/>
      <c r="C409" s="70"/>
      <c r="D409" s="37"/>
      <c r="E409" s="70"/>
      <c r="F409" s="70"/>
      <c r="G409" s="37"/>
      <c r="H409" s="70"/>
      <c r="I409" s="70"/>
      <c r="J409" s="37"/>
      <c r="K409" s="70"/>
      <c r="L409" s="70"/>
      <c r="M409" s="70"/>
      <c r="N409" s="70"/>
      <c r="O409" s="70"/>
    </row>
    <row r="410" spans="1:15" x14ac:dyDescent="0.25">
      <c r="A410" s="37"/>
      <c r="B410" s="78"/>
      <c r="C410" s="70"/>
      <c r="D410" s="37"/>
      <c r="E410" s="70"/>
      <c r="F410" s="70"/>
      <c r="G410" s="37"/>
      <c r="H410" s="70"/>
      <c r="I410" s="70"/>
      <c r="J410" s="37"/>
      <c r="K410" s="70"/>
      <c r="L410" s="70"/>
      <c r="M410" s="70"/>
      <c r="N410" s="70"/>
      <c r="O410" s="70"/>
    </row>
    <row r="411" spans="1:15" x14ac:dyDescent="0.25">
      <c r="A411" s="37"/>
      <c r="B411" s="78"/>
      <c r="C411" s="70"/>
      <c r="D411" s="37"/>
      <c r="E411" s="70"/>
      <c r="F411" s="70"/>
      <c r="G411" s="37"/>
      <c r="H411" s="70"/>
      <c r="I411" s="70"/>
      <c r="J411" s="37"/>
      <c r="K411" s="70"/>
      <c r="L411" s="70"/>
      <c r="M411" s="70"/>
      <c r="N411" s="70"/>
      <c r="O411" s="70"/>
    </row>
    <row r="412" spans="1:15" x14ac:dyDescent="0.25">
      <c r="A412" s="37"/>
      <c r="B412" s="78"/>
      <c r="C412" s="70"/>
      <c r="D412" s="37"/>
      <c r="E412" s="70"/>
      <c r="F412" s="70"/>
      <c r="G412" s="37"/>
      <c r="H412" s="70"/>
      <c r="I412" s="70"/>
      <c r="J412" s="37"/>
      <c r="K412" s="70"/>
      <c r="L412" s="70"/>
      <c r="M412" s="70"/>
      <c r="N412" s="70"/>
      <c r="O412" s="70"/>
    </row>
    <row r="413" spans="1:15" x14ac:dyDescent="0.25">
      <c r="A413" s="37"/>
      <c r="B413" s="78"/>
      <c r="C413" s="70"/>
      <c r="D413" s="37"/>
      <c r="E413" s="70"/>
      <c r="F413" s="70"/>
      <c r="G413" s="37"/>
      <c r="H413" s="70"/>
      <c r="I413" s="70"/>
      <c r="J413" s="37"/>
      <c r="K413" s="70"/>
      <c r="L413" s="70"/>
      <c r="M413" s="70"/>
      <c r="N413" s="70"/>
      <c r="O413" s="70"/>
    </row>
    <row r="414" spans="1:15" x14ac:dyDescent="0.25">
      <c r="A414" s="37"/>
      <c r="B414" s="78"/>
      <c r="C414" s="70"/>
      <c r="D414" s="37"/>
      <c r="E414" s="70"/>
      <c r="F414" s="70"/>
      <c r="G414" s="37"/>
      <c r="H414" s="70"/>
      <c r="I414" s="70"/>
      <c r="J414" s="37"/>
      <c r="K414" s="70"/>
      <c r="L414" s="70"/>
      <c r="M414" s="70"/>
      <c r="N414" s="70"/>
      <c r="O414" s="70"/>
    </row>
    <row r="415" spans="1:15" x14ac:dyDescent="0.25">
      <c r="A415" s="37"/>
      <c r="B415" s="78"/>
      <c r="C415" s="70"/>
      <c r="D415" s="37"/>
      <c r="E415" s="70"/>
      <c r="F415" s="70"/>
      <c r="G415" s="37"/>
      <c r="H415" s="70"/>
      <c r="I415" s="70"/>
      <c r="J415" s="37"/>
      <c r="K415" s="70"/>
      <c r="L415" s="70"/>
      <c r="M415" s="70"/>
      <c r="N415" s="70"/>
      <c r="O415" s="70"/>
    </row>
    <row r="416" spans="1:15" x14ac:dyDescent="0.25">
      <c r="A416" s="37"/>
      <c r="B416" s="78"/>
      <c r="C416" s="70"/>
      <c r="D416" s="37"/>
      <c r="E416" s="70"/>
      <c r="F416" s="70"/>
      <c r="G416" s="37"/>
      <c r="H416" s="70"/>
      <c r="I416" s="70"/>
      <c r="J416" s="37"/>
      <c r="K416" s="70"/>
      <c r="L416" s="70"/>
      <c r="M416" s="70"/>
      <c r="N416" s="70"/>
      <c r="O416" s="70"/>
    </row>
    <row r="417" spans="1:15" x14ac:dyDescent="0.25">
      <c r="A417" s="37"/>
      <c r="B417" s="78"/>
      <c r="C417" s="70"/>
      <c r="D417" s="37"/>
      <c r="E417" s="70"/>
      <c r="F417" s="70"/>
      <c r="G417" s="37"/>
      <c r="H417" s="70"/>
      <c r="I417" s="70"/>
      <c r="J417" s="37"/>
      <c r="K417" s="70"/>
      <c r="L417" s="70"/>
      <c r="M417" s="70"/>
      <c r="N417" s="70"/>
      <c r="O417" s="70"/>
    </row>
    <row r="418" spans="1:15" x14ac:dyDescent="0.25">
      <c r="A418" s="37"/>
      <c r="B418" s="78"/>
      <c r="C418" s="70"/>
      <c r="D418" s="37"/>
      <c r="E418" s="70"/>
      <c r="F418" s="70"/>
      <c r="G418" s="37"/>
      <c r="H418" s="70"/>
      <c r="I418" s="70"/>
      <c r="J418" s="37"/>
      <c r="K418" s="70"/>
      <c r="L418" s="70"/>
      <c r="M418" s="70"/>
      <c r="N418" s="70"/>
      <c r="O418" s="70"/>
    </row>
    <row r="419" spans="1:15" x14ac:dyDescent="0.25">
      <c r="A419" s="37"/>
      <c r="B419" s="78"/>
      <c r="C419" s="70"/>
      <c r="D419" s="37"/>
      <c r="E419" s="70"/>
      <c r="F419" s="70"/>
      <c r="G419" s="37"/>
      <c r="H419" s="70"/>
      <c r="I419" s="70"/>
      <c r="J419" s="37"/>
      <c r="K419" s="70"/>
      <c r="L419" s="70"/>
      <c r="M419" s="70"/>
      <c r="N419" s="70"/>
      <c r="O419" s="70"/>
    </row>
    <row r="420" spans="1:15" x14ac:dyDescent="0.25">
      <c r="A420" s="37"/>
      <c r="B420" s="78"/>
      <c r="C420" s="70"/>
      <c r="D420" s="37"/>
      <c r="E420" s="70"/>
      <c r="F420" s="70"/>
      <c r="G420" s="37"/>
      <c r="H420" s="70"/>
      <c r="I420" s="70"/>
      <c r="J420" s="37"/>
      <c r="K420" s="70"/>
      <c r="L420" s="70"/>
      <c r="M420" s="70"/>
      <c r="N420" s="70"/>
      <c r="O420" s="70"/>
    </row>
    <row r="421" spans="1:15" x14ac:dyDescent="0.25">
      <c r="A421" s="37"/>
      <c r="B421" s="78"/>
      <c r="C421" s="70"/>
      <c r="D421" s="37"/>
      <c r="E421" s="70"/>
      <c r="F421" s="70"/>
      <c r="G421" s="37"/>
      <c r="H421" s="70"/>
      <c r="I421" s="70"/>
      <c r="J421" s="37"/>
      <c r="K421" s="70"/>
      <c r="L421" s="70"/>
      <c r="M421" s="70"/>
      <c r="N421" s="70"/>
      <c r="O421" s="70"/>
    </row>
    <row r="422" spans="1:15" x14ac:dyDescent="0.25">
      <c r="A422" s="37"/>
      <c r="B422" s="78"/>
      <c r="C422" s="70"/>
      <c r="D422" s="37"/>
      <c r="E422" s="70"/>
      <c r="F422" s="70"/>
      <c r="G422" s="37"/>
      <c r="H422" s="70"/>
      <c r="I422" s="70"/>
      <c r="J422" s="37"/>
      <c r="K422" s="70"/>
      <c r="L422" s="70"/>
      <c r="M422" s="70"/>
      <c r="N422" s="70"/>
      <c r="O422" s="70"/>
    </row>
    <row r="423" spans="1:15" x14ac:dyDescent="0.25">
      <c r="A423" s="37"/>
      <c r="B423" s="78"/>
      <c r="C423" s="70"/>
      <c r="D423" s="37"/>
      <c r="E423" s="70"/>
      <c r="F423" s="70"/>
      <c r="G423" s="37"/>
      <c r="H423" s="70"/>
      <c r="I423" s="70"/>
      <c r="J423" s="37"/>
      <c r="K423" s="70"/>
      <c r="L423" s="70"/>
      <c r="M423" s="70"/>
      <c r="N423" s="70"/>
      <c r="O423" s="70"/>
    </row>
    <row r="424" spans="1:15" x14ac:dyDescent="0.25">
      <c r="A424" s="37"/>
      <c r="B424" s="78"/>
      <c r="C424" s="70"/>
      <c r="D424" s="37"/>
      <c r="E424" s="70"/>
      <c r="F424" s="70"/>
      <c r="G424" s="37"/>
      <c r="H424" s="70"/>
      <c r="I424" s="70"/>
      <c r="J424" s="37"/>
      <c r="K424" s="70"/>
      <c r="L424" s="70"/>
      <c r="M424" s="70"/>
      <c r="N424" s="70"/>
      <c r="O424" s="70"/>
    </row>
    <row r="425" spans="1:15" x14ac:dyDescent="0.25">
      <c r="A425" s="37"/>
      <c r="B425" s="78"/>
      <c r="C425" s="70"/>
      <c r="D425" s="37"/>
      <c r="E425" s="70"/>
      <c r="F425" s="70"/>
      <c r="G425" s="37"/>
      <c r="H425" s="70"/>
      <c r="I425" s="70"/>
      <c r="J425" s="37"/>
      <c r="K425" s="70"/>
      <c r="L425" s="70"/>
      <c r="M425" s="70"/>
      <c r="N425" s="70"/>
      <c r="O425" s="70"/>
    </row>
    <row r="426" spans="1:15" x14ac:dyDescent="0.25">
      <c r="A426" s="37"/>
      <c r="B426" s="78"/>
      <c r="C426" s="70"/>
      <c r="D426" s="37"/>
      <c r="E426" s="70"/>
      <c r="F426" s="70"/>
      <c r="G426" s="37"/>
      <c r="H426" s="70"/>
      <c r="I426" s="70"/>
      <c r="J426" s="37"/>
      <c r="K426" s="70"/>
      <c r="L426" s="70"/>
      <c r="M426" s="70"/>
      <c r="N426" s="70"/>
      <c r="O426" s="70"/>
    </row>
    <row r="427" spans="1:15" x14ac:dyDescent="0.25">
      <c r="A427" s="37"/>
      <c r="B427" s="78"/>
      <c r="C427" s="70"/>
      <c r="D427" s="37"/>
      <c r="E427" s="70"/>
      <c r="F427" s="70"/>
      <c r="G427" s="37"/>
      <c r="H427" s="70"/>
      <c r="I427" s="70"/>
      <c r="J427" s="37"/>
      <c r="K427" s="70"/>
      <c r="L427" s="70"/>
      <c r="M427" s="70"/>
      <c r="N427" s="70"/>
      <c r="O427" s="70"/>
    </row>
    <row r="428" spans="1:15" x14ac:dyDescent="0.25">
      <c r="A428" s="37"/>
      <c r="B428" s="78"/>
      <c r="C428" s="70"/>
      <c r="D428" s="37"/>
      <c r="E428" s="70"/>
      <c r="F428" s="70"/>
      <c r="G428" s="37"/>
      <c r="H428" s="70"/>
      <c r="I428" s="70"/>
      <c r="J428" s="37"/>
      <c r="K428" s="70"/>
      <c r="L428" s="70"/>
      <c r="M428" s="70"/>
      <c r="N428" s="70"/>
      <c r="O428" s="70"/>
    </row>
    <row r="429" spans="1:15" x14ac:dyDescent="0.25">
      <c r="A429" s="37"/>
      <c r="B429" s="78"/>
      <c r="C429" s="70"/>
      <c r="D429" s="37"/>
      <c r="E429" s="70"/>
      <c r="F429" s="70"/>
      <c r="G429" s="37"/>
      <c r="H429" s="70"/>
      <c r="I429" s="70"/>
      <c r="J429" s="37"/>
      <c r="K429" s="70"/>
      <c r="L429" s="70"/>
      <c r="M429" s="70"/>
      <c r="N429" s="70"/>
      <c r="O429" s="70"/>
    </row>
    <row r="430" spans="1:15" x14ac:dyDescent="0.25">
      <c r="A430" s="37"/>
      <c r="B430" s="78"/>
      <c r="C430" s="70"/>
      <c r="D430" s="37"/>
      <c r="E430" s="70"/>
      <c r="F430" s="70"/>
      <c r="G430" s="37"/>
      <c r="H430" s="70"/>
      <c r="I430" s="70"/>
      <c r="J430" s="37"/>
      <c r="K430" s="70"/>
      <c r="L430" s="70"/>
      <c r="M430" s="70"/>
      <c r="N430" s="70"/>
      <c r="O430" s="70"/>
    </row>
    <row r="431" spans="1:15" x14ac:dyDescent="0.25">
      <c r="A431" s="37"/>
      <c r="B431" s="78"/>
      <c r="C431" s="70"/>
      <c r="D431" s="37"/>
      <c r="E431" s="70"/>
      <c r="F431" s="70"/>
      <c r="G431" s="37"/>
      <c r="H431" s="70"/>
      <c r="I431" s="70"/>
      <c r="J431" s="37"/>
      <c r="K431" s="70"/>
      <c r="L431" s="70"/>
      <c r="M431" s="70"/>
      <c r="N431" s="70"/>
      <c r="O431" s="70"/>
    </row>
    <row r="432" spans="1:15" x14ac:dyDescent="0.25">
      <c r="A432" s="37"/>
      <c r="B432" s="78"/>
      <c r="C432" s="70"/>
      <c r="D432" s="37"/>
      <c r="E432" s="70"/>
      <c r="F432" s="70"/>
      <c r="G432" s="37"/>
      <c r="H432" s="70"/>
      <c r="I432" s="70"/>
      <c r="J432" s="37"/>
      <c r="K432" s="70"/>
      <c r="L432" s="70"/>
      <c r="M432" s="70"/>
      <c r="N432" s="70"/>
      <c r="O432" s="70"/>
    </row>
    <row r="433" spans="1:15" x14ac:dyDescent="0.25">
      <c r="A433" s="37"/>
      <c r="B433" s="78"/>
      <c r="C433" s="70"/>
      <c r="D433" s="37"/>
      <c r="E433" s="70"/>
      <c r="F433" s="70"/>
      <c r="G433" s="37"/>
      <c r="H433" s="70"/>
      <c r="I433" s="70"/>
      <c r="J433" s="37"/>
      <c r="K433" s="70"/>
      <c r="L433" s="70"/>
      <c r="M433" s="70"/>
      <c r="N433" s="70"/>
      <c r="O433" s="70"/>
    </row>
    <row r="434" spans="1:15" x14ac:dyDescent="0.25">
      <c r="A434" s="37"/>
      <c r="B434" s="78"/>
      <c r="C434" s="70"/>
      <c r="D434" s="37"/>
      <c r="E434" s="70"/>
      <c r="F434" s="70"/>
      <c r="G434" s="37"/>
      <c r="H434" s="70"/>
      <c r="I434" s="70"/>
      <c r="J434" s="37"/>
      <c r="K434" s="70"/>
      <c r="L434" s="70"/>
      <c r="M434" s="70"/>
      <c r="N434" s="70"/>
      <c r="O434" s="70"/>
    </row>
    <row r="435" spans="1:15" x14ac:dyDescent="0.25">
      <c r="A435" s="37"/>
      <c r="B435" s="78"/>
      <c r="C435" s="70"/>
      <c r="D435" s="37"/>
      <c r="E435" s="70"/>
      <c r="F435" s="70"/>
      <c r="G435" s="37"/>
      <c r="H435" s="70"/>
      <c r="I435" s="70"/>
      <c r="J435" s="37"/>
      <c r="K435" s="70"/>
      <c r="L435" s="70"/>
      <c r="M435" s="70"/>
      <c r="N435" s="70"/>
      <c r="O435" s="70"/>
    </row>
    <row r="436" spans="1:15" x14ac:dyDescent="0.25">
      <c r="A436" s="37"/>
      <c r="B436" s="78"/>
      <c r="C436" s="70"/>
      <c r="D436" s="37"/>
      <c r="E436" s="70"/>
      <c r="F436" s="70"/>
      <c r="G436" s="37"/>
      <c r="H436" s="70"/>
      <c r="I436" s="70"/>
      <c r="J436" s="37"/>
      <c r="K436" s="70"/>
      <c r="L436" s="70"/>
      <c r="M436" s="70"/>
      <c r="N436" s="70"/>
      <c r="O436" s="70"/>
    </row>
    <row r="437" spans="1:15" x14ac:dyDescent="0.25">
      <c r="A437" s="37"/>
      <c r="B437" s="78"/>
      <c r="C437" s="70"/>
      <c r="D437" s="37"/>
      <c r="E437" s="70"/>
      <c r="F437" s="70"/>
      <c r="G437" s="37"/>
      <c r="H437" s="70"/>
      <c r="I437" s="70"/>
      <c r="J437" s="37"/>
      <c r="K437" s="70"/>
      <c r="L437" s="70"/>
      <c r="M437" s="70"/>
      <c r="N437" s="70"/>
      <c r="O437" s="70"/>
    </row>
    <row r="438" spans="1:15" x14ac:dyDescent="0.25">
      <c r="A438" s="37"/>
      <c r="B438" s="78"/>
      <c r="C438" s="70"/>
      <c r="D438" s="37"/>
      <c r="E438" s="70"/>
      <c r="F438" s="70"/>
      <c r="G438" s="37"/>
      <c r="H438" s="70"/>
      <c r="I438" s="70"/>
      <c r="J438" s="37"/>
      <c r="K438" s="70"/>
      <c r="L438" s="70"/>
      <c r="M438" s="70"/>
      <c r="N438" s="70"/>
      <c r="O438" s="70"/>
    </row>
    <row r="439" spans="1:15" x14ac:dyDescent="0.25">
      <c r="A439" s="37"/>
      <c r="B439" s="78"/>
      <c r="C439" s="70"/>
      <c r="D439" s="37"/>
      <c r="E439" s="70"/>
      <c r="F439" s="70"/>
      <c r="G439" s="37"/>
      <c r="H439" s="70"/>
      <c r="I439" s="70"/>
      <c r="J439" s="37"/>
      <c r="K439" s="70"/>
      <c r="L439" s="70"/>
      <c r="M439" s="70"/>
      <c r="N439" s="70"/>
      <c r="O439" s="70"/>
    </row>
    <row r="440" spans="1:15" x14ac:dyDescent="0.25">
      <c r="A440" s="37"/>
      <c r="B440" s="78"/>
      <c r="C440" s="70"/>
      <c r="D440" s="37"/>
      <c r="E440" s="70"/>
      <c r="F440" s="70"/>
      <c r="G440" s="37"/>
      <c r="H440" s="70"/>
      <c r="I440" s="70"/>
      <c r="J440" s="37"/>
      <c r="K440" s="70"/>
      <c r="L440" s="70"/>
      <c r="M440" s="70"/>
      <c r="N440" s="70"/>
      <c r="O440" s="70"/>
    </row>
    <row r="441" spans="1:15" x14ac:dyDescent="0.25">
      <c r="A441" s="37"/>
      <c r="B441" s="78"/>
      <c r="C441" s="70"/>
      <c r="D441" s="37"/>
      <c r="E441" s="70"/>
      <c r="F441" s="70"/>
      <c r="G441" s="37"/>
      <c r="H441" s="70"/>
      <c r="I441" s="70"/>
      <c r="J441" s="37"/>
      <c r="K441" s="70"/>
      <c r="L441" s="70"/>
      <c r="M441" s="70"/>
      <c r="N441" s="70"/>
      <c r="O441" s="70"/>
    </row>
    <row r="442" spans="1:15" x14ac:dyDescent="0.25">
      <c r="A442" s="37"/>
      <c r="B442" s="78"/>
      <c r="C442" s="70"/>
      <c r="D442" s="37"/>
      <c r="E442" s="70"/>
      <c r="F442" s="70"/>
      <c r="G442" s="37"/>
      <c r="H442" s="70"/>
      <c r="I442" s="70"/>
      <c r="J442" s="37"/>
      <c r="K442" s="70"/>
      <c r="L442" s="70"/>
      <c r="M442" s="70"/>
      <c r="N442" s="70"/>
      <c r="O442" s="70"/>
    </row>
    <row r="443" spans="1:15" x14ac:dyDescent="0.25">
      <c r="A443" s="37"/>
      <c r="B443" s="78"/>
      <c r="C443" s="70"/>
      <c r="D443" s="37"/>
      <c r="E443" s="70"/>
      <c r="F443" s="70"/>
      <c r="G443" s="37"/>
      <c r="H443" s="70"/>
      <c r="I443" s="70"/>
      <c r="J443" s="37"/>
      <c r="K443" s="70"/>
      <c r="L443" s="70"/>
      <c r="M443" s="70"/>
      <c r="N443" s="70"/>
      <c r="O443" s="70"/>
    </row>
    <row r="444" spans="1:15" x14ac:dyDescent="0.25">
      <c r="A444" s="37"/>
      <c r="B444" s="78"/>
      <c r="C444" s="70"/>
      <c r="D444" s="37"/>
      <c r="E444" s="70"/>
      <c r="F444" s="70"/>
      <c r="G444" s="37"/>
      <c r="H444" s="70"/>
      <c r="I444" s="70"/>
      <c r="J444" s="37"/>
      <c r="K444" s="70"/>
      <c r="L444" s="70"/>
      <c r="M444" s="70"/>
      <c r="N444" s="70"/>
      <c r="O444" s="70"/>
    </row>
    <row r="445" spans="1:15" x14ac:dyDescent="0.25">
      <c r="A445" s="37"/>
      <c r="B445" s="78"/>
      <c r="C445" s="70"/>
      <c r="D445" s="37"/>
      <c r="E445" s="70"/>
      <c r="F445" s="70"/>
      <c r="G445" s="37"/>
      <c r="H445" s="70"/>
      <c r="I445" s="70"/>
      <c r="J445" s="37"/>
      <c r="K445" s="70"/>
      <c r="L445" s="70"/>
      <c r="M445" s="70"/>
      <c r="N445" s="70"/>
      <c r="O445" s="70"/>
    </row>
    <row r="446" spans="1:15" x14ac:dyDescent="0.25">
      <c r="A446" s="37"/>
      <c r="B446" s="78"/>
      <c r="C446" s="70"/>
      <c r="D446" s="37"/>
      <c r="E446" s="70"/>
      <c r="F446" s="70"/>
      <c r="G446" s="37"/>
      <c r="H446" s="70"/>
      <c r="I446" s="70"/>
      <c r="J446" s="37"/>
      <c r="K446" s="70"/>
      <c r="L446" s="70"/>
      <c r="M446" s="70"/>
      <c r="N446" s="70"/>
      <c r="O446" s="70"/>
    </row>
    <row r="447" spans="1:15" x14ac:dyDescent="0.25">
      <c r="A447" s="37"/>
      <c r="B447" s="78"/>
      <c r="C447" s="70"/>
      <c r="D447" s="37"/>
      <c r="E447" s="70"/>
      <c r="F447" s="70"/>
      <c r="G447" s="37"/>
      <c r="H447" s="70"/>
      <c r="I447" s="70"/>
      <c r="J447" s="37"/>
      <c r="K447" s="70"/>
      <c r="L447" s="70"/>
      <c r="M447" s="70"/>
      <c r="N447" s="70"/>
      <c r="O447" s="70"/>
    </row>
    <row r="448" spans="1:15" x14ac:dyDescent="0.25">
      <c r="A448" s="37"/>
      <c r="B448" s="78"/>
      <c r="C448" s="70"/>
      <c r="D448" s="37"/>
      <c r="E448" s="70"/>
      <c r="F448" s="70"/>
      <c r="G448" s="37"/>
      <c r="H448" s="70"/>
      <c r="I448" s="70"/>
      <c r="J448" s="37"/>
      <c r="K448" s="70"/>
      <c r="L448" s="70"/>
      <c r="M448" s="70"/>
      <c r="N448" s="70"/>
      <c r="O448" s="70"/>
    </row>
    <row r="449" spans="1:15" x14ac:dyDescent="0.25">
      <c r="A449" s="37"/>
      <c r="B449" s="78"/>
      <c r="C449" s="70"/>
      <c r="D449" s="37"/>
      <c r="E449" s="70"/>
      <c r="F449" s="70"/>
      <c r="G449" s="37"/>
      <c r="H449" s="70"/>
      <c r="I449" s="70"/>
      <c r="J449" s="37"/>
      <c r="K449" s="70"/>
      <c r="L449" s="70"/>
      <c r="M449" s="70"/>
      <c r="N449" s="70"/>
      <c r="O449" s="70"/>
    </row>
    <row r="450" spans="1:15" x14ac:dyDescent="0.25">
      <c r="A450" s="37"/>
      <c r="B450" s="78"/>
      <c r="C450" s="70"/>
      <c r="D450" s="37"/>
      <c r="E450" s="70"/>
      <c r="F450" s="70"/>
      <c r="G450" s="37"/>
      <c r="H450" s="70"/>
      <c r="I450" s="70"/>
      <c r="J450" s="37"/>
      <c r="K450" s="70"/>
      <c r="L450" s="70"/>
      <c r="M450" s="70"/>
      <c r="N450" s="70"/>
      <c r="O450" s="70"/>
    </row>
    <row r="451" spans="1:15" x14ac:dyDescent="0.25">
      <c r="A451" s="37"/>
      <c r="B451" s="78"/>
      <c r="C451" s="70"/>
      <c r="D451" s="37"/>
      <c r="E451" s="70"/>
      <c r="F451" s="70"/>
      <c r="G451" s="37"/>
      <c r="H451" s="70"/>
      <c r="I451" s="70"/>
      <c r="J451" s="37"/>
      <c r="K451" s="70"/>
      <c r="L451" s="70"/>
      <c r="M451" s="70"/>
      <c r="N451" s="70"/>
      <c r="O451" s="70"/>
    </row>
    <row r="452" spans="1:15" x14ac:dyDescent="0.25">
      <c r="A452" s="37"/>
      <c r="B452" s="78"/>
      <c r="C452" s="70"/>
      <c r="D452" s="37"/>
      <c r="E452" s="70"/>
      <c r="F452" s="70"/>
      <c r="G452" s="37"/>
      <c r="H452" s="70"/>
      <c r="I452" s="70"/>
      <c r="J452" s="37"/>
      <c r="K452" s="70"/>
      <c r="L452" s="70"/>
      <c r="M452" s="70"/>
      <c r="N452" s="70"/>
      <c r="O452" s="70"/>
    </row>
    <row r="453" spans="1:15" x14ac:dyDescent="0.25">
      <c r="A453" s="37"/>
      <c r="B453" s="78"/>
      <c r="C453" s="70"/>
      <c r="D453" s="37"/>
      <c r="E453" s="70"/>
      <c r="F453" s="70"/>
      <c r="G453" s="37"/>
      <c r="H453" s="70"/>
      <c r="I453" s="70"/>
      <c r="J453" s="37"/>
      <c r="K453" s="70"/>
      <c r="L453" s="70"/>
      <c r="M453" s="70"/>
      <c r="N453" s="70"/>
      <c r="O453" s="70"/>
    </row>
    <row r="454" spans="1:15" x14ac:dyDescent="0.25">
      <c r="A454" s="37"/>
      <c r="B454" s="78"/>
      <c r="C454" s="70"/>
      <c r="D454" s="37"/>
      <c r="E454" s="70"/>
      <c r="F454" s="70"/>
      <c r="G454" s="37"/>
      <c r="H454" s="70"/>
      <c r="I454" s="70"/>
      <c r="J454" s="37"/>
      <c r="K454" s="70"/>
      <c r="L454" s="70"/>
      <c r="M454" s="70"/>
      <c r="N454" s="70"/>
      <c r="O454" s="70"/>
    </row>
    <row r="455" spans="1:15" x14ac:dyDescent="0.25">
      <c r="A455" s="37"/>
      <c r="B455" s="78"/>
      <c r="C455" s="70"/>
      <c r="D455" s="37"/>
      <c r="E455" s="70"/>
      <c r="F455" s="70"/>
      <c r="G455" s="37"/>
      <c r="H455" s="70"/>
      <c r="I455" s="70"/>
      <c r="J455" s="37"/>
      <c r="K455" s="70"/>
      <c r="L455" s="70"/>
      <c r="M455" s="70"/>
      <c r="N455" s="70"/>
      <c r="O455" s="70"/>
    </row>
    <row r="456" spans="1:15" x14ac:dyDescent="0.25">
      <c r="A456" s="37"/>
      <c r="B456" s="78"/>
      <c r="C456" s="70"/>
      <c r="D456" s="37"/>
      <c r="E456" s="70"/>
      <c r="F456" s="70"/>
      <c r="G456" s="37"/>
      <c r="H456" s="70"/>
      <c r="I456" s="70"/>
      <c r="J456" s="37"/>
      <c r="K456" s="70"/>
      <c r="L456" s="70"/>
      <c r="M456" s="70"/>
      <c r="N456" s="70"/>
      <c r="O456" s="70"/>
    </row>
    <row r="457" spans="1:15" x14ac:dyDescent="0.25">
      <c r="A457" s="37"/>
      <c r="B457" s="78"/>
      <c r="C457" s="70"/>
      <c r="D457" s="37"/>
      <c r="E457" s="70"/>
      <c r="F457" s="70"/>
      <c r="G457" s="37"/>
      <c r="H457" s="70"/>
      <c r="I457" s="70"/>
      <c r="J457" s="37"/>
      <c r="K457" s="70"/>
      <c r="L457" s="70"/>
      <c r="M457" s="70"/>
      <c r="N457" s="70"/>
      <c r="O457" s="70"/>
    </row>
    <row r="458" spans="1:15" x14ac:dyDescent="0.25">
      <c r="A458" s="37"/>
      <c r="B458" s="78"/>
      <c r="C458" s="70"/>
      <c r="D458" s="37"/>
      <c r="E458" s="70"/>
      <c r="F458" s="70"/>
      <c r="G458" s="37"/>
      <c r="H458" s="70"/>
      <c r="I458" s="70"/>
      <c r="J458" s="37"/>
      <c r="K458" s="70"/>
      <c r="L458" s="70"/>
      <c r="M458" s="70"/>
      <c r="N458" s="70"/>
      <c r="O458" s="70"/>
    </row>
    <row r="459" spans="1:15" x14ac:dyDescent="0.25">
      <c r="A459" s="37"/>
      <c r="B459" s="78"/>
      <c r="C459" s="70"/>
      <c r="D459" s="37"/>
      <c r="E459" s="70"/>
      <c r="F459" s="70"/>
      <c r="G459" s="37"/>
      <c r="H459" s="70"/>
      <c r="I459" s="70"/>
      <c r="J459" s="37"/>
      <c r="K459" s="70"/>
      <c r="L459" s="70"/>
      <c r="M459" s="70"/>
      <c r="N459" s="70"/>
      <c r="O459" s="70"/>
    </row>
    <row r="460" spans="1:15" x14ac:dyDescent="0.25">
      <c r="A460" s="37"/>
      <c r="B460" s="78"/>
      <c r="C460" s="70"/>
      <c r="D460" s="37"/>
      <c r="E460" s="70"/>
      <c r="F460" s="70"/>
      <c r="G460" s="37"/>
      <c r="H460" s="70"/>
      <c r="I460" s="70"/>
      <c r="J460" s="37"/>
      <c r="K460" s="70"/>
      <c r="L460" s="70"/>
      <c r="M460" s="70"/>
      <c r="N460" s="70"/>
      <c r="O460" s="70"/>
    </row>
    <row r="461" spans="1:15" x14ac:dyDescent="0.25">
      <c r="A461" s="37"/>
      <c r="B461" s="78"/>
      <c r="C461" s="70"/>
      <c r="D461" s="37"/>
      <c r="E461" s="70"/>
      <c r="F461" s="70"/>
      <c r="G461" s="37"/>
      <c r="H461" s="70"/>
      <c r="I461" s="70"/>
      <c r="J461" s="37"/>
      <c r="K461" s="70"/>
      <c r="L461" s="70"/>
      <c r="M461" s="70"/>
      <c r="N461" s="70"/>
      <c r="O461" s="70"/>
    </row>
    <row r="462" spans="1:15" x14ac:dyDescent="0.25">
      <c r="A462" s="37"/>
      <c r="B462" s="78"/>
      <c r="C462" s="70"/>
      <c r="D462" s="37"/>
      <c r="E462" s="70"/>
      <c r="F462" s="70"/>
      <c r="G462" s="37"/>
      <c r="H462" s="70"/>
      <c r="I462" s="70"/>
      <c r="J462" s="37"/>
      <c r="K462" s="70"/>
      <c r="L462" s="70"/>
      <c r="M462" s="70"/>
      <c r="N462" s="70"/>
      <c r="O462" s="70"/>
    </row>
    <row r="463" spans="1:15" x14ac:dyDescent="0.25">
      <c r="A463" s="37"/>
      <c r="B463" s="78"/>
      <c r="C463" s="70"/>
      <c r="D463" s="37"/>
      <c r="E463" s="70"/>
      <c r="F463" s="70"/>
      <c r="G463" s="37"/>
      <c r="H463" s="70"/>
      <c r="I463" s="70"/>
      <c r="J463" s="37"/>
      <c r="K463" s="70"/>
      <c r="L463" s="70"/>
      <c r="M463" s="70"/>
      <c r="N463" s="70"/>
      <c r="O463" s="70"/>
    </row>
    <row r="464" spans="1:15" x14ac:dyDescent="0.25">
      <c r="A464" s="37"/>
      <c r="B464" s="78"/>
      <c r="C464" s="70"/>
      <c r="D464" s="37"/>
      <c r="E464" s="70"/>
      <c r="F464" s="70"/>
      <c r="G464" s="37"/>
      <c r="H464" s="70"/>
      <c r="I464" s="70"/>
      <c r="J464" s="37"/>
      <c r="K464" s="70"/>
      <c r="L464" s="70"/>
      <c r="M464" s="70"/>
      <c r="N464" s="70"/>
      <c r="O464" s="70"/>
    </row>
    <row r="465" spans="1:15" x14ac:dyDescent="0.25">
      <c r="A465" s="37"/>
      <c r="B465" s="78"/>
      <c r="C465" s="70"/>
      <c r="D465" s="37"/>
      <c r="E465" s="70"/>
      <c r="F465" s="70"/>
      <c r="G465" s="37"/>
      <c r="H465" s="70"/>
      <c r="I465" s="70"/>
      <c r="J465" s="37"/>
      <c r="K465" s="70"/>
      <c r="L465" s="70"/>
      <c r="M465" s="70"/>
      <c r="N465" s="70"/>
      <c r="O465" s="70"/>
    </row>
    <row r="466" spans="1:15" x14ac:dyDescent="0.25">
      <c r="A466" s="37"/>
      <c r="B466" s="78"/>
      <c r="C466" s="70"/>
      <c r="D466" s="37"/>
      <c r="E466" s="70"/>
      <c r="F466" s="70"/>
      <c r="G466" s="37"/>
      <c r="H466" s="70"/>
      <c r="I466" s="70"/>
      <c r="J466" s="37"/>
      <c r="K466" s="70"/>
      <c r="L466" s="70"/>
      <c r="M466" s="70"/>
      <c r="N466" s="70"/>
      <c r="O466" s="70"/>
    </row>
    <row r="467" spans="1:15" x14ac:dyDescent="0.25">
      <c r="A467" s="37"/>
      <c r="B467" s="78"/>
      <c r="C467" s="70"/>
      <c r="D467" s="37"/>
      <c r="E467" s="70"/>
      <c r="F467" s="70"/>
      <c r="G467" s="37"/>
      <c r="H467" s="70"/>
      <c r="I467" s="70"/>
      <c r="J467" s="37"/>
      <c r="K467" s="70"/>
      <c r="L467" s="70"/>
      <c r="M467" s="70"/>
      <c r="N467" s="70"/>
      <c r="O467" s="70"/>
    </row>
    <row r="468" spans="1:15" x14ac:dyDescent="0.25">
      <c r="A468" s="37"/>
      <c r="B468" s="78"/>
      <c r="C468" s="70"/>
      <c r="D468" s="37"/>
      <c r="E468" s="70"/>
      <c r="F468" s="70"/>
      <c r="G468" s="37"/>
      <c r="H468" s="70"/>
      <c r="I468" s="70"/>
      <c r="J468" s="37"/>
      <c r="K468" s="70"/>
      <c r="L468" s="70"/>
      <c r="M468" s="70"/>
      <c r="N468" s="70"/>
      <c r="O468" s="70"/>
    </row>
    <row r="469" spans="1:15" x14ac:dyDescent="0.25">
      <c r="A469" s="37"/>
      <c r="B469" s="78"/>
      <c r="C469" s="70"/>
      <c r="D469" s="37"/>
      <c r="E469" s="70"/>
      <c r="F469" s="70"/>
      <c r="G469" s="37"/>
      <c r="H469" s="70"/>
      <c r="I469" s="70"/>
      <c r="J469" s="37"/>
      <c r="K469" s="70"/>
      <c r="L469" s="70"/>
      <c r="M469" s="70"/>
      <c r="N469" s="70"/>
      <c r="O469" s="70"/>
    </row>
    <row r="470" spans="1:15" x14ac:dyDescent="0.25">
      <c r="A470" s="37"/>
      <c r="B470" s="78"/>
      <c r="C470" s="70"/>
      <c r="D470" s="37"/>
      <c r="E470" s="70"/>
      <c r="F470" s="70"/>
      <c r="G470" s="37"/>
      <c r="H470" s="70"/>
      <c r="I470" s="70"/>
      <c r="J470" s="37"/>
      <c r="K470" s="70"/>
      <c r="L470" s="70"/>
      <c r="M470" s="70"/>
      <c r="N470" s="70"/>
      <c r="O470" s="70"/>
    </row>
    <row r="471" spans="1:15" x14ac:dyDescent="0.25">
      <c r="A471" s="37"/>
      <c r="B471" s="78"/>
      <c r="C471" s="70"/>
      <c r="D471" s="37"/>
      <c r="E471" s="70"/>
      <c r="F471" s="70"/>
      <c r="G471" s="37"/>
      <c r="H471" s="70"/>
      <c r="I471" s="70"/>
      <c r="J471" s="37"/>
      <c r="K471" s="70"/>
      <c r="L471" s="70"/>
      <c r="M471" s="70"/>
      <c r="N471" s="70"/>
      <c r="O471" s="70"/>
    </row>
    <row r="472" spans="1:15" x14ac:dyDescent="0.25">
      <c r="A472" s="37"/>
      <c r="B472" s="78"/>
      <c r="C472" s="70"/>
      <c r="D472" s="37"/>
      <c r="E472" s="70"/>
      <c r="F472" s="70"/>
      <c r="G472" s="37"/>
      <c r="H472" s="70"/>
      <c r="I472" s="70"/>
      <c r="J472" s="37"/>
      <c r="K472" s="70"/>
      <c r="L472" s="70"/>
      <c r="M472" s="70"/>
      <c r="N472" s="70"/>
      <c r="O472" s="70"/>
    </row>
    <row r="473" spans="1:15" x14ac:dyDescent="0.25">
      <c r="A473" s="37"/>
      <c r="B473" s="78"/>
      <c r="C473" s="70"/>
      <c r="D473" s="37"/>
      <c r="E473" s="70"/>
      <c r="F473" s="70"/>
      <c r="G473" s="37"/>
      <c r="H473" s="70"/>
      <c r="I473" s="70"/>
      <c r="J473" s="37"/>
      <c r="K473" s="70"/>
      <c r="L473" s="70"/>
      <c r="M473" s="70"/>
      <c r="N473" s="70"/>
      <c r="O473" s="70"/>
    </row>
    <row r="474" spans="1:15" x14ac:dyDescent="0.25">
      <c r="A474" s="37"/>
      <c r="B474" s="78"/>
      <c r="C474" s="70"/>
      <c r="D474" s="37"/>
      <c r="E474" s="70"/>
      <c r="F474" s="70"/>
      <c r="G474" s="37"/>
      <c r="H474" s="70"/>
      <c r="I474" s="70"/>
      <c r="J474" s="37"/>
      <c r="K474" s="70"/>
      <c r="L474" s="70"/>
      <c r="M474" s="70"/>
      <c r="N474" s="70"/>
      <c r="O474" s="70"/>
    </row>
    <row r="475" spans="1:15" x14ac:dyDescent="0.25">
      <c r="A475" s="37"/>
      <c r="B475" s="78"/>
      <c r="C475" s="70"/>
      <c r="D475" s="37"/>
      <c r="E475" s="70"/>
      <c r="F475" s="70"/>
      <c r="G475" s="37"/>
      <c r="H475" s="70"/>
      <c r="I475" s="70"/>
      <c r="J475" s="37"/>
      <c r="K475" s="70"/>
      <c r="L475" s="70"/>
      <c r="M475" s="70"/>
      <c r="N475" s="70"/>
      <c r="O475" s="70"/>
    </row>
    <row r="476" spans="1:15" x14ac:dyDescent="0.25">
      <c r="A476" s="37"/>
      <c r="B476" s="78"/>
      <c r="C476" s="70"/>
      <c r="D476" s="37"/>
      <c r="E476" s="70"/>
      <c r="F476" s="70"/>
      <c r="G476" s="37"/>
      <c r="H476" s="70"/>
      <c r="I476" s="70"/>
      <c r="J476" s="37"/>
      <c r="K476" s="70"/>
      <c r="L476" s="70"/>
      <c r="M476" s="70"/>
      <c r="N476" s="70"/>
      <c r="O476" s="70"/>
    </row>
    <row r="477" spans="1:15" x14ac:dyDescent="0.25">
      <c r="A477" s="37"/>
      <c r="B477" s="78"/>
      <c r="C477" s="70"/>
      <c r="D477" s="37"/>
      <c r="E477" s="70"/>
      <c r="F477" s="70"/>
      <c r="G477" s="37"/>
      <c r="H477" s="70"/>
      <c r="I477" s="70"/>
      <c r="J477" s="37"/>
      <c r="K477" s="70"/>
      <c r="L477" s="70"/>
      <c r="M477" s="70"/>
      <c r="N477" s="70"/>
      <c r="O477" s="70"/>
    </row>
    <row r="478" spans="1:15" x14ac:dyDescent="0.25">
      <c r="A478" s="37"/>
      <c r="B478" s="78"/>
      <c r="C478" s="70"/>
      <c r="D478" s="37"/>
      <c r="E478" s="70"/>
      <c r="F478" s="70"/>
      <c r="G478" s="37"/>
      <c r="H478" s="70"/>
      <c r="I478" s="70"/>
      <c r="J478" s="37"/>
      <c r="K478" s="70"/>
      <c r="L478" s="70"/>
      <c r="M478" s="70"/>
      <c r="N478" s="70"/>
      <c r="O478" s="70"/>
    </row>
    <row r="479" spans="1:15" x14ac:dyDescent="0.25">
      <c r="A479" s="37"/>
      <c r="B479" s="78"/>
      <c r="C479" s="70"/>
      <c r="D479" s="37"/>
      <c r="E479" s="70"/>
      <c r="F479" s="70"/>
      <c r="G479" s="37"/>
      <c r="H479" s="70"/>
      <c r="I479" s="70"/>
      <c r="J479" s="37"/>
      <c r="K479" s="70"/>
      <c r="L479" s="70"/>
      <c r="M479" s="70"/>
      <c r="N479" s="70"/>
      <c r="O479" s="70"/>
    </row>
    <row r="480" spans="1:15" x14ac:dyDescent="0.25">
      <c r="A480" s="37"/>
      <c r="B480" s="78"/>
      <c r="C480" s="70"/>
      <c r="D480" s="37"/>
      <c r="E480" s="70"/>
      <c r="F480" s="70"/>
      <c r="G480" s="37"/>
      <c r="H480" s="70"/>
      <c r="I480" s="70"/>
      <c r="J480" s="37"/>
      <c r="K480" s="70"/>
      <c r="L480" s="70"/>
      <c r="M480" s="70"/>
      <c r="N480" s="70"/>
      <c r="O480" s="70"/>
    </row>
    <row r="481" spans="1:15" x14ac:dyDescent="0.25">
      <c r="A481" s="37"/>
      <c r="B481" s="78"/>
      <c r="C481" s="70"/>
      <c r="D481" s="37"/>
      <c r="E481" s="70"/>
      <c r="F481" s="70"/>
      <c r="G481" s="37"/>
      <c r="H481" s="70"/>
      <c r="I481" s="70"/>
      <c r="J481" s="37"/>
      <c r="K481" s="70"/>
      <c r="L481" s="70"/>
      <c r="M481" s="70"/>
      <c r="N481" s="70"/>
      <c r="O481" s="70"/>
    </row>
    <row r="482" spans="1:15" x14ac:dyDescent="0.25">
      <c r="A482" s="37"/>
      <c r="B482" s="78"/>
      <c r="C482" s="70"/>
      <c r="D482" s="37"/>
      <c r="E482" s="70"/>
      <c r="F482" s="70"/>
      <c r="G482" s="37"/>
      <c r="H482" s="70"/>
      <c r="I482" s="70"/>
      <c r="J482" s="37"/>
      <c r="K482" s="70"/>
      <c r="L482" s="70"/>
      <c r="M482" s="70"/>
      <c r="N482" s="70"/>
      <c r="O482" s="70"/>
    </row>
    <row r="483" spans="1:15" x14ac:dyDescent="0.25">
      <c r="A483" s="37"/>
      <c r="B483" s="78"/>
      <c r="C483" s="70"/>
      <c r="D483" s="37"/>
      <c r="E483" s="70"/>
      <c r="F483" s="70"/>
      <c r="G483" s="37"/>
      <c r="H483" s="70"/>
      <c r="I483" s="70"/>
      <c r="J483" s="37"/>
      <c r="K483" s="70"/>
      <c r="L483" s="70"/>
      <c r="M483" s="70"/>
      <c r="N483" s="70"/>
      <c r="O483" s="70"/>
    </row>
    <row r="484" spans="1:15" x14ac:dyDescent="0.25">
      <c r="A484" s="37"/>
      <c r="B484" s="78"/>
      <c r="C484" s="70"/>
      <c r="D484" s="37"/>
      <c r="E484" s="70"/>
      <c r="F484" s="70"/>
      <c r="G484" s="37"/>
      <c r="H484" s="70"/>
      <c r="I484" s="70"/>
      <c r="J484" s="37"/>
      <c r="K484" s="70"/>
      <c r="L484" s="70"/>
      <c r="M484" s="70"/>
      <c r="N484" s="70"/>
      <c r="O484" s="70"/>
    </row>
    <row r="485" spans="1:15" x14ac:dyDescent="0.25">
      <c r="A485" s="37"/>
      <c r="B485" s="78"/>
      <c r="C485" s="70"/>
      <c r="D485" s="37"/>
      <c r="E485" s="70"/>
      <c r="F485" s="70"/>
      <c r="G485" s="37"/>
      <c r="H485" s="70"/>
      <c r="I485" s="70"/>
      <c r="J485" s="37"/>
      <c r="K485" s="70"/>
      <c r="L485" s="70"/>
      <c r="M485" s="70"/>
      <c r="N485" s="70"/>
      <c r="O485" s="70"/>
    </row>
    <row r="486" spans="1:15" x14ac:dyDescent="0.25">
      <c r="A486" s="37"/>
      <c r="B486" s="78"/>
      <c r="C486" s="70"/>
      <c r="D486" s="37"/>
      <c r="E486" s="70"/>
      <c r="F486" s="70"/>
      <c r="G486" s="37"/>
      <c r="H486" s="70"/>
      <c r="I486" s="70"/>
      <c r="J486" s="37"/>
      <c r="K486" s="70"/>
      <c r="L486" s="70"/>
      <c r="M486" s="70"/>
      <c r="N486" s="70"/>
      <c r="O486" s="70"/>
    </row>
    <row r="487" spans="1:15" x14ac:dyDescent="0.25">
      <c r="A487" s="37"/>
      <c r="B487" s="78"/>
      <c r="C487" s="70"/>
      <c r="D487" s="37"/>
      <c r="E487" s="70"/>
      <c r="F487" s="70"/>
      <c r="G487" s="37"/>
      <c r="H487" s="70"/>
      <c r="I487" s="70"/>
      <c r="J487" s="37"/>
      <c r="K487" s="70"/>
      <c r="L487" s="70"/>
      <c r="M487" s="70"/>
      <c r="N487" s="70"/>
      <c r="O487" s="70"/>
    </row>
    <row r="488" spans="1:15" x14ac:dyDescent="0.25">
      <c r="A488" s="37"/>
      <c r="B488" s="78"/>
      <c r="C488" s="70"/>
      <c r="D488" s="37"/>
      <c r="E488" s="70"/>
      <c r="F488" s="70"/>
      <c r="G488" s="37"/>
      <c r="H488" s="70"/>
      <c r="I488" s="70"/>
      <c r="J488" s="37"/>
      <c r="K488" s="70"/>
      <c r="L488" s="70"/>
      <c r="M488" s="70"/>
      <c r="N488" s="70"/>
      <c r="O488" s="70"/>
    </row>
    <row r="489" spans="1:15" x14ac:dyDescent="0.25">
      <c r="A489" s="37"/>
      <c r="B489" s="78"/>
      <c r="C489" s="70"/>
      <c r="D489" s="37"/>
      <c r="E489" s="70"/>
      <c r="F489" s="70"/>
      <c r="G489" s="37"/>
      <c r="H489" s="70"/>
      <c r="I489" s="70"/>
      <c r="J489" s="37"/>
      <c r="K489" s="70"/>
      <c r="L489" s="70"/>
      <c r="M489" s="70"/>
      <c r="N489" s="70"/>
      <c r="O489" s="70"/>
    </row>
    <row r="490" spans="1:15" x14ac:dyDescent="0.25">
      <c r="A490" s="37"/>
      <c r="B490" s="78"/>
      <c r="C490" s="70"/>
      <c r="D490" s="37"/>
      <c r="E490" s="70"/>
      <c r="F490" s="70"/>
      <c r="G490" s="37"/>
      <c r="H490" s="70"/>
      <c r="I490" s="70"/>
      <c r="J490" s="37"/>
      <c r="K490" s="70"/>
      <c r="L490" s="70"/>
      <c r="M490" s="70"/>
      <c r="N490" s="70"/>
      <c r="O490" s="70"/>
    </row>
    <row r="491" spans="1:15" x14ac:dyDescent="0.25">
      <c r="A491" s="37"/>
      <c r="B491" s="78"/>
      <c r="C491" s="70"/>
      <c r="D491" s="37"/>
      <c r="E491" s="70"/>
      <c r="F491" s="70"/>
      <c r="G491" s="37"/>
      <c r="H491" s="70"/>
      <c r="I491" s="70"/>
      <c r="J491" s="37"/>
      <c r="K491" s="70"/>
      <c r="L491" s="70"/>
      <c r="M491" s="70"/>
      <c r="N491" s="70"/>
      <c r="O491" s="70"/>
    </row>
    <row r="492" spans="1:15" x14ac:dyDescent="0.25">
      <c r="A492" s="37"/>
      <c r="B492" s="78"/>
      <c r="C492" s="70"/>
      <c r="D492" s="37"/>
      <c r="E492" s="70"/>
      <c r="F492" s="70"/>
      <c r="G492" s="37"/>
      <c r="H492" s="70"/>
      <c r="I492" s="70"/>
      <c r="J492" s="37"/>
      <c r="K492" s="70"/>
      <c r="L492" s="70"/>
      <c r="M492" s="70"/>
      <c r="N492" s="70"/>
      <c r="O492" s="70"/>
    </row>
    <row r="493" spans="1:15" x14ac:dyDescent="0.25">
      <c r="A493" s="37"/>
      <c r="B493" s="78"/>
      <c r="C493" s="70"/>
      <c r="D493" s="37"/>
      <c r="E493" s="70"/>
      <c r="F493" s="70"/>
      <c r="G493" s="37"/>
      <c r="H493" s="70"/>
      <c r="I493" s="70"/>
      <c r="J493" s="37"/>
      <c r="K493" s="70"/>
      <c r="L493" s="70"/>
      <c r="M493" s="70"/>
      <c r="N493" s="70"/>
      <c r="O493" s="70"/>
    </row>
    <row r="494" spans="1:15" x14ac:dyDescent="0.25">
      <c r="A494" s="37"/>
      <c r="B494" s="78"/>
      <c r="C494" s="70"/>
      <c r="D494" s="37"/>
      <c r="E494" s="70"/>
      <c r="F494" s="70"/>
      <c r="G494" s="37"/>
      <c r="H494" s="70"/>
      <c r="I494" s="70"/>
      <c r="J494" s="37"/>
      <c r="K494" s="70"/>
      <c r="L494" s="70"/>
      <c r="M494" s="70"/>
      <c r="N494" s="70"/>
      <c r="O494" s="70"/>
    </row>
    <row r="495" spans="1:15" x14ac:dyDescent="0.25">
      <c r="A495" s="37"/>
      <c r="B495" s="78"/>
      <c r="C495" s="70"/>
      <c r="D495" s="37"/>
      <c r="E495" s="70"/>
      <c r="F495" s="70"/>
      <c r="G495" s="37"/>
      <c r="H495" s="70"/>
      <c r="I495" s="70"/>
      <c r="J495" s="37"/>
      <c r="K495" s="70"/>
      <c r="L495" s="70"/>
      <c r="M495" s="70"/>
      <c r="N495" s="70"/>
      <c r="O495" s="70"/>
    </row>
    <row r="496" spans="1:15" x14ac:dyDescent="0.25">
      <c r="A496" s="37"/>
      <c r="B496" s="78"/>
      <c r="C496" s="70"/>
      <c r="D496" s="37"/>
      <c r="E496" s="70"/>
      <c r="F496" s="70"/>
      <c r="G496" s="37"/>
      <c r="H496" s="70"/>
      <c r="I496" s="70"/>
      <c r="J496" s="37"/>
      <c r="K496" s="70"/>
      <c r="L496" s="70"/>
      <c r="M496" s="70"/>
      <c r="N496" s="70"/>
      <c r="O496" s="70"/>
    </row>
    <row r="497" spans="1:15" x14ac:dyDescent="0.25">
      <c r="A497" s="37"/>
      <c r="B497" s="78"/>
      <c r="C497" s="70"/>
      <c r="D497" s="37"/>
      <c r="E497" s="70"/>
      <c r="F497" s="70"/>
      <c r="G497" s="37"/>
      <c r="H497" s="70"/>
      <c r="I497" s="70"/>
      <c r="J497" s="37"/>
      <c r="K497" s="70"/>
      <c r="L497" s="70"/>
      <c r="M497" s="70"/>
      <c r="N497" s="70"/>
      <c r="O497" s="70"/>
    </row>
    <row r="498" spans="1:15" x14ac:dyDescent="0.25">
      <c r="A498" s="37"/>
      <c r="B498" s="78"/>
      <c r="C498" s="70"/>
      <c r="D498" s="37"/>
      <c r="E498" s="70"/>
      <c r="F498" s="70"/>
      <c r="G498" s="37"/>
      <c r="H498" s="70"/>
      <c r="I498" s="70"/>
      <c r="J498" s="37"/>
      <c r="K498" s="70"/>
      <c r="L498" s="70"/>
      <c r="M498" s="70"/>
      <c r="N498" s="70"/>
      <c r="O498" s="70"/>
    </row>
    <row r="499" spans="1:15" x14ac:dyDescent="0.25">
      <c r="A499" s="37"/>
      <c r="B499" s="78"/>
      <c r="C499" s="70"/>
      <c r="D499" s="37"/>
      <c r="E499" s="70"/>
      <c r="F499" s="70"/>
      <c r="G499" s="37"/>
      <c r="H499" s="70"/>
      <c r="I499" s="70"/>
      <c r="J499" s="37"/>
      <c r="K499" s="70"/>
      <c r="L499" s="70"/>
      <c r="M499" s="70"/>
      <c r="N499" s="70"/>
      <c r="O499" s="70"/>
    </row>
    <row r="500" spans="1:15" x14ac:dyDescent="0.25">
      <c r="A500" s="37"/>
      <c r="B500" s="78"/>
      <c r="C500" s="70"/>
      <c r="D500" s="37"/>
      <c r="E500" s="70"/>
      <c r="F500" s="70"/>
      <c r="G500" s="37"/>
      <c r="H500" s="70"/>
      <c r="I500" s="70"/>
      <c r="J500" s="37"/>
      <c r="K500" s="70"/>
      <c r="L500" s="70"/>
      <c r="M500" s="70"/>
      <c r="N500" s="70"/>
      <c r="O500" s="70"/>
    </row>
    <row r="501" spans="1:15" x14ac:dyDescent="0.25">
      <c r="A501" s="37"/>
      <c r="B501" s="78"/>
      <c r="C501" s="70"/>
      <c r="D501" s="37"/>
      <c r="E501" s="70"/>
      <c r="F501" s="70"/>
      <c r="G501" s="37"/>
      <c r="H501" s="70"/>
      <c r="I501" s="70"/>
      <c r="J501" s="37"/>
      <c r="K501" s="70"/>
      <c r="L501" s="70"/>
      <c r="M501" s="70"/>
      <c r="N501" s="70"/>
      <c r="O501" s="70"/>
    </row>
    <row r="502" spans="1:15" x14ac:dyDescent="0.25">
      <c r="A502" s="37"/>
      <c r="B502" s="78"/>
      <c r="C502" s="70"/>
      <c r="D502" s="37"/>
      <c r="E502" s="70"/>
      <c r="F502" s="70"/>
      <c r="G502" s="37"/>
      <c r="H502" s="70"/>
      <c r="I502" s="70"/>
      <c r="J502" s="37"/>
      <c r="K502" s="70"/>
      <c r="L502" s="70"/>
      <c r="M502" s="70"/>
      <c r="N502" s="70"/>
      <c r="O502" s="70"/>
    </row>
    <row r="503" spans="1:15" x14ac:dyDescent="0.25">
      <c r="A503" s="37"/>
      <c r="B503" s="78"/>
      <c r="C503" s="70"/>
      <c r="D503" s="37"/>
      <c r="E503" s="70"/>
      <c r="F503" s="70"/>
      <c r="G503" s="37"/>
      <c r="H503" s="70"/>
      <c r="I503" s="70"/>
      <c r="J503" s="37"/>
      <c r="K503" s="70"/>
      <c r="L503" s="70"/>
      <c r="M503" s="70"/>
      <c r="N503" s="70"/>
      <c r="O503" s="70"/>
    </row>
    <row r="504" spans="1:15" x14ac:dyDescent="0.25">
      <c r="A504" s="37"/>
      <c r="B504" s="78"/>
      <c r="C504" s="70"/>
      <c r="D504" s="37"/>
      <c r="E504" s="70"/>
      <c r="F504" s="70"/>
      <c r="G504" s="37"/>
      <c r="H504" s="70"/>
      <c r="I504" s="70"/>
      <c r="J504" s="37"/>
      <c r="K504" s="70"/>
      <c r="L504" s="70"/>
      <c r="M504" s="70"/>
      <c r="N504" s="70"/>
      <c r="O504" s="70"/>
    </row>
    <row r="505" spans="1:15" x14ac:dyDescent="0.25">
      <c r="A505" s="37"/>
      <c r="B505" s="78"/>
      <c r="C505" s="70"/>
      <c r="D505" s="37"/>
      <c r="E505" s="70"/>
      <c r="F505" s="70"/>
      <c r="G505" s="37"/>
      <c r="H505" s="70"/>
      <c r="I505" s="70"/>
      <c r="J505" s="37"/>
      <c r="K505" s="70"/>
      <c r="L505" s="70"/>
      <c r="M505" s="70"/>
      <c r="N505" s="70"/>
      <c r="O505" s="70"/>
    </row>
    <row r="506" spans="1:15" x14ac:dyDescent="0.25">
      <c r="A506" s="37"/>
      <c r="B506" s="78"/>
      <c r="C506" s="70"/>
      <c r="D506" s="37"/>
      <c r="E506" s="70"/>
      <c r="F506" s="70"/>
      <c r="G506" s="37"/>
      <c r="H506" s="70"/>
      <c r="I506" s="70"/>
      <c r="J506" s="37"/>
      <c r="K506" s="70"/>
      <c r="L506" s="70"/>
      <c r="M506" s="70"/>
      <c r="N506" s="70"/>
      <c r="O506" s="70"/>
    </row>
    <row r="507" spans="1:15" x14ac:dyDescent="0.25">
      <c r="A507" s="37"/>
      <c r="B507" s="78"/>
      <c r="C507" s="70"/>
      <c r="D507" s="37"/>
      <c r="E507" s="70"/>
      <c r="F507" s="70"/>
      <c r="G507" s="37"/>
      <c r="H507" s="70"/>
      <c r="I507" s="70"/>
      <c r="J507" s="37"/>
      <c r="K507" s="70"/>
      <c r="L507" s="70"/>
      <c r="M507" s="70"/>
      <c r="N507" s="70"/>
      <c r="O507" s="70"/>
    </row>
    <row r="508" spans="1:15" x14ac:dyDescent="0.25">
      <c r="A508" s="37"/>
      <c r="B508" s="78"/>
      <c r="C508" s="70"/>
      <c r="D508" s="37"/>
      <c r="E508" s="70"/>
      <c r="F508" s="70"/>
      <c r="G508" s="37"/>
      <c r="H508" s="70"/>
      <c r="I508" s="70"/>
      <c r="J508" s="37"/>
      <c r="K508" s="70"/>
      <c r="L508" s="70"/>
      <c r="M508" s="70"/>
      <c r="N508" s="70"/>
      <c r="O508" s="70"/>
    </row>
    <row r="509" spans="1:15" x14ac:dyDescent="0.25">
      <c r="A509" s="37"/>
      <c r="B509" s="78"/>
      <c r="C509" s="70"/>
      <c r="D509" s="37"/>
      <c r="E509" s="70"/>
      <c r="F509" s="70"/>
      <c r="G509" s="37"/>
      <c r="H509" s="70"/>
      <c r="I509" s="70"/>
      <c r="J509" s="37"/>
      <c r="K509" s="70"/>
      <c r="L509" s="70"/>
      <c r="M509" s="70"/>
      <c r="N509" s="70"/>
      <c r="O509" s="70"/>
    </row>
    <row r="510" spans="1:15" x14ac:dyDescent="0.25">
      <c r="A510" s="37"/>
      <c r="B510" s="78"/>
      <c r="C510" s="70"/>
      <c r="D510" s="37"/>
      <c r="E510" s="70"/>
      <c r="F510" s="70"/>
      <c r="G510" s="37"/>
      <c r="H510" s="70"/>
      <c r="I510" s="70"/>
      <c r="J510" s="37"/>
      <c r="K510" s="70"/>
      <c r="L510" s="70"/>
      <c r="M510" s="70"/>
      <c r="N510" s="70"/>
      <c r="O510" s="70"/>
    </row>
    <row r="511" spans="1:15" x14ac:dyDescent="0.25">
      <c r="A511" s="37"/>
      <c r="B511" s="78"/>
      <c r="C511" s="70"/>
      <c r="D511" s="37"/>
      <c r="E511" s="70"/>
      <c r="F511" s="70"/>
      <c r="G511" s="37"/>
      <c r="H511" s="70"/>
      <c r="I511" s="70"/>
      <c r="J511" s="37"/>
      <c r="K511" s="70"/>
      <c r="L511" s="70"/>
      <c r="M511" s="70"/>
      <c r="N511" s="70"/>
      <c r="O511" s="70"/>
    </row>
    <row r="512" spans="1:15" x14ac:dyDescent="0.25">
      <c r="A512" s="37"/>
      <c r="B512" s="78"/>
      <c r="C512" s="70"/>
      <c r="D512" s="37"/>
      <c r="E512" s="70"/>
      <c r="F512" s="70"/>
      <c r="G512" s="37"/>
      <c r="H512" s="70"/>
      <c r="I512" s="70"/>
      <c r="J512" s="37"/>
      <c r="K512" s="70"/>
      <c r="L512" s="70"/>
      <c r="M512" s="70"/>
      <c r="N512" s="70"/>
      <c r="O512" s="70"/>
    </row>
    <row r="513" spans="1:15" x14ac:dyDescent="0.25">
      <c r="A513" s="37"/>
      <c r="B513" s="78"/>
      <c r="C513" s="70"/>
      <c r="D513" s="37"/>
      <c r="E513" s="70"/>
      <c r="F513" s="70"/>
      <c r="G513" s="37"/>
      <c r="H513" s="70"/>
      <c r="I513" s="70"/>
      <c r="J513" s="37"/>
      <c r="K513" s="70"/>
      <c r="L513" s="70"/>
      <c r="M513" s="70"/>
      <c r="N513" s="70"/>
      <c r="O513" s="70"/>
    </row>
    <row r="514" spans="1:15" x14ac:dyDescent="0.25">
      <c r="A514" s="37"/>
      <c r="B514" s="78"/>
      <c r="C514" s="70"/>
      <c r="D514" s="37"/>
      <c r="E514" s="70"/>
      <c r="F514" s="70"/>
      <c r="G514" s="37"/>
      <c r="H514" s="70"/>
      <c r="I514" s="70"/>
      <c r="J514" s="37"/>
      <c r="K514" s="70"/>
      <c r="L514" s="70"/>
      <c r="M514" s="70"/>
      <c r="N514" s="70"/>
      <c r="O514" s="70"/>
    </row>
    <row r="515" spans="1:15" x14ac:dyDescent="0.25">
      <c r="A515" s="37"/>
      <c r="B515" s="78"/>
      <c r="C515" s="70"/>
      <c r="D515" s="37"/>
      <c r="E515" s="70"/>
      <c r="F515" s="70"/>
      <c r="G515" s="37"/>
      <c r="H515" s="70"/>
      <c r="I515" s="70"/>
      <c r="J515" s="37"/>
      <c r="K515" s="70"/>
      <c r="L515" s="70"/>
      <c r="M515" s="70"/>
      <c r="N515" s="70"/>
      <c r="O515" s="70"/>
    </row>
    <row r="516" spans="1:15" x14ac:dyDescent="0.25">
      <c r="A516" s="37"/>
      <c r="B516" s="78"/>
      <c r="C516" s="70"/>
      <c r="D516" s="37"/>
      <c r="E516" s="70"/>
      <c r="F516" s="70"/>
      <c r="G516" s="37"/>
      <c r="H516" s="70"/>
      <c r="I516" s="70"/>
      <c r="J516" s="37"/>
      <c r="K516" s="70"/>
      <c r="L516" s="70"/>
      <c r="M516" s="70"/>
      <c r="N516" s="70"/>
      <c r="O516" s="70"/>
    </row>
    <row r="517" spans="1:15" x14ac:dyDescent="0.25">
      <c r="A517" s="37"/>
      <c r="B517" s="78"/>
      <c r="C517" s="70"/>
      <c r="D517" s="37"/>
      <c r="E517" s="70"/>
      <c r="F517" s="70"/>
      <c r="G517" s="37"/>
      <c r="H517" s="70"/>
      <c r="I517" s="70"/>
      <c r="J517" s="37"/>
      <c r="K517" s="70"/>
      <c r="L517" s="70"/>
      <c r="M517" s="70"/>
      <c r="N517" s="70"/>
      <c r="O517" s="70"/>
    </row>
    <row r="518" spans="1:15" x14ac:dyDescent="0.25">
      <c r="A518" s="37"/>
      <c r="B518" s="78"/>
      <c r="C518" s="70"/>
      <c r="D518" s="37"/>
      <c r="E518" s="70"/>
      <c r="F518" s="70"/>
      <c r="G518" s="37"/>
      <c r="H518" s="70"/>
      <c r="I518" s="70"/>
      <c r="J518" s="37"/>
      <c r="K518" s="70"/>
      <c r="L518" s="70"/>
      <c r="M518" s="70"/>
      <c r="N518" s="70"/>
      <c r="O518" s="70"/>
    </row>
    <row r="519" spans="1:15" x14ac:dyDescent="0.25">
      <c r="A519" s="37"/>
      <c r="B519" s="78"/>
      <c r="C519" s="70"/>
      <c r="D519" s="37"/>
      <c r="E519" s="70"/>
      <c r="F519" s="70"/>
      <c r="G519" s="37"/>
      <c r="H519" s="70"/>
      <c r="I519" s="70"/>
      <c r="J519" s="37"/>
      <c r="K519" s="70"/>
      <c r="L519" s="70"/>
      <c r="M519" s="70"/>
      <c r="N519" s="70"/>
      <c r="O519" s="70"/>
    </row>
    <row r="520" spans="1:15" x14ac:dyDescent="0.25">
      <c r="A520" s="37"/>
      <c r="B520" s="78"/>
      <c r="C520" s="70"/>
      <c r="D520" s="37"/>
      <c r="E520" s="70"/>
      <c r="F520" s="70"/>
      <c r="G520" s="37"/>
      <c r="H520" s="70"/>
      <c r="I520" s="70"/>
      <c r="J520" s="37"/>
      <c r="K520" s="70"/>
      <c r="L520" s="70"/>
      <c r="M520" s="70"/>
      <c r="N520" s="70"/>
      <c r="O520" s="70"/>
    </row>
    <row r="521" spans="1:15" x14ac:dyDescent="0.25">
      <c r="A521" s="37"/>
      <c r="B521" s="78"/>
      <c r="C521" s="70"/>
      <c r="D521" s="37"/>
      <c r="E521" s="70"/>
      <c r="F521" s="70"/>
      <c r="G521" s="37"/>
      <c r="H521" s="70"/>
      <c r="I521" s="70"/>
      <c r="J521" s="37"/>
      <c r="K521" s="70"/>
      <c r="L521" s="70"/>
      <c r="M521" s="70"/>
      <c r="N521" s="70"/>
      <c r="O521" s="70"/>
    </row>
    <row r="522" spans="1:15" x14ac:dyDescent="0.25">
      <c r="A522" s="37"/>
      <c r="B522" s="78"/>
      <c r="C522" s="70"/>
      <c r="D522" s="37"/>
      <c r="E522" s="70"/>
      <c r="F522" s="70"/>
      <c r="G522" s="37"/>
      <c r="H522" s="70"/>
      <c r="I522" s="70"/>
      <c r="J522" s="37"/>
      <c r="K522" s="70"/>
      <c r="L522" s="70"/>
      <c r="M522" s="70"/>
      <c r="N522" s="70"/>
      <c r="O522" s="70"/>
    </row>
    <row r="523" spans="1:15" x14ac:dyDescent="0.25">
      <c r="A523" s="37"/>
      <c r="B523" s="78"/>
      <c r="C523" s="70"/>
      <c r="D523" s="37"/>
      <c r="E523" s="70"/>
      <c r="F523" s="70"/>
      <c r="G523" s="37"/>
      <c r="H523" s="70"/>
      <c r="I523" s="70"/>
      <c r="J523" s="37"/>
      <c r="K523" s="70"/>
      <c r="L523" s="70"/>
      <c r="M523" s="70"/>
      <c r="N523" s="70"/>
      <c r="O523" s="70"/>
    </row>
    <row r="524" spans="1:15" x14ac:dyDescent="0.25">
      <c r="A524" s="37"/>
      <c r="B524" s="78"/>
      <c r="C524" s="70"/>
      <c r="D524" s="37"/>
      <c r="E524" s="70"/>
      <c r="F524" s="70"/>
      <c r="G524" s="37"/>
      <c r="H524" s="70"/>
      <c r="I524" s="70"/>
      <c r="J524" s="37"/>
      <c r="K524" s="70"/>
      <c r="L524" s="70"/>
      <c r="M524" s="70"/>
      <c r="N524" s="70"/>
      <c r="O524" s="70"/>
    </row>
    <row r="525" spans="1:15" x14ac:dyDescent="0.25">
      <c r="A525" s="37"/>
      <c r="B525" s="78"/>
      <c r="C525" s="70"/>
      <c r="D525" s="37"/>
      <c r="E525" s="70"/>
      <c r="F525" s="70"/>
      <c r="G525" s="37"/>
      <c r="H525" s="70"/>
      <c r="I525" s="70"/>
      <c r="J525" s="37"/>
      <c r="K525" s="70"/>
      <c r="L525" s="70"/>
      <c r="M525" s="70"/>
      <c r="N525" s="70"/>
      <c r="O525" s="70"/>
    </row>
    <row r="526" spans="1:15" x14ac:dyDescent="0.25">
      <c r="A526" s="37"/>
      <c r="B526" s="78"/>
      <c r="C526" s="70"/>
      <c r="D526" s="37"/>
      <c r="E526" s="70"/>
      <c r="F526" s="70"/>
      <c r="G526" s="37"/>
      <c r="H526" s="70"/>
      <c r="I526" s="70"/>
      <c r="J526" s="37"/>
      <c r="K526" s="70"/>
      <c r="L526" s="70"/>
      <c r="M526" s="70"/>
      <c r="N526" s="70"/>
      <c r="O526" s="70"/>
    </row>
    <row r="527" spans="1:15" x14ac:dyDescent="0.25">
      <c r="A527" s="37"/>
      <c r="B527" s="78"/>
      <c r="C527" s="70"/>
      <c r="D527" s="37"/>
      <c r="E527" s="70"/>
      <c r="F527" s="70"/>
      <c r="G527" s="37"/>
      <c r="H527" s="70"/>
      <c r="I527" s="70"/>
      <c r="J527" s="37"/>
      <c r="K527" s="70"/>
      <c r="L527" s="70"/>
      <c r="M527" s="70"/>
      <c r="N527" s="70"/>
      <c r="O527" s="70"/>
    </row>
    <row r="528" spans="1:15" x14ac:dyDescent="0.25">
      <c r="A528" s="37"/>
      <c r="B528" s="78"/>
      <c r="C528" s="70"/>
      <c r="D528" s="37"/>
      <c r="E528" s="70"/>
      <c r="F528" s="70"/>
      <c r="G528" s="37"/>
      <c r="H528" s="70"/>
      <c r="I528" s="70"/>
      <c r="J528" s="37"/>
      <c r="K528" s="70"/>
      <c r="L528" s="70"/>
      <c r="M528" s="70"/>
      <c r="N528" s="70"/>
      <c r="O528" s="70"/>
    </row>
    <row r="529" spans="1:15" x14ac:dyDescent="0.25">
      <c r="A529" s="37"/>
      <c r="B529" s="78"/>
      <c r="C529" s="70"/>
      <c r="D529" s="37"/>
      <c r="E529" s="70"/>
      <c r="F529" s="70"/>
      <c r="G529" s="37"/>
      <c r="H529" s="70"/>
      <c r="I529" s="70"/>
      <c r="J529" s="37"/>
      <c r="K529" s="70"/>
      <c r="L529" s="70"/>
      <c r="M529" s="70"/>
      <c r="N529" s="70"/>
      <c r="O529" s="70"/>
    </row>
    <row r="530" spans="1:15" x14ac:dyDescent="0.25">
      <c r="A530" s="37"/>
      <c r="B530" s="78"/>
      <c r="C530" s="70"/>
      <c r="D530" s="37"/>
      <c r="E530" s="70"/>
      <c r="F530" s="70"/>
      <c r="G530" s="37"/>
      <c r="H530" s="70"/>
      <c r="I530" s="70"/>
      <c r="J530" s="37"/>
      <c r="K530" s="70"/>
      <c r="L530" s="70"/>
      <c r="M530" s="70"/>
      <c r="N530" s="70"/>
      <c r="O530" s="70"/>
    </row>
    <row r="531" spans="1:15" x14ac:dyDescent="0.25">
      <c r="A531" s="37"/>
      <c r="B531" s="78"/>
      <c r="C531" s="70"/>
      <c r="D531" s="37"/>
      <c r="E531" s="70"/>
      <c r="F531" s="70"/>
      <c r="G531" s="37"/>
      <c r="H531" s="70"/>
      <c r="I531" s="70"/>
      <c r="J531" s="37"/>
      <c r="K531" s="70"/>
      <c r="L531" s="70"/>
      <c r="M531" s="70"/>
      <c r="N531" s="70"/>
      <c r="O531" s="70"/>
    </row>
    <row r="532" spans="1:15" x14ac:dyDescent="0.25">
      <c r="A532" s="37"/>
      <c r="B532" s="78"/>
      <c r="C532" s="70"/>
      <c r="D532" s="37"/>
      <c r="E532" s="70"/>
      <c r="F532" s="70"/>
      <c r="G532" s="37"/>
      <c r="H532" s="70"/>
      <c r="I532" s="70"/>
      <c r="J532" s="37"/>
      <c r="K532" s="70"/>
      <c r="L532" s="70"/>
      <c r="M532" s="70"/>
      <c r="N532" s="70"/>
      <c r="O532" s="70"/>
    </row>
    <row r="533" spans="1:15" x14ac:dyDescent="0.25">
      <c r="A533" s="37"/>
      <c r="B533" s="78"/>
      <c r="C533" s="70"/>
      <c r="D533" s="37"/>
      <c r="E533" s="70"/>
      <c r="F533" s="70"/>
      <c r="G533" s="37"/>
      <c r="H533" s="70"/>
      <c r="I533" s="70"/>
      <c r="J533" s="37"/>
      <c r="K533" s="70"/>
      <c r="L533" s="70"/>
      <c r="M533" s="70"/>
      <c r="N533" s="70"/>
      <c r="O533" s="70"/>
    </row>
    <row r="534" spans="1:15" x14ac:dyDescent="0.25">
      <c r="A534" s="37"/>
      <c r="B534" s="78"/>
      <c r="C534" s="70"/>
      <c r="D534" s="37"/>
      <c r="E534" s="70"/>
      <c r="F534" s="70"/>
      <c r="G534" s="37"/>
      <c r="H534" s="70"/>
      <c r="I534" s="70"/>
      <c r="J534" s="37"/>
      <c r="K534" s="70"/>
      <c r="L534" s="70"/>
      <c r="M534" s="70"/>
      <c r="N534" s="70"/>
      <c r="O534" s="70"/>
    </row>
    <row r="535" spans="1:15" x14ac:dyDescent="0.25">
      <c r="A535" s="37"/>
      <c r="B535" s="78"/>
      <c r="C535" s="70"/>
      <c r="D535" s="37"/>
      <c r="E535" s="70"/>
      <c r="F535" s="70"/>
      <c r="G535" s="37"/>
      <c r="H535" s="70"/>
      <c r="I535" s="70"/>
      <c r="J535" s="37"/>
      <c r="K535" s="70"/>
      <c r="L535" s="70"/>
      <c r="M535" s="70"/>
      <c r="N535" s="70"/>
      <c r="O535" s="70"/>
    </row>
    <row r="536" spans="1:15" x14ac:dyDescent="0.25">
      <c r="J536" s="37"/>
      <c r="K536" s="70"/>
      <c r="L536" s="70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6"/>
  <sheetViews>
    <sheetView topLeftCell="C5" workbookViewId="0">
      <pane ySplit="3" topLeftCell="A38" activePane="bottomLeft" state="frozen"/>
      <selection activeCell="A5" sqref="A5"/>
      <selection pane="bottomLeft" activeCell="S53" sqref="S53"/>
    </sheetView>
  </sheetViews>
  <sheetFormatPr baseColWidth="10" defaultRowHeight="15" x14ac:dyDescent="0.25"/>
  <cols>
    <col min="1" max="1" width="7.7109375" style="7" customWidth="1"/>
    <col min="2" max="2" width="8.7109375" style="7" customWidth="1"/>
    <col min="3" max="3" width="23.7109375" customWidth="1"/>
    <col min="4" max="4" width="7.7109375" style="7" customWidth="1"/>
    <col min="5" max="5" width="8.7109375" customWidth="1"/>
    <col min="6" max="6" width="23.7109375" customWidth="1"/>
    <col min="7" max="7" width="7.7109375" style="7" customWidth="1"/>
    <col min="8" max="8" width="8.7109375" customWidth="1"/>
    <col min="9" max="9" width="23.7109375" customWidth="1"/>
    <col min="10" max="10" width="7.7109375" style="7" customWidth="1"/>
    <col min="11" max="11" width="10" customWidth="1"/>
    <col min="12" max="12" width="23.7109375" customWidth="1"/>
    <col min="13" max="13" width="7.85546875" customWidth="1"/>
    <col min="14" max="14" width="8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08" t="s">
        <v>10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10" t="s">
        <v>15</v>
      </c>
      <c r="M1" s="110"/>
      <c r="N1" s="6">
        <v>2014</v>
      </c>
      <c r="O1" s="5"/>
    </row>
    <row r="2" spans="1:18" ht="15.75" x14ac:dyDescent="0.25">
      <c r="A2" s="8">
        <v>2013</v>
      </c>
    </row>
    <row r="3" spans="1:18" ht="15.75" x14ac:dyDescent="0.25">
      <c r="A3" s="30" t="s">
        <v>7</v>
      </c>
      <c r="C3" s="116" t="s">
        <v>8</v>
      </c>
      <c r="D3" s="116"/>
      <c r="E3" s="28" t="s">
        <v>9</v>
      </c>
      <c r="F3" s="4" t="e">
        <f>#REF!+#REF!+#REF!+#REF!+#REF!</f>
        <v>#REF!</v>
      </c>
      <c r="H3" s="4" t="s">
        <v>3</v>
      </c>
      <c r="I3" s="2" t="e">
        <f>#REF!+#REF!+#REF!+#REF!+#REF!</f>
        <v>#REF!</v>
      </c>
    </row>
    <row r="5" spans="1:18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3" t="s">
        <v>6</v>
      </c>
      <c r="K5" s="123"/>
      <c r="L5" s="123"/>
      <c r="M5" s="122" t="s">
        <v>17</v>
      </c>
      <c r="N5" s="122"/>
      <c r="O5" s="122"/>
      <c r="Q5" s="117" t="s">
        <v>18</v>
      </c>
      <c r="R5" s="117"/>
    </row>
    <row r="6" spans="1:18" x14ac:dyDescent="0.25">
      <c r="A6" s="9">
        <f>SUBTOTAL(3,A8:A121)</f>
        <v>59</v>
      </c>
      <c r="B6" s="9">
        <f>SUBTOTAL(9,B8:B121)</f>
        <v>26315</v>
      </c>
      <c r="C6" s="47">
        <v>42281</v>
      </c>
      <c r="D6" s="9">
        <f>SUBTOTAL(3,D8:D120)</f>
        <v>48</v>
      </c>
      <c r="E6" s="1">
        <f>SUBTOTAL(9,E8:E120)</f>
        <v>28410</v>
      </c>
      <c r="F6" s="50">
        <v>42288</v>
      </c>
      <c r="G6" s="9">
        <f>SUBTOTAL(3,G8:G120)</f>
        <v>48</v>
      </c>
      <c r="H6" s="1">
        <f>SUBTOTAL(9,H8:H120)</f>
        <v>16810</v>
      </c>
      <c r="I6" s="51">
        <v>42295</v>
      </c>
      <c r="J6" s="9">
        <f>SUBTOTAL(3,J8:J111)</f>
        <v>46</v>
      </c>
      <c r="K6" s="1">
        <f>SUBTOTAL(9,K8:K111)</f>
        <v>43600</v>
      </c>
      <c r="L6" s="75">
        <v>42302</v>
      </c>
      <c r="M6" s="1">
        <f>SUBTOTAL(3,M8:M120)</f>
        <v>0</v>
      </c>
      <c r="N6" s="1">
        <f>SUBTOTAL(9,N8:N120)</f>
        <v>0</v>
      </c>
      <c r="O6" s="97"/>
      <c r="Q6" s="42">
        <f>+A6+D6+G6+J6+M6</f>
        <v>201</v>
      </c>
      <c r="R6" s="41">
        <f>+B6+E6+H6+K6+N6</f>
        <v>115135</v>
      </c>
    </row>
    <row r="7" spans="1:18" x14ac:dyDescent="0.25">
      <c r="A7" s="58" t="s">
        <v>1</v>
      </c>
      <c r="B7" s="58" t="s">
        <v>3</v>
      </c>
      <c r="C7" s="58" t="s">
        <v>2</v>
      </c>
      <c r="D7" s="59" t="s">
        <v>1</v>
      </c>
      <c r="E7" s="59" t="s">
        <v>3</v>
      </c>
      <c r="F7" s="59" t="s">
        <v>2</v>
      </c>
      <c r="G7" s="60" t="s">
        <v>1</v>
      </c>
      <c r="H7" s="60" t="s">
        <v>3</v>
      </c>
      <c r="I7" s="60" t="s">
        <v>2</v>
      </c>
      <c r="J7" s="72" t="s">
        <v>1</v>
      </c>
      <c r="K7" s="72" t="s">
        <v>3</v>
      </c>
      <c r="L7" s="72" t="s">
        <v>2</v>
      </c>
      <c r="M7" s="53" t="s">
        <v>1</v>
      </c>
      <c r="N7" s="53" t="s">
        <v>3</v>
      </c>
      <c r="O7" s="53" t="s">
        <v>2</v>
      </c>
      <c r="P7" s="39"/>
      <c r="Q7" s="54" t="s">
        <v>9</v>
      </c>
      <c r="R7" s="54" t="s">
        <v>3</v>
      </c>
    </row>
    <row r="8" spans="1:18" x14ac:dyDescent="0.25">
      <c r="A8" s="25">
        <v>10235</v>
      </c>
      <c r="B8" s="61">
        <v>400</v>
      </c>
      <c r="C8" s="26" t="s">
        <v>324</v>
      </c>
      <c r="D8" s="20">
        <v>10294</v>
      </c>
      <c r="E8" s="82">
        <v>200</v>
      </c>
      <c r="F8" s="21"/>
      <c r="G8" s="17">
        <v>10342</v>
      </c>
      <c r="H8" s="18"/>
      <c r="I8" s="18" t="s">
        <v>44</v>
      </c>
      <c r="J8" s="73">
        <v>10390</v>
      </c>
      <c r="K8" s="83">
        <v>400</v>
      </c>
      <c r="L8" s="74"/>
      <c r="M8" s="23"/>
      <c r="N8" s="23"/>
      <c r="O8" s="23"/>
      <c r="Q8" s="44"/>
      <c r="R8" s="44"/>
    </row>
    <row r="9" spans="1:18" x14ac:dyDescent="0.25">
      <c r="A9" s="25"/>
      <c r="B9" s="61"/>
      <c r="C9" s="26" t="s">
        <v>27</v>
      </c>
      <c r="D9" s="20">
        <v>10295</v>
      </c>
      <c r="E9" s="82">
        <v>600</v>
      </c>
      <c r="F9" s="21" t="s">
        <v>378</v>
      </c>
      <c r="G9" s="17">
        <v>10343</v>
      </c>
      <c r="H9" s="79">
        <v>150</v>
      </c>
      <c r="I9" s="18"/>
      <c r="J9" s="73">
        <v>10391</v>
      </c>
      <c r="K9" s="83">
        <v>400</v>
      </c>
      <c r="L9" s="74"/>
      <c r="M9" s="23"/>
      <c r="N9" s="23"/>
      <c r="O9" s="23"/>
    </row>
    <row r="10" spans="1:18" x14ac:dyDescent="0.25">
      <c r="A10" s="25">
        <v>10236</v>
      </c>
      <c r="B10" s="61">
        <v>400</v>
      </c>
      <c r="C10" s="26" t="s">
        <v>378</v>
      </c>
      <c r="D10" s="20">
        <v>10296</v>
      </c>
      <c r="E10" s="82">
        <v>150</v>
      </c>
      <c r="F10" s="21"/>
      <c r="G10" s="17">
        <v>10344</v>
      </c>
      <c r="H10" s="79"/>
      <c r="I10" s="18" t="s">
        <v>454</v>
      </c>
      <c r="J10" s="73">
        <v>10392</v>
      </c>
      <c r="K10" s="83">
        <v>2400</v>
      </c>
      <c r="L10" s="74" t="s">
        <v>456</v>
      </c>
      <c r="M10" s="23"/>
      <c r="N10" s="23"/>
      <c r="O10" s="23"/>
    </row>
    <row r="11" spans="1:18" x14ac:dyDescent="0.25">
      <c r="A11" s="25">
        <v>10237</v>
      </c>
      <c r="B11" s="61">
        <v>100</v>
      </c>
      <c r="C11" s="26"/>
      <c r="D11" s="20">
        <v>10297</v>
      </c>
      <c r="E11" s="82">
        <v>600</v>
      </c>
      <c r="F11" s="21" t="s">
        <v>353</v>
      </c>
      <c r="G11" s="17"/>
      <c r="H11" s="79"/>
      <c r="I11" s="18" t="s">
        <v>455</v>
      </c>
      <c r="J11" s="73"/>
      <c r="K11" s="83"/>
      <c r="L11" s="74" t="s">
        <v>457</v>
      </c>
      <c r="M11" s="23"/>
      <c r="N11" s="23"/>
      <c r="O11" s="23"/>
    </row>
    <row r="12" spans="1:18" x14ac:dyDescent="0.25">
      <c r="A12" s="25">
        <v>10238</v>
      </c>
      <c r="B12" s="61">
        <v>400</v>
      </c>
      <c r="C12" s="26"/>
      <c r="D12" s="20"/>
      <c r="E12" s="82"/>
      <c r="F12" s="21" t="s">
        <v>33</v>
      </c>
      <c r="G12" s="17">
        <v>10345</v>
      </c>
      <c r="H12" s="79"/>
      <c r="I12" s="18" t="s">
        <v>454</v>
      </c>
      <c r="J12" s="73">
        <v>10393</v>
      </c>
      <c r="K12" s="83">
        <v>640</v>
      </c>
      <c r="L12" s="74" t="s">
        <v>458</v>
      </c>
      <c r="M12" s="23"/>
      <c r="N12" s="23"/>
      <c r="O12" s="23"/>
    </row>
    <row r="13" spans="1:18" x14ac:dyDescent="0.25">
      <c r="A13" s="25">
        <v>10239</v>
      </c>
      <c r="B13" s="61">
        <v>400</v>
      </c>
      <c r="C13" s="26"/>
      <c r="D13" s="20">
        <v>10298</v>
      </c>
      <c r="E13" s="82">
        <v>1600</v>
      </c>
      <c r="F13" s="21" t="s">
        <v>434</v>
      </c>
      <c r="G13" s="17">
        <v>10346</v>
      </c>
      <c r="H13" s="79"/>
      <c r="I13" s="18" t="s">
        <v>454</v>
      </c>
      <c r="J13" s="73"/>
      <c r="K13" s="83"/>
      <c r="L13" s="74" t="s">
        <v>459</v>
      </c>
      <c r="M13" s="23"/>
      <c r="N13" s="23"/>
      <c r="O13" s="23"/>
    </row>
    <row r="14" spans="1:18" x14ac:dyDescent="0.25">
      <c r="A14" s="25">
        <v>10240</v>
      </c>
      <c r="B14" s="61">
        <v>250</v>
      </c>
      <c r="C14" s="26" t="s">
        <v>378</v>
      </c>
      <c r="D14" s="20"/>
      <c r="E14" s="82"/>
      <c r="F14" s="21" t="s">
        <v>25</v>
      </c>
      <c r="G14" s="17"/>
      <c r="H14" s="79"/>
      <c r="I14" s="18" t="s">
        <v>455</v>
      </c>
      <c r="J14" s="73"/>
      <c r="K14" s="83"/>
      <c r="L14" s="105">
        <v>5639</v>
      </c>
      <c r="M14" s="23"/>
      <c r="N14" s="23"/>
      <c r="O14" s="43"/>
    </row>
    <row r="15" spans="1:18" x14ac:dyDescent="0.25">
      <c r="A15" s="25">
        <v>10241</v>
      </c>
      <c r="B15" s="61">
        <v>400</v>
      </c>
      <c r="C15" s="26"/>
      <c r="D15" s="20">
        <v>10299</v>
      </c>
      <c r="E15" s="82">
        <v>560</v>
      </c>
      <c r="F15" s="21" t="s">
        <v>418</v>
      </c>
      <c r="G15" s="17">
        <v>10347</v>
      </c>
      <c r="H15" s="79">
        <v>400</v>
      </c>
      <c r="I15" s="18"/>
      <c r="J15" s="73">
        <v>10394</v>
      </c>
      <c r="K15" s="83">
        <v>1200</v>
      </c>
      <c r="L15" s="105" t="s">
        <v>349</v>
      </c>
      <c r="M15" s="23"/>
      <c r="N15" s="23"/>
      <c r="O15" s="23"/>
    </row>
    <row r="16" spans="1:18" x14ac:dyDescent="0.25">
      <c r="A16" s="25">
        <v>10242</v>
      </c>
      <c r="B16" s="61">
        <v>400</v>
      </c>
      <c r="C16" s="26"/>
      <c r="D16" s="20">
        <v>10300</v>
      </c>
      <c r="E16" s="82">
        <v>800</v>
      </c>
      <c r="F16" s="21" t="s">
        <v>366</v>
      </c>
      <c r="G16" s="17">
        <v>10348</v>
      </c>
      <c r="H16" s="79">
        <v>160</v>
      </c>
      <c r="I16" s="18"/>
      <c r="J16" s="73"/>
      <c r="K16" s="83"/>
      <c r="L16" s="74" t="s">
        <v>25</v>
      </c>
      <c r="M16" s="23"/>
      <c r="N16" s="23"/>
      <c r="O16" s="23"/>
    </row>
    <row r="17" spans="1:15" x14ac:dyDescent="0.25">
      <c r="A17" s="25">
        <v>10243</v>
      </c>
      <c r="B17" s="61"/>
      <c r="C17" s="26" t="s">
        <v>73</v>
      </c>
      <c r="D17" s="20"/>
      <c r="E17" s="82"/>
      <c r="F17" s="21" t="s">
        <v>25</v>
      </c>
      <c r="G17" s="17">
        <v>10349</v>
      </c>
      <c r="H17" s="79">
        <v>150</v>
      </c>
      <c r="I17" s="18"/>
      <c r="J17" s="73">
        <v>10395</v>
      </c>
      <c r="K17" s="83">
        <v>150</v>
      </c>
      <c r="L17" s="74"/>
      <c r="M17" s="23"/>
      <c r="N17" s="23"/>
      <c r="O17" s="23"/>
    </row>
    <row r="18" spans="1:15" x14ac:dyDescent="0.25">
      <c r="A18" s="25">
        <v>10244</v>
      </c>
      <c r="B18" s="61">
        <v>400</v>
      </c>
      <c r="C18" s="26" t="s">
        <v>354</v>
      </c>
      <c r="D18" s="20">
        <v>10301</v>
      </c>
      <c r="E18" s="82">
        <v>800</v>
      </c>
      <c r="F18" s="45" t="s">
        <v>366</v>
      </c>
      <c r="G18" s="17">
        <v>10350</v>
      </c>
      <c r="H18" s="79">
        <v>360</v>
      </c>
      <c r="I18" s="18" t="s">
        <v>419</v>
      </c>
      <c r="J18" s="73">
        <v>10396</v>
      </c>
      <c r="K18" s="83">
        <v>160</v>
      </c>
      <c r="L18" s="74" t="s">
        <v>460</v>
      </c>
      <c r="M18" s="23"/>
      <c r="N18" s="23"/>
      <c r="O18" s="23"/>
    </row>
    <row r="19" spans="1:15" x14ac:dyDescent="0.25">
      <c r="A19" s="25">
        <v>10245</v>
      </c>
      <c r="B19" s="61">
        <v>300</v>
      </c>
      <c r="C19" s="26" t="s">
        <v>378</v>
      </c>
      <c r="D19" s="20"/>
      <c r="E19" s="82"/>
      <c r="F19" s="21" t="s">
        <v>25</v>
      </c>
      <c r="G19" s="17"/>
      <c r="H19" s="79"/>
      <c r="I19" s="18" t="s">
        <v>441</v>
      </c>
      <c r="J19" s="73">
        <v>10397</v>
      </c>
      <c r="K19" s="83">
        <v>400</v>
      </c>
      <c r="L19" s="74"/>
      <c r="M19" s="23"/>
      <c r="N19" s="23"/>
      <c r="O19" s="23"/>
    </row>
    <row r="20" spans="1:15" x14ac:dyDescent="0.25">
      <c r="A20" s="25">
        <v>10246</v>
      </c>
      <c r="B20" s="61">
        <v>125</v>
      </c>
      <c r="C20" s="26"/>
      <c r="D20" s="20">
        <v>10302</v>
      </c>
      <c r="E20" s="82">
        <v>400</v>
      </c>
      <c r="F20" s="21"/>
      <c r="G20" s="17">
        <v>10351</v>
      </c>
      <c r="H20" s="79">
        <v>150</v>
      </c>
      <c r="I20" s="18"/>
      <c r="J20" s="73">
        <v>10398</v>
      </c>
      <c r="K20" s="83">
        <v>400</v>
      </c>
      <c r="L20" s="74"/>
      <c r="M20" s="23"/>
      <c r="N20" s="23"/>
      <c r="O20" s="23"/>
    </row>
    <row r="21" spans="1:15" x14ac:dyDescent="0.25">
      <c r="A21" s="25">
        <v>10247</v>
      </c>
      <c r="B21" s="61">
        <v>400</v>
      </c>
      <c r="C21" s="26"/>
      <c r="D21" s="20">
        <v>10303</v>
      </c>
      <c r="E21" s="82">
        <v>600</v>
      </c>
      <c r="F21" s="21" t="s">
        <v>431</v>
      </c>
      <c r="G21" s="17">
        <v>10352</v>
      </c>
      <c r="H21" s="79">
        <v>200</v>
      </c>
      <c r="I21" s="18"/>
      <c r="J21" s="73">
        <v>10399</v>
      </c>
      <c r="K21" s="83">
        <v>2400</v>
      </c>
      <c r="L21" s="74" t="s">
        <v>356</v>
      </c>
      <c r="M21" s="23"/>
      <c r="N21" s="23"/>
      <c r="O21" s="23"/>
    </row>
    <row r="22" spans="1:15" x14ac:dyDescent="0.25">
      <c r="A22" s="25">
        <v>10248</v>
      </c>
      <c r="B22" s="61">
        <v>400</v>
      </c>
      <c r="C22" s="26"/>
      <c r="D22" s="20"/>
      <c r="E22" s="82"/>
      <c r="F22" s="21" t="s">
        <v>27</v>
      </c>
      <c r="G22" s="17">
        <v>10353</v>
      </c>
      <c r="H22" s="79">
        <v>160</v>
      </c>
      <c r="I22" s="18" t="s">
        <v>23</v>
      </c>
      <c r="J22" s="73"/>
      <c r="K22" s="83"/>
      <c r="L22" s="74" t="s">
        <v>461</v>
      </c>
      <c r="M22" s="23"/>
      <c r="N22" s="23"/>
      <c r="O22" s="23"/>
    </row>
    <row r="23" spans="1:15" x14ac:dyDescent="0.25">
      <c r="A23" s="25">
        <v>10249</v>
      </c>
      <c r="B23" s="61">
        <v>800</v>
      </c>
      <c r="C23" s="26" t="s">
        <v>353</v>
      </c>
      <c r="D23" s="20">
        <v>10304</v>
      </c>
      <c r="E23" s="82">
        <v>400</v>
      </c>
      <c r="F23" s="21"/>
      <c r="G23" s="17"/>
      <c r="H23" s="79"/>
      <c r="I23" s="18" t="s">
        <v>442</v>
      </c>
      <c r="J23" s="73">
        <v>10400</v>
      </c>
      <c r="K23" s="83">
        <v>500</v>
      </c>
      <c r="L23" s="74" t="s">
        <v>233</v>
      </c>
      <c r="M23" s="23"/>
      <c r="N23" s="23"/>
      <c r="O23" s="23"/>
    </row>
    <row r="24" spans="1:15" x14ac:dyDescent="0.25">
      <c r="A24" s="25"/>
      <c r="B24" s="61"/>
      <c r="C24" s="26" t="s">
        <v>25</v>
      </c>
      <c r="D24" s="20">
        <v>10305</v>
      </c>
      <c r="E24" s="82">
        <v>400</v>
      </c>
      <c r="F24" s="21"/>
      <c r="G24" s="17">
        <v>10354</v>
      </c>
      <c r="H24" s="79">
        <v>160</v>
      </c>
      <c r="I24" s="18" t="s">
        <v>23</v>
      </c>
      <c r="J24" s="73"/>
      <c r="K24" s="83"/>
      <c r="L24" s="74" t="s">
        <v>462</v>
      </c>
      <c r="M24" s="23"/>
      <c r="N24" s="23"/>
      <c r="O24" s="23"/>
    </row>
    <row r="25" spans="1:15" x14ac:dyDescent="0.25">
      <c r="A25" s="25">
        <v>10250</v>
      </c>
      <c r="B25" s="61">
        <v>400</v>
      </c>
      <c r="C25" s="26"/>
      <c r="D25" s="20">
        <v>10306</v>
      </c>
      <c r="E25" s="82">
        <v>1200</v>
      </c>
      <c r="F25" s="21" t="s">
        <v>416</v>
      </c>
      <c r="G25" s="17"/>
      <c r="H25" s="79"/>
      <c r="I25" s="18" t="s">
        <v>443</v>
      </c>
      <c r="J25" s="73">
        <v>10401</v>
      </c>
      <c r="K25" s="83">
        <v>400</v>
      </c>
      <c r="L25" s="74" t="s">
        <v>378</v>
      </c>
      <c r="M25" s="23"/>
      <c r="N25" s="23"/>
      <c r="O25" s="23"/>
    </row>
    <row r="26" spans="1:15" x14ac:dyDescent="0.25">
      <c r="A26" s="25">
        <v>10251</v>
      </c>
      <c r="B26" s="61">
        <v>400</v>
      </c>
      <c r="C26" s="26" t="s">
        <v>354</v>
      </c>
      <c r="D26" s="20"/>
      <c r="E26" s="82"/>
      <c r="F26" s="21" t="s">
        <v>25</v>
      </c>
      <c r="G26" s="17">
        <v>10355</v>
      </c>
      <c r="H26" s="79">
        <v>1200</v>
      </c>
      <c r="I26" s="18" t="s">
        <v>444</v>
      </c>
      <c r="J26" s="73">
        <v>10402</v>
      </c>
      <c r="K26" s="83">
        <v>560</v>
      </c>
      <c r="L26" s="74" t="s">
        <v>463</v>
      </c>
      <c r="M26" s="23"/>
      <c r="N26" s="23"/>
      <c r="O26" s="23"/>
    </row>
    <row r="27" spans="1:15" x14ac:dyDescent="0.25">
      <c r="A27" s="25">
        <v>10252</v>
      </c>
      <c r="B27" s="61">
        <v>800</v>
      </c>
      <c r="C27" s="26" t="s">
        <v>366</v>
      </c>
      <c r="D27" s="20">
        <v>10307</v>
      </c>
      <c r="E27" s="82">
        <v>800</v>
      </c>
      <c r="F27" s="21" t="s">
        <v>434</v>
      </c>
      <c r="G27" s="17"/>
      <c r="H27" s="79"/>
      <c r="I27" s="18" t="s">
        <v>25</v>
      </c>
      <c r="J27" s="73">
        <v>10403</v>
      </c>
      <c r="K27" s="83">
        <v>200</v>
      </c>
      <c r="L27" s="74" t="s">
        <v>354</v>
      </c>
      <c r="M27" s="23"/>
      <c r="N27" s="23"/>
      <c r="O27" s="43"/>
    </row>
    <row r="28" spans="1:15" x14ac:dyDescent="0.25">
      <c r="A28" s="25"/>
      <c r="B28" s="61"/>
      <c r="C28" s="26" t="s">
        <v>25</v>
      </c>
      <c r="D28" s="20"/>
      <c r="E28" s="82"/>
      <c r="F28" s="21" t="s">
        <v>27</v>
      </c>
      <c r="G28" s="17">
        <v>10356</v>
      </c>
      <c r="H28" s="79">
        <v>200</v>
      </c>
      <c r="I28" s="18"/>
      <c r="J28" s="73">
        <v>10404</v>
      </c>
      <c r="K28" s="83">
        <v>800</v>
      </c>
      <c r="L28" s="74" t="s">
        <v>390</v>
      </c>
      <c r="M28" s="23"/>
      <c r="N28" s="23"/>
      <c r="O28" s="23"/>
    </row>
    <row r="29" spans="1:15" x14ac:dyDescent="0.25">
      <c r="A29" s="25">
        <v>10253</v>
      </c>
      <c r="B29" s="61">
        <v>400</v>
      </c>
      <c r="C29" s="26"/>
      <c r="D29" s="20">
        <v>10308</v>
      </c>
      <c r="E29" s="82">
        <v>400</v>
      </c>
      <c r="F29" s="21"/>
      <c r="G29" s="17">
        <v>10357</v>
      </c>
      <c r="H29" s="79">
        <v>320</v>
      </c>
      <c r="I29" s="18" t="s">
        <v>144</v>
      </c>
      <c r="J29" s="73"/>
      <c r="K29" s="83"/>
      <c r="L29" s="74" t="s">
        <v>25</v>
      </c>
      <c r="M29" s="23"/>
      <c r="N29" s="23"/>
      <c r="O29" s="23"/>
    </row>
    <row r="30" spans="1:15" x14ac:dyDescent="0.25">
      <c r="A30" s="25">
        <v>10254</v>
      </c>
      <c r="B30" s="61">
        <v>200</v>
      </c>
      <c r="C30" s="26"/>
      <c r="D30" s="20">
        <v>10309</v>
      </c>
      <c r="E30" s="82">
        <v>400</v>
      </c>
      <c r="F30" s="21"/>
      <c r="G30" s="17">
        <v>10358</v>
      </c>
      <c r="H30" s="79">
        <v>400</v>
      </c>
      <c r="I30" s="18"/>
      <c r="J30" s="73">
        <v>10405</v>
      </c>
      <c r="K30" s="83"/>
      <c r="L30" s="74" t="s">
        <v>44</v>
      </c>
      <c r="M30" s="23"/>
      <c r="N30" s="23"/>
      <c r="O30" s="23"/>
    </row>
    <row r="31" spans="1:15" x14ac:dyDescent="0.25">
      <c r="A31" s="25">
        <v>10255</v>
      </c>
      <c r="B31" s="61">
        <v>400</v>
      </c>
      <c r="C31" s="26"/>
      <c r="D31" s="20">
        <v>10310</v>
      </c>
      <c r="E31" s="82">
        <v>2800</v>
      </c>
      <c r="F31" s="21" t="s">
        <v>435</v>
      </c>
      <c r="G31" s="17">
        <v>10359</v>
      </c>
      <c r="H31" s="79">
        <v>160</v>
      </c>
      <c r="I31" s="18" t="s">
        <v>49</v>
      </c>
      <c r="J31" s="73">
        <v>10406</v>
      </c>
      <c r="K31" s="83">
        <v>200</v>
      </c>
      <c r="L31" s="74"/>
      <c r="M31" s="23"/>
      <c r="N31" s="23"/>
      <c r="O31" s="23"/>
    </row>
    <row r="32" spans="1:15" x14ac:dyDescent="0.25">
      <c r="A32" s="25">
        <v>10256</v>
      </c>
      <c r="B32" s="61">
        <v>800</v>
      </c>
      <c r="C32" s="26" t="s">
        <v>366</v>
      </c>
      <c r="D32" s="20"/>
      <c r="E32" s="82"/>
      <c r="F32" s="21" t="s">
        <v>436</v>
      </c>
      <c r="G32" s="17">
        <v>10360</v>
      </c>
      <c r="H32" s="79">
        <v>600</v>
      </c>
      <c r="I32" s="18" t="s">
        <v>445</v>
      </c>
      <c r="J32" s="73">
        <v>10407</v>
      </c>
      <c r="K32" s="83">
        <v>1120</v>
      </c>
      <c r="L32" s="74" t="s">
        <v>390</v>
      </c>
      <c r="M32" s="23"/>
      <c r="N32" s="23"/>
      <c r="O32" s="23"/>
    </row>
    <row r="33" spans="1:15" x14ac:dyDescent="0.25">
      <c r="A33" s="25"/>
      <c r="B33" s="61"/>
      <c r="C33" s="26" t="s">
        <v>25</v>
      </c>
      <c r="D33" s="20"/>
      <c r="E33" s="82"/>
      <c r="F33" s="21" t="s">
        <v>25</v>
      </c>
      <c r="G33" s="17"/>
      <c r="H33" s="79"/>
      <c r="I33" s="18" t="s">
        <v>33</v>
      </c>
      <c r="J33" s="73"/>
      <c r="K33" s="83"/>
      <c r="L33" s="74" t="s">
        <v>123</v>
      </c>
      <c r="M33" s="23"/>
      <c r="N33" s="23"/>
      <c r="O33" s="23"/>
    </row>
    <row r="34" spans="1:15" x14ac:dyDescent="0.25">
      <c r="A34" s="25">
        <v>10257</v>
      </c>
      <c r="B34" s="61">
        <v>300</v>
      </c>
      <c r="C34" s="26"/>
      <c r="D34" s="20">
        <v>10311</v>
      </c>
      <c r="E34" s="82">
        <v>600</v>
      </c>
      <c r="F34" s="21" t="s">
        <v>416</v>
      </c>
      <c r="G34" s="17">
        <v>10361</v>
      </c>
      <c r="H34" s="79">
        <v>400</v>
      </c>
      <c r="I34" s="18" t="s">
        <v>446</v>
      </c>
      <c r="J34" s="73">
        <v>10408</v>
      </c>
      <c r="K34" s="83">
        <v>400</v>
      </c>
      <c r="L34" s="74"/>
      <c r="M34" s="23"/>
      <c r="N34" s="23"/>
      <c r="O34" s="43"/>
    </row>
    <row r="35" spans="1:15" x14ac:dyDescent="0.25">
      <c r="A35" s="25">
        <v>10258</v>
      </c>
      <c r="B35" s="61">
        <v>350</v>
      </c>
      <c r="C35" s="26"/>
      <c r="D35" s="20"/>
      <c r="E35" s="82"/>
      <c r="F35" s="21" t="s">
        <v>27</v>
      </c>
      <c r="G35" s="17"/>
      <c r="H35" s="79"/>
      <c r="I35" s="18" t="s">
        <v>27</v>
      </c>
      <c r="J35" s="73">
        <v>10409</v>
      </c>
      <c r="K35" s="83">
        <v>1200</v>
      </c>
      <c r="L35" s="74" t="s">
        <v>349</v>
      </c>
      <c r="M35" s="23"/>
      <c r="N35" s="23"/>
      <c r="O35" s="23"/>
    </row>
    <row r="36" spans="1:15" x14ac:dyDescent="0.25">
      <c r="A36" s="25">
        <v>10259</v>
      </c>
      <c r="B36" s="61"/>
      <c r="C36" s="26" t="s">
        <v>73</v>
      </c>
      <c r="D36" s="20">
        <v>10312</v>
      </c>
      <c r="E36" s="82">
        <v>350</v>
      </c>
      <c r="F36" s="21"/>
      <c r="G36" s="17">
        <v>10362</v>
      </c>
      <c r="H36" s="79">
        <v>800</v>
      </c>
      <c r="I36" s="18" t="s">
        <v>324</v>
      </c>
      <c r="J36" s="73"/>
      <c r="K36" s="83"/>
      <c r="L36" s="74" t="s">
        <v>25</v>
      </c>
      <c r="M36" s="23"/>
      <c r="N36" s="23"/>
      <c r="O36" s="23"/>
    </row>
    <row r="37" spans="1:15" x14ac:dyDescent="0.25">
      <c r="A37" s="25">
        <v>10260</v>
      </c>
      <c r="B37" s="61">
        <v>800</v>
      </c>
      <c r="C37" s="26" t="s">
        <v>366</v>
      </c>
      <c r="D37" s="20">
        <v>10313</v>
      </c>
      <c r="E37" s="82">
        <v>400</v>
      </c>
      <c r="F37" s="21" t="s">
        <v>378</v>
      </c>
      <c r="G37" s="17"/>
      <c r="H37" s="79"/>
      <c r="I37" s="18" t="s">
        <v>25</v>
      </c>
      <c r="J37" s="73">
        <v>10410</v>
      </c>
      <c r="K37" s="83">
        <v>400</v>
      </c>
      <c r="L37" s="74" t="s">
        <v>378</v>
      </c>
      <c r="M37" s="23"/>
      <c r="N37" s="23"/>
      <c r="O37" s="23"/>
    </row>
    <row r="38" spans="1:15" x14ac:dyDescent="0.25">
      <c r="A38" s="25"/>
      <c r="B38" s="61"/>
      <c r="C38" s="26" t="s">
        <v>25</v>
      </c>
      <c r="D38" s="20">
        <v>10314</v>
      </c>
      <c r="E38" s="82">
        <v>2000</v>
      </c>
      <c r="F38" s="21" t="s">
        <v>422</v>
      </c>
      <c r="G38" s="17">
        <v>10363</v>
      </c>
      <c r="H38" s="79">
        <v>800</v>
      </c>
      <c r="I38" s="18" t="s">
        <v>447</v>
      </c>
      <c r="J38" s="73">
        <v>10411</v>
      </c>
      <c r="K38" s="83">
        <v>400</v>
      </c>
      <c r="L38" s="74"/>
      <c r="M38" s="23"/>
      <c r="N38" s="23"/>
      <c r="O38" s="23"/>
    </row>
    <row r="39" spans="1:15" x14ac:dyDescent="0.25">
      <c r="A39" s="25">
        <v>10261</v>
      </c>
      <c r="B39" s="61">
        <v>200</v>
      </c>
      <c r="C39" s="26" t="s">
        <v>378</v>
      </c>
      <c r="D39" s="20"/>
      <c r="E39" s="82"/>
      <c r="F39" s="21" t="s">
        <v>25</v>
      </c>
      <c r="G39" s="17"/>
      <c r="H39" s="79"/>
      <c r="I39" s="18" t="s">
        <v>25</v>
      </c>
      <c r="J39" s="73">
        <v>10412</v>
      </c>
      <c r="K39" s="83">
        <v>400</v>
      </c>
      <c r="L39" s="74"/>
      <c r="M39" s="23"/>
      <c r="N39" s="23"/>
      <c r="O39" s="23"/>
    </row>
    <row r="40" spans="1:15" x14ac:dyDescent="0.25">
      <c r="A40" s="25">
        <v>10262</v>
      </c>
      <c r="B40" s="61">
        <v>400</v>
      </c>
      <c r="C40" s="26" t="s">
        <v>378</v>
      </c>
      <c r="D40" s="20">
        <v>10315</v>
      </c>
      <c r="E40" s="82">
        <v>300</v>
      </c>
      <c r="F40" s="21"/>
      <c r="G40" s="17">
        <v>10364</v>
      </c>
      <c r="H40" s="79">
        <v>300</v>
      </c>
      <c r="I40" s="18"/>
      <c r="J40" s="73">
        <v>10413</v>
      </c>
      <c r="K40" s="83">
        <v>800</v>
      </c>
      <c r="L40" s="74" t="s">
        <v>390</v>
      </c>
      <c r="M40" s="23"/>
      <c r="N40" s="23"/>
      <c r="O40" s="23"/>
    </row>
    <row r="41" spans="1:15" x14ac:dyDescent="0.25">
      <c r="A41" s="25">
        <v>10263</v>
      </c>
      <c r="B41" s="61">
        <v>300</v>
      </c>
      <c r="C41" s="26"/>
      <c r="D41" s="20">
        <v>10316</v>
      </c>
      <c r="E41" s="82">
        <v>400</v>
      </c>
      <c r="F41" s="21" t="s">
        <v>437</v>
      </c>
      <c r="G41" s="17">
        <v>10365</v>
      </c>
      <c r="H41" s="79">
        <v>800</v>
      </c>
      <c r="I41" s="18" t="s">
        <v>439</v>
      </c>
      <c r="J41" s="73"/>
      <c r="K41" s="83"/>
      <c r="L41" s="74" t="s">
        <v>25</v>
      </c>
      <c r="M41" s="23"/>
      <c r="N41" s="23"/>
      <c r="O41" s="23"/>
    </row>
    <row r="42" spans="1:15" x14ac:dyDescent="0.25">
      <c r="A42" s="25">
        <v>10264</v>
      </c>
      <c r="B42" s="61">
        <v>400</v>
      </c>
      <c r="C42" s="26" t="s">
        <v>320</v>
      </c>
      <c r="D42" s="20"/>
      <c r="E42" s="82"/>
      <c r="F42" s="21" t="s">
        <v>27</v>
      </c>
      <c r="G42" s="17"/>
      <c r="H42" s="79"/>
      <c r="I42" s="18" t="s">
        <v>27</v>
      </c>
      <c r="J42" s="73">
        <v>10414</v>
      </c>
      <c r="K42" s="83">
        <v>400</v>
      </c>
      <c r="L42" s="74" t="s">
        <v>464</v>
      </c>
      <c r="M42" s="23"/>
      <c r="N42" s="23"/>
      <c r="O42" s="23"/>
    </row>
    <row r="43" spans="1:15" x14ac:dyDescent="0.25">
      <c r="A43" s="25">
        <v>10265</v>
      </c>
      <c r="B43" s="61">
        <v>900</v>
      </c>
      <c r="C43" s="26" t="s">
        <v>416</v>
      </c>
      <c r="D43" s="20">
        <v>10317</v>
      </c>
      <c r="E43" s="82">
        <v>500</v>
      </c>
      <c r="F43" s="21" t="s">
        <v>366</v>
      </c>
      <c r="G43" s="17">
        <v>10366</v>
      </c>
      <c r="H43" s="79">
        <v>160</v>
      </c>
      <c r="I43" s="18" t="s">
        <v>448</v>
      </c>
      <c r="J43" s="73">
        <v>10415</v>
      </c>
      <c r="K43" s="83">
        <v>1200</v>
      </c>
      <c r="L43" s="74" t="s">
        <v>431</v>
      </c>
      <c r="M43" s="23"/>
      <c r="N43" s="23"/>
      <c r="O43" s="23"/>
    </row>
    <row r="44" spans="1:15" x14ac:dyDescent="0.25">
      <c r="A44" s="25"/>
      <c r="B44" s="61"/>
      <c r="C44" s="26" t="s">
        <v>33</v>
      </c>
      <c r="D44" s="20"/>
      <c r="E44" s="82"/>
      <c r="F44" s="21" t="s">
        <v>81</v>
      </c>
      <c r="G44" s="17"/>
      <c r="H44" s="79"/>
      <c r="I44" s="18" t="s">
        <v>449</v>
      </c>
      <c r="J44" s="73"/>
      <c r="K44" s="83"/>
      <c r="L44" s="74" t="s">
        <v>25</v>
      </c>
      <c r="M44" s="23"/>
      <c r="N44" s="23"/>
      <c r="O44" s="23"/>
    </row>
    <row r="45" spans="1:15" x14ac:dyDescent="0.25">
      <c r="A45" s="25">
        <v>10266</v>
      </c>
      <c r="B45" s="61">
        <v>500</v>
      </c>
      <c r="C45" s="26" t="s">
        <v>366</v>
      </c>
      <c r="D45" s="20">
        <v>10318</v>
      </c>
      <c r="E45" s="82">
        <v>400</v>
      </c>
      <c r="F45" s="21"/>
      <c r="G45" s="17">
        <v>10367</v>
      </c>
      <c r="H45" s="79">
        <v>400</v>
      </c>
      <c r="I45" s="18"/>
      <c r="J45" s="73">
        <v>10416</v>
      </c>
      <c r="K45" s="83">
        <v>160</v>
      </c>
      <c r="L45" s="74" t="s">
        <v>465</v>
      </c>
      <c r="M45" s="23"/>
      <c r="N45" s="23"/>
      <c r="O45" s="23"/>
    </row>
    <row r="46" spans="1:15" x14ac:dyDescent="0.25">
      <c r="A46" s="25"/>
      <c r="B46" s="61"/>
      <c r="C46" s="26" t="s">
        <v>81</v>
      </c>
      <c r="D46" s="20">
        <v>10319</v>
      </c>
      <c r="E46" s="82">
        <v>400</v>
      </c>
      <c r="F46" s="21" t="s">
        <v>438</v>
      </c>
      <c r="G46" s="17">
        <v>10368</v>
      </c>
      <c r="H46" s="79"/>
      <c r="I46" s="18" t="s">
        <v>44</v>
      </c>
      <c r="J46" s="73">
        <v>10417</v>
      </c>
      <c r="K46" s="83">
        <v>1200</v>
      </c>
      <c r="L46" s="74" t="s">
        <v>431</v>
      </c>
      <c r="M46" s="23"/>
      <c r="N46" s="23"/>
      <c r="O46" s="23"/>
    </row>
    <row r="47" spans="1:15" x14ac:dyDescent="0.25">
      <c r="A47" s="25">
        <v>10267</v>
      </c>
      <c r="B47" s="61">
        <v>400</v>
      </c>
      <c r="C47" s="26"/>
      <c r="D47" s="20">
        <v>10320</v>
      </c>
      <c r="E47" s="82">
        <v>400</v>
      </c>
      <c r="F47" s="21"/>
      <c r="G47" s="17">
        <v>10369</v>
      </c>
      <c r="H47" s="79">
        <v>200</v>
      </c>
      <c r="I47" s="18" t="s">
        <v>446</v>
      </c>
      <c r="J47" s="73"/>
      <c r="K47" s="83"/>
      <c r="L47" s="74" t="s">
        <v>25</v>
      </c>
      <c r="M47" s="23"/>
      <c r="N47" s="23"/>
      <c r="O47" s="23"/>
    </row>
    <row r="48" spans="1:15" x14ac:dyDescent="0.25">
      <c r="A48" s="25">
        <v>10268</v>
      </c>
      <c r="B48" s="61">
        <v>200</v>
      </c>
      <c r="C48" s="26"/>
      <c r="D48" s="20">
        <v>10321</v>
      </c>
      <c r="E48" s="82">
        <v>400</v>
      </c>
      <c r="F48" s="21"/>
      <c r="G48" s="17"/>
      <c r="H48" s="79"/>
      <c r="I48" s="18" t="s">
        <v>86</v>
      </c>
      <c r="J48" s="73">
        <v>10418</v>
      </c>
      <c r="K48" s="83">
        <v>1200</v>
      </c>
      <c r="L48" s="74" t="s">
        <v>431</v>
      </c>
      <c r="M48" s="23"/>
      <c r="N48" s="23"/>
      <c r="O48" s="23"/>
    </row>
    <row r="49" spans="1:15" x14ac:dyDescent="0.25">
      <c r="A49" s="25">
        <v>10269</v>
      </c>
      <c r="B49" s="61">
        <v>400</v>
      </c>
      <c r="C49" s="26"/>
      <c r="D49" s="20">
        <v>10322</v>
      </c>
      <c r="E49" s="82">
        <v>400</v>
      </c>
      <c r="F49" s="21"/>
      <c r="G49" s="17">
        <v>10370</v>
      </c>
      <c r="H49" s="79">
        <v>200</v>
      </c>
      <c r="I49" s="18" t="s">
        <v>446</v>
      </c>
      <c r="J49" s="73"/>
      <c r="K49" s="83"/>
      <c r="L49" s="74" t="s">
        <v>25</v>
      </c>
      <c r="M49" s="23"/>
      <c r="N49" s="23"/>
      <c r="O49" s="23"/>
    </row>
    <row r="50" spans="1:15" x14ac:dyDescent="0.25">
      <c r="A50" s="25">
        <v>10270</v>
      </c>
      <c r="B50" s="61">
        <v>400</v>
      </c>
      <c r="C50" s="26"/>
      <c r="D50" s="20">
        <v>10323</v>
      </c>
      <c r="E50" s="82">
        <v>400</v>
      </c>
      <c r="F50" s="21"/>
      <c r="G50" s="17"/>
      <c r="H50" s="79"/>
      <c r="I50" s="18" t="s">
        <v>86</v>
      </c>
      <c r="J50" s="73">
        <v>10419</v>
      </c>
      <c r="K50" s="83">
        <v>2000</v>
      </c>
      <c r="L50" s="74" t="s">
        <v>233</v>
      </c>
      <c r="M50" s="23"/>
      <c r="N50" s="23"/>
      <c r="O50" s="23"/>
    </row>
    <row r="51" spans="1:15" x14ac:dyDescent="0.25">
      <c r="A51" s="25">
        <v>10271</v>
      </c>
      <c r="B51" s="61">
        <v>800</v>
      </c>
      <c r="C51" s="26" t="s">
        <v>353</v>
      </c>
      <c r="D51" s="20">
        <v>10324</v>
      </c>
      <c r="E51" s="82">
        <v>600</v>
      </c>
      <c r="F51" s="21" t="s">
        <v>353</v>
      </c>
      <c r="G51" s="17">
        <v>10371</v>
      </c>
      <c r="H51" s="79">
        <v>160</v>
      </c>
      <c r="I51" s="18" t="s">
        <v>23</v>
      </c>
      <c r="J51" s="73"/>
      <c r="K51" s="83"/>
      <c r="L51" s="74" t="s">
        <v>461</v>
      </c>
      <c r="M51" s="23"/>
      <c r="N51" s="23"/>
      <c r="O51" s="23"/>
    </row>
    <row r="52" spans="1:15" x14ac:dyDescent="0.25">
      <c r="A52" s="25"/>
      <c r="B52" s="61"/>
      <c r="C52" s="26" t="s">
        <v>25</v>
      </c>
      <c r="D52" s="20"/>
      <c r="E52" s="82"/>
      <c r="F52" s="21" t="s">
        <v>33</v>
      </c>
      <c r="G52" s="17">
        <v>10372</v>
      </c>
      <c r="H52" s="79"/>
      <c r="I52" s="18" t="s">
        <v>44</v>
      </c>
      <c r="J52" s="73">
        <v>10420</v>
      </c>
      <c r="K52" s="83">
        <v>800</v>
      </c>
      <c r="L52" s="74" t="s">
        <v>466</v>
      </c>
      <c r="M52" s="23"/>
      <c r="N52" s="23"/>
      <c r="O52" s="23"/>
    </row>
    <row r="53" spans="1:15" x14ac:dyDescent="0.25">
      <c r="A53" s="25">
        <v>10272</v>
      </c>
      <c r="B53" s="61">
        <v>400</v>
      </c>
      <c r="C53" s="26"/>
      <c r="D53" s="20">
        <v>10325</v>
      </c>
      <c r="E53" s="82">
        <v>900</v>
      </c>
      <c r="F53" s="21" t="s">
        <v>416</v>
      </c>
      <c r="G53" s="17"/>
      <c r="H53" s="79"/>
      <c r="I53" s="18"/>
      <c r="J53" s="73"/>
      <c r="K53" s="83"/>
      <c r="L53" s="74" t="s">
        <v>25</v>
      </c>
      <c r="M53" s="23"/>
      <c r="N53" s="23"/>
      <c r="O53" s="23"/>
    </row>
    <row r="54" spans="1:15" x14ac:dyDescent="0.25">
      <c r="A54" s="25">
        <v>10273</v>
      </c>
      <c r="B54" s="61">
        <v>400</v>
      </c>
      <c r="C54" s="26"/>
      <c r="D54" s="20"/>
      <c r="E54" s="82"/>
      <c r="F54" s="21" t="s">
        <v>33</v>
      </c>
      <c r="G54" s="17">
        <v>10373</v>
      </c>
      <c r="H54" s="79">
        <v>300</v>
      </c>
      <c r="I54" s="18"/>
      <c r="J54" s="73">
        <v>10421</v>
      </c>
      <c r="K54" s="83">
        <v>160</v>
      </c>
      <c r="L54" s="74" t="s">
        <v>467</v>
      </c>
      <c r="M54" s="23"/>
      <c r="N54" s="23"/>
      <c r="O54" s="23"/>
    </row>
    <row r="55" spans="1:15" x14ac:dyDescent="0.25">
      <c r="A55" s="25">
        <v>10274</v>
      </c>
      <c r="B55" s="61">
        <v>400</v>
      </c>
      <c r="C55" s="26"/>
      <c r="D55" s="20">
        <v>10326</v>
      </c>
      <c r="E55" s="82">
        <v>600</v>
      </c>
      <c r="F55" s="21" t="s">
        <v>324</v>
      </c>
      <c r="G55" s="17">
        <v>10374</v>
      </c>
      <c r="H55" s="79">
        <v>200</v>
      </c>
      <c r="I55" s="18"/>
      <c r="J55" s="73">
        <v>10422</v>
      </c>
      <c r="K55" s="83">
        <v>1200</v>
      </c>
      <c r="L55" s="74" t="s">
        <v>431</v>
      </c>
      <c r="M55" s="23"/>
      <c r="N55" s="23"/>
      <c r="O55" s="23"/>
    </row>
    <row r="56" spans="1:15" x14ac:dyDescent="0.25">
      <c r="A56" s="25">
        <v>10275</v>
      </c>
      <c r="B56" s="61">
        <v>1200</v>
      </c>
      <c r="C56" s="26" t="s">
        <v>428</v>
      </c>
      <c r="D56" s="20"/>
      <c r="E56" s="82"/>
      <c r="F56" s="21" t="s">
        <v>33</v>
      </c>
      <c r="G56" s="17">
        <v>10375</v>
      </c>
      <c r="H56" s="79">
        <v>400</v>
      </c>
      <c r="I56" s="18"/>
      <c r="J56" s="73"/>
      <c r="K56" s="83"/>
      <c r="L56" s="74" t="s">
        <v>25</v>
      </c>
      <c r="M56" s="23"/>
      <c r="N56" s="23"/>
      <c r="O56" s="23"/>
    </row>
    <row r="57" spans="1:15" x14ac:dyDescent="0.25">
      <c r="A57" s="25"/>
      <c r="B57" s="61"/>
      <c r="C57" s="26" t="s">
        <v>25</v>
      </c>
      <c r="D57" s="20">
        <v>10327</v>
      </c>
      <c r="E57" s="82">
        <v>200</v>
      </c>
      <c r="F57" s="21" t="s">
        <v>378</v>
      </c>
      <c r="G57" s="17">
        <v>10376</v>
      </c>
      <c r="H57" s="79">
        <v>400</v>
      </c>
      <c r="I57" s="18" t="s">
        <v>354</v>
      </c>
      <c r="J57" s="73">
        <v>10423</v>
      </c>
      <c r="K57" s="83">
        <v>2000</v>
      </c>
      <c r="L57" s="74" t="s">
        <v>468</v>
      </c>
      <c r="M57" s="23"/>
      <c r="N57" s="23"/>
      <c r="O57" s="23"/>
    </row>
    <row r="58" spans="1:15" x14ac:dyDescent="0.25">
      <c r="A58" s="25">
        <v>10276</v>
      </c>
      <c r="B58" s="61">
        <v>800</v>
      </c>
      <c r="C58" s="26" t="s">
        <v>353</v>
      </c>
      <c r="D58" s="20">
        <v>10328</v>
      </c>
      <c r="E58" s="82">
        <v>800</v>
      </c>
      <c r="F58" s="21" t="s">
        <v>366</v>
      </c>
      <c r="G58" s="17">
        <v>10377</v>
      </c>
      <c r="H58" s="79">
        <v>160</v>
      </c>
      <c r="I58" s="18" t="s">
        <v>49</v>
      </c>
      <c r="J58" s="73"/>
      <c r="K58" s="83"/>
      <c r="L58" s="74" t="s">
        <v>25</v>
      </c>
      <c r="M58" s="23"/>
      <c r="N58" s="23"/>
      <c r="O58" s="23"/>
    </row>
    <row r="59" spans="1:15" x14ac:dyDescent="0.25">
      <c r="A59" s="25"/>
      <c r="B59" s="61"/>
      <c r="C59" s="26" t="s">
        <v>25</v>
      </c>
      <c r="D59" s="20"/>
      <c r="E59" s="82"/>
      <c r="F59" s="21" t="s">
        <v>25</v>
      </c>
      <c r="G59" s="17">
        <v>10378</v>
      </c>
      <c r="H59" s="79">
        <v>400</v>
      </c>
      <c r="I59" s="18"/>
      <c r="J59" s="73">
        <v>10424</v>
      </c>
      <c r="K59" s="83">
        <v>600</v>
      </c>
      <c r="L59" s="74" t="s">
        <v>469</v>
      </c>
      <c r="M59" s="23"/>
      <c r="N59" s="23"/>
      <c r="O59" s="23"/>
    </row>
    <row r="60" spans="1:15" x14ac:dyDescent="0.25">
      <c r="A60" s="25">
        <v>10277</v>
      </c>
      <c r="B60" s="61">
        <v>200</v>
      </c>
      <c r="C60" s="26"/>
      <c r="D60" s="20">
        <v>10329</v>
      </c>
      <c r="E60" s="82">
        <v>350</v>
      </c>
      <c r="F60" s="21"/>
      <c r="G60" s="17">
        <v>10379</v>
      </c>
      <c r="H60" s="79">
        <v>800</v>
      </c>
      <c r="I60" s="18" t="s">
        <v>437</v>
      </c>
      <c r="J60" s="73"/>
      <c r="K60" s="83"/>
      <c r="L60" s="74" t="s">
        <v>33</v>
      </c>
      <c r="M60" s="23"/>
      <c r="N60" s="23"/>
      <c r="O60" s="23"/>
    </row>
    <row r="61" spans="1:15" x14ac:dyDescent="0.25">
      <c r="A61" s="25">
        <v>10278</v>
      </c>
      <c r="B61" s="61">
        <v>400</v>
      </c>
      <c r="C61" s="26"/>
      <c r="D61" s="20">
        <v>10330</v>
      </c>
      <c r="E61" s="82">
        <v>400</v>
      </c>
      <c r="F61" s="21" t="s">
        <v>366</v>
      </c>
      <c r="G61" s="17"/>
      <c r="H61" s="79" t="s">
        <v>450</v>
      </c>
      <c r="I61" s="18" t="s">
        <v>25</v>
      </c>
      <c r="J61" s="73">
        <v>10425</v>
      </c>
      <c r="K61" s="83">
        <v>300</v>
      </c>
      <c r="L61" s="74"/>
      <c r="M61" s="23"/>
      <c r="N61" s="23"/>
      <c r="O61" s="23"/>
    </row>
    <row r="62" spans="1:15" x14ac:dyDescent="0.25">
      <c r="A62" s="25">
        <v>10279</v>
      </c>
      <c r="B62" s="61">
        <v>400</v>
      </c>
      <c r="C62" s="26"/>
      <c r="D62" s="20"/>
      <c r="E62" s="82"/>
      <c r="F62" s="21" t="s">
        <v>27</v>
      </c>
      <c r="G62" s="17">
        <v>10380</v>
      </c>
      <c r="H62" s="79">
        <v>800</v>
      </c>
      <c r="I62" s="18" t="s">
        <v>451</v>
      </c>
      <c r="J62" s="73">
        <v>10426</v>
      </c>
      <c r="K62" s="83">
        <v>400</v>
      </c>
      <c r="L62" s="74" t="s">
        <v>421</v>
      </c>
      <c r="M62" s="23"/>
      <c r="N62" s="23"/>
      <c r="O62" s="23"/>
    </row>
    <row r="63" spans="1:15" x14ac:dyDescent="0.25">
      <c r="A63" s="25">
        <v>10280</v>
      </c>
      <c r="B63" s="61">
        <v>400</v>
      </c>
      <c r="C63" s="26" t="s">
        <v>378</v>
      </c>
      <c r="D63" s="20">
        <v>10331</v>
      </c>
      <c r="E63" s="82">
        <v>400</v>
      </c>
      <c r="F63" s="21"/>
      <c r="G63" s="17"/>
      <c r="H63" s="79"/>
      <c r="I63" s="18" t="s">
        <v>25</v>
      </c>
      <c r="J63" s="73">
        <v>10427</v>
      </c>
      <c r="K63" s="83">
        <v>300</v>
      </c>
      <c r="L63" s="74" t="s">
        <v>378</v>
      </c>
      <c r="M63" s="23"/>
      <c r="N63" s="23"/>
      <c r="O63" s="23"/>
    </row>
    <row r="64" spans="1:15" x14ac:dyDescent="0.25">
      <c r="A64" s="25">
        <v>10281</v>
      </c>
      <c r="B64" s="61">
        <v>900</v>
      </c>
      <c r="C64" s="26" t="s">
        <v>232</v>
      </c>
      <c r="D64" s="20">
        <v>10332</v>
      </c>
      <c r="E64" s="82">
        <v>400</v>
      </c>
      <c r="F64" s="21" t="s">
        <v>378</v>
      </c>
      <c r="G64" s="17">
        <v>10381</v>
      </c>
      <c r="H64" s="79">
        <v>400</v>
      </c>
      <c r="I64" s="18"/>
      <c r="J64" s="73">
        <v>10428</v>
      </c>
      <c r="K64" s="83">
        <v>350</v>
      </c>
      <c r="L64" s="74"/>
      <c r="M64" s="23"/>
      <c r="N64" s="23"/>
      <c r="O64" s="23"/>
    </row>
    <row r="65" spans="1:15" x14ac:dyDescent="0.25">
      <c r="A65" s="25"/>
      <c r="B65" s="61"/>
      <c r="C65" s="26" t="s">
        <v>33</v>
      </c>
      <c r="D65" s="20">
        <v>10333</v>
      </c>
      <c r="E65" s="82">
        <v>1200</v>
      </c>
      <c r="F65" s="21" t="s">
        <v>272</v>
      </c>
      <c r="G65" s="17">
        <v>10382</v>
      </c>
      <c r="H65" s="79">
        <v>400</v>
      </c>
      <c r="I65" s="18" t="s">
        <v>440</v>
      </c>
      <c r="J65" s="73">
        <v>10429</v>
      </c>
      <c r="K65" s="83">
        <v>400</v>
      </c>
      <c r="L65" s="74"/>
      <c r="M65" s="23"/>
      <c r="N65" s="23"/>
      <c r="O65" s="23"/>
    </row>
    <row r="66" spans="1:15" x14ac:dyDescent="0.25">
      <c r="A66" s="25">
        <v>10282</v>
      </c>
      <c r="B66" s="61">
        <v>300</v>
      </c>
      <c r="C66" s="26"/>
      <c r="D66" s="20"/>
      <c r="E66" s="82"/>
      <c r="F66" s="21" t="s">
        <v>25</v>
      </c>
      <c r="G66" s="17">
        <v>10383</v>
      </c>
      <c r="H66" s="79">
        <v>400</v>
      </c>
      <c r="I66" s="18"/>
      <c r="J66" s="73">
        <v>10430</v>
      </c>
      <c r="K66" s="83">
        <v>500</v>
      </c>
      <c r="L66" s="74" t="s">
        <v>390</v>
      </c>
      <c r="M66" s="23"/>
      <c r="N66" s="23"/>
      <c r="O66" s="23"/>
    </row>
    <row r="67" spans="1:15" x14ac:dyDescent="0.25">
      <c r="A67" s="25">
        <v>10283</v>
      </c>
      <c r="B67" s="61">
        <v>150</v>
      </c>
      <c r="C67" s="26"/>
      <c r="D67" s="20">
        <v>10334</v>
      </c>
      <c r="E67" s="82">
        <v>400</v>
      </c>
      <c r="F67" s="21"/>
      <c r="G67" s="17">
        <v>10384</v>
      </c>
      <c r="H67" s="79">
        <v>200</v>
      </c>
      <c r="I67" s="18"/>
      <c r="J67" s="73"/>
      <c r="K67" s="83"/>
      <c r="L67" s="74" t="s">
        <v>81</v>
      </c>
      <c r="M67" s="23"/>
      <c r="N67" s="23"/>
      <c r="O67" s="23"/>
    </row>
    <row r="68" spans="1:15" x14ac:dyDescent="0.25">
      <c r="A68" s="25">
        <v>10284</v>
      </c>
      <c r="B68" s="61">
        <v>600</v>
      </c>
      <c r="C68" s="26" t="s">
        <v>430</v>
      </c>
      <c r="D68" s="20">
        <v>10335</v>
      </c>
      <c r="E68" s="82">
        <v>300</v>
      </c>
      <c r="F68" s="21" t="s">
        <v>248</v>
      </c>
      <c r="G68" s="17">
        <v>10385</v>
      </c>
      <c r="H68" s="79">
        <v>800</v>
      </c>
      <c r="I68" s="18" t="s">
        <v>366</v>
      </c>
      <c r="J68" s="73">
        <v>10431</v>
      </c>
      <c r="K68" s="83">
        <v>800</v>
      </c>
      <c r="L68" s="74" t="s">
        <v>390</v>
      </c>
      <c r="M68" s="23"/>
      <c r="N68" s="23"/>
      <c r="O68" s="23"/>
    </row>
    <row r="69" spans="1:15" x14ac:dyDescent="0.25">
      <c r="A69" s="25"/>
      <c r="B69" s="61"/>
      <c r="C69" s="26" t="s">
        <v>76</v>
      </c>
      <c r="D69" s="20">
        <v>10336</v>
      </c>
      <c r="E69" s="82">
        <v>300</v>
      </c>
      <c r="F69" s="21"/>
      <c r="G69" s="17"/>
      <c r="H69" s="79"/>
      <c r="I69" s="18" t="s">
        <v>25</v>
      </c>
      <c r="J69" s="73"/>
      <c r="K69" s="83"/>
      <c r="L69" s="74" t="s">
        <v>25</v>
      </c>
      <c r="M69" s="23"/>
      <c r="N69" s="23"/>
      <c r="O69" s="23"/>
    </row>
    <row r="70" spans="1:15" x14ac:dyDescent="0.25">
      <c r="A70" s="25">
        <v>10285</v>
      </c>
      <c r="B70" s="61">
        <v>300</v>
      </c>
      <c r="C70" s="26"/>
      <c r="D70" s="20">
        <v>10337</v>
      </c>
      <c r="E70" s="82">
        <v>400</v>
      </c>
      <c r="F70" s="21" t="s">
        <v>439</v>
      </c>
      <c r="G70" s="17">
        <v>10386</v>
      </c>
      <c r="H70" s="79">
        <v>400</v>
      </c>
      <c r="I70" s="18" t="s">
        <v>366</v>
      </c>
      <c r="J70" s="73">
        <v>10432</v>
      </c>
      <c r="K70" s="83">
        <v>1600</v>
      </c>
      <c r="L70" s="74" t="s">
        <v>470</v>
      </c>
      <c r="M70" s="23"/>
      <c r="N70" s="23"/>
      <c r="O70" s="23"/>
    </row>
    <row r="71" spans="1:15" x14ac:dyDescent="0.25">
      <c r="A71" s="25">
        <v>10286</v>
      </c>
      <c r="B71" s="61">
        <v>300</v>
      </c>
      <c r="C71" s="26"/>
      <c r="D71" s="20"/>
      <c r="E71" s="82"/>
      <c r="F71" s="21" t="s">
        <v>86</v>
      </c>
      <c r="G71" s="17"/>
      <c r="H71" s="79"/>
      <c r="I71" s="18" t="s">
        <v>27</v>
      </c>
      <c r="J71" s="73"/>
      <c r="K71" s="83"/>
      <c r="L71" s="74" t="s">
        <v>25</v>
      </c>
      <c r="M71" s="23"/>
      <c r="N71" s="23"/>
      <c r="O71" s="23"/>
    </row>
    <row r="72" spans="1:15" x14ac:dyDescent="0.25">
      <c r="A72" s="25">
        <v>10287</v>
      </c>
      <c r="B72" s="61">
        <v>460</v>
      </c>
      <c r="C72" s="26" t="s">
        <v>321</v>
      </c>
      <c r="D72" s="20">
        <v>10338</v>
      </c>
      <c r="E72" s="82">
        <v>300</v>
      </c>
      <c r="F72" s="21"/>
      <c r="G72" s="17">
        <v>10387</v>
      </c>
      <c r="H72" s="79">
        <v>400</v>
      </c>
      <c r="I72" s="18"/>
      <c r="J72" s="107">
        <v>10554</v>
      </c>
      <c r="K72" s="83">
        <v>400</v>
      </c>
      <c r="L72" s="74" t="s">
        <v>565</v>
      </c>
      <c r="M72" s="23"/>
      <c r="N72" s="23"/>
      <c r="O72" s="23"/>
    </row>
    <row r="73" spans="1:15" x14ac:dyDescent="0.25">
      <c r="A73" s="25">
        <v>10288</v>
      </c>
      <c r="B73" s="61">
        <v>500</v>
      </c>
      <c r="C73" s="26" t="s">
        <v>366</v>
      </c>
      <c r="D73" s="20">
        <v>10339</v>
      </c>
      <c r="E73" s="82"/>
      <c r="F73" s="21" t="s">
        <v>44</v>
      </c>
      <c r="G73" s="17">
        <v>10388</v>
      </c>
      <c r="H73" s="79">
        <v>560</v>
      </c>
      <c r="I73" s="18" t="s">
        <v>452</v>
      </c>
      <c r="J73" s="107">
        <v>10555</v>
      </c>
      <c r="K73" s="83">
        <v>300</v>
      </c>
      <c r="L73" s="74" t="s">
        <v>566</v>
      </c>
      <c r="M73" s="23"/>
      <c r="N73" s="23"/>
      <c r="O73" s="23"/>
    </row>
    <row r="74" spans="1:15" x14ac:dyDescent="0.25">
      <c r="A74" s="25"/>
      <c r="B74" s="61"/>
      <c r="C74" s="26" t="s">
        <v>81</v>
      </c>
      <c r="D74" s="20">
        <v>10340</v>
      </c>
      <c r="E74" s="82"/>
      <c r="F74" s="21" t="s">
        <v>44</v>
      </c>
      <c r="G74" s="17">
        <v>10389</v>
      </c>
      <c r="H74" s="79">
        <v>800</v>
      </c>
      <c r="I74" s="18" t="s">
        <v>453</v>
      </c>
      <c r="J74" s="107">
        <v>10556</v>
      </c>
      <c r="K74" s="83">
        <v>400</v>
      </c>
      <c r="L74" s="74" t="s">
        <v>566</v>
      </c>
      <c r="M74" s="23"/>
      <c r="N74" s="23"/>
      <c r="O74" s="23"/>
    </row>
    <row r="75" spans="1:15" x14ac:dyDescent="0.25">
      <c r="A75" s="25">
        <v>10289</v>
      </c>
      <c r="B75" s="61">
        <v>1200</v>
      </c>
      <c r="C75" s="26" t="s">
        <v>431</v>
      </c>
      <c r="D75" s="20">
        <v>10341</v>
      </c>
      <c r="E75" s="82">
        <v>1200</v>
      </c>
      <c r="F75" s="21" t="s">
        <v>428</v>
      </c>
      <c r="G75" s="17"/>
      <c r="H75" s="79"/>
      <c r="I75" s="18" t="s">
        <v>25</v>
      </c>
      <c r="J75" s="107"/>
      <c r="K75" s="83">
        <v>11000</v>
      </c>
      <c r="L75" s="74" t="s">
        <v>567</v>
      </c>
      <c r="M75" s="23"/>
      <c r="N75" s="23"/>
      <c r="O75" s="23"/>
    </row>
    <row r="76" spans="1:15" x14ac:dyDescent="0.25">
      <c r="A76" s="25"/>
      <c r="B76" s="61"/>
      <c r="C76" s="26" t="s">
        <v>25</v>
      </c>
      <c r="D76" s="20"/>
      <c r="E76" s="82"/>
      <c r="F76" s="21" t="s">
        <v>25</v>
      </c>
      <c r="G76" s="17"/>
      <c r="H76" s="79"/>
      <c r="I76" s="18"/>
      <c r="J76" s="107"/>
      <c r="K76" s="83"/>
      <c r="L76" s="74"/>
      <c r="M76" s="23"/>
      <c r="N76" s="23"/>
      <c r="O76" s="23"/>
    </row>
    <row r="77" spans="1:15" x14ac:dyDescent="0.25">
      <c r="A77" s="25">
        <v>10290</v>
      </c>
      <c r="B77" s="61">
        <v>320</v>
      </c>
      <c r="C77" s="26" t="s">
        <v>385</v>
      </c>
      <c r="D77" s="20"/>
      <c r="E77" s="82"/>
      <c r="F77" s="21"/>
      <c r="G77" s="17"/>
      <c r="H77" s="79"/>
      <c r="I77" s="18"/>
      <c r="J77" s="107"/>
      <c r="K77" s="83"/>
      <c r="L77" s="74"/>
      <c r="M77" s="23"/>
      <c r="N77" s="23"/>
      <c r="O77" s="23"/>
    </row>
    <row r="78" spans="1:15" x14ac:dyDescent="0.25">
      <c r="A78" s="25"/>
      <c r="B78" s="61"/>
      <c r="C78" s="26" t="s">
        <v>432</v>
      </c>
      <c r="D78" s="20"/>
      <c r="E78" s="82"/>
      <c r="F78" s="21"/>
      <c r="G78" s="17"/>
      <c r="H78" s="79"/>
      <c r="I78" s="18"/>
      <c r="J78" s="73"/>
      <c r="K78" s="83"/>
      <c r="L78" s="74"/>
      <c r="M78" s="23"/>
      <c r="N78" s="23"/>
      <c r="O78" s="23"/>
    </row>
    <row r="79" spans="1:15" x14ac:dyDescent="0.25">
      <c r="A79" s="25">
        <v>10291</v>
      </c>
      <c r="B79" s="61">
        <v>160</v>
      </c>
      <c r="C79" s="26" t="s">
        <v>23</v>
      </c>
      <c r="D79" s="20"/>
      <c r="E79" s="82"/>
      <c r="F79" s="21"/>
      <c r="G79" s="17"/>
      <c r="H79" s="79"/>
      <c r="I79" s="18"/>
      <c r="J79" s="73"/>
      <c r="K79" s="83"/>
      <c r="L79" s="74"/>
      <c r="M79" s="23"/>
      <c r="N79" s="23"/>
      <c r="O79" s="23"/>
    </row>
    <row r="80" spans="1:15" x14ac:dyDescent="0.25">
      <c r="A80" s="25"/>
      <c r="B80" s="61"/>
      <c r="C80" s="26" t="s">
        <v>433</v>
      </c>
      <c r="D80" s="20"/>
      <c r="E80" s="82"/>
      <c r="F80" s="21"/>
      <c r="G80" s="17"/>
      <c r="H80" s="79"/>
      <c r="I80" s="18"/>
      <c r="J80" s="73"/>
      <c r="K80" s="83"/>
      <c r="L80" s="74"/>
      <c r="M80" s="23"/>
      <c r="N80" s="23"/>
      <c r="O80" s="23"/>
    </row>
    <row r="81" spans="1:15" x14ac:dyDescent="0.25">
      <c r="A81" s="25">
        <v>10292</v>
      </c>
      <c r="B81" s="61">
        <v>400</v>
      </c>
      <c r="C81" s="26" t="s">
        <v>378</v>
      </c>
      <c r="D81" s="20"/>
      <c r="E81" s="82"/>
      <c r="F81" s="21"/>
      <c r="G81" s="17"/>
      <c r="H81" s="79"/>
      <c r="I81" s="18"/>
      <c r="J81" s="73"/>
      <c r="K81" s="83"/>
      <c r="L81" s="74"/>
      <c r="M81" s="23"/>
      <c r="N81" s="23"/>
      <c r="O81" s="23"/>
    </row>
    <row r="82" spans="1:15" x14ac:dyDescent="0.25">
      <c r="A82" s="25">
        <v>10293</v>
      </c>
      <c r="B82" s="61">
        <v>1200</v>
      </c>
      <c r="C82" s="26" t="s">
        <v>428</v>
      </c>
      <c r="D82" s="20"/>
      <c r="E82" s="82"/>
      <c r="F82" s="21"/>
      <c r="G82" s="17"/>
      <c r="H82" s="79"/>
      <c r="I82" s="18"/>
      <c r="J82" s="73"/>
      <c r="K82" s="83"/>
      <c r="L82" s="74"/>
      <c r="M82" s="23"/>
      <c r="N82" s="23"/>
      <c r="O82" s="23"/>
    </row>
    <row r="83" spans="1:15" x14ac:dyDescent="0.25">
      <c r="A83" s="25"/>
      <c r="B83" s="61"/>
      <c r="C83" s="26" t="s">
        <v>25</v>
      </c>
      <c r="D83" s="20"/>
      <c r="E83" s="82"/>
      <c r="F83" s="21"/>
      <c r="G83" s="17"/>
      <c r="H83" s="79"/>
      <c r="I83" s="18"/>
      <c r="J83" s="73"/>
      <c r="K83" s="83"/>
      <c r="L83" s="74"/>
      <c r="M83" s="23"/>
      <c r="N83" s="23"/>
      <c r="O83" s="23"/>
    </row>
    <row r="84" spans="1:15" x14ac:dyDescent="0.25">
      <c r="A84" s="25"/>
      <c r="B84" s="61"/>
      <c r="C84" s="26"/>
      <c r="D84" s="20"/>
      <c r="E84" s="82"/>
      <c r="F84" s="21"/>
      <c r="G84" s="17"/>
      <c r="H84" s="79"/>
      <c r="I84" s="18"/>
      <c r="J84" s="73"/>
      <c r="K84" s="83"/>
      <c r="L84" s="74"/>
      <c r="M84" s="23"/>
      <c r="N84" s="23"/>
      <c r="O84" s="23"/>
    </row>
    <row r="85" spans="1:15" x14ac:dyDescent="0.25">
      <c r="A85" s="25"/>
      <c r="B85" s="61"/>
      <c r="C85" s="26"/>
      <c r="D85" s="20"/>
      <c r="E85" s="82"/>
      <c r="F85" s="21"/>
      <c r="G85" s="17"/>
      <c r="H85" s="79"/>
      <c r="I85" s="18"/>
      <c r="J85" s="73"/>
      <c r="K85" s="83"/>
      <c r="L85" s="74"/>
      <c r="M85" s="23"/>
      <c r="N85" s="23"/>
      <c r="O85" s="23"/>
    </row>
    <row r="86" spans="1:15" x14ac:dyDescent="0.25">
      <c r="A86" s="25"/>
      <c r="B86" s="61"/>
      <c r="C86" s="26"/>
      <c r="D86" s="20"/>
      <c r="E86" s="82"/>
      <c r="F86" s="21"/>
      <c r="G86" s="17"/>
      <c r="H86" s="79"/>
      <c r="I86" s="18"/>
      <c r="J86" s="73"/>
      <c r="K86" s="83"/>
      <c r="L86" s="74"/>
      <c r="M86" s="23"/>
      <c r="N86" s="23"/>
      <c r="O86" s="23"/>
    </row>
    <row r="87" spans="1:15" x14ac:dyDescent="0.25">
      <c r="A87" s="25"/>
      <c r="B87" s="61"/>
      <c r="C87" s="26"/>
      <c r="D87" s="20"/>
      <c r="E87" s="82"/>
      <c r="F87" s="21"/>
      <c r="G87" s="17"/>
      <c r="H87" s="79"/>
      <c r="I87" s="18"/>
      <c r="J87" s="73"/>
      <c r="K87" s="83"/>
      <c r="L87" s="74"/>
      <c r="M87" s="23"/>
      <c r="N87" s="23"/>
      <c r="O87" s="23"/>
    </row>
    <row r="88" spans="1:15" x14ac:dyDescent="0.25">
      <c r="A88" s="25"/>
      <c r="B88" s="61"/>
      <c r="C88" s="26"/>
      <c r="D88" s="20"/>
      <c r="E88" s="82"/>
      <c r="F88" s="21"/>
      <c r="G88" s="17"/>
      <c r="H88" s="79"/>
      <c r="I88" s="18"/>
      <c r="J88" s="73"/>
      <c r="K88" s="83"/>
      <c r="L88" s="74"/>
      <c r="M88" s="23"/>
      <c r="N88" s="23"/>
      <c r="O88" s="23"/>
    </row>
    <row r="89" spans="1:15" x14ac:dyDescent="0.25">
      <c r="A89" s="25"/>
      <c r="B89" s="61"/>
      <c r="C89" s="26"/>
      <c r="D89" s="20"/>
      <c r="E89" s="82"/>
      <c r="F89" s="21"/>
      <c r="G89" s="17"/>
      <c r="H89" s="79"/>
      <c r="I89" s="18"/>
      <c r="J89" s="73"/>
      <c r="K89" s="83"/>
      <c r="L89" s="74"/>
      <c r="M89" s="23"/>
      <c r="N89" s="23"/>
      <c r="O89" s="23"/>
    </row>
    <row r="90" spans="1:15" x14ac:dyDescent="0.25">
      <c r="A90" s="25"/>
      <c r="B90" s="61"/>
      <c r="C90" s="26"/>
      <c r="D90" s="20"/>
      <c r="E90" s="82"/>
      <c r="F90" s="21"/>
      <c r="G90" s="17"/>
      <c r="H90" s="79"/>
      <c r="I90" s="18"/>
      <c r="J90" s="73"/>
      <c r="K90" s="83"/>
      <c r="L90" s="74"/>
      <c r="M90" s="23"/>
      <c r="N90" s="23"/>
      <c r="O90" s="23"/>
    </row>
    <row r="91" spans="1:15" x14ac:dyDescent="0.25">
      <c r="A91" s="25"/>
      <c r="B91" s="61"/>
      <c r="C91" s="26"/>
      <c r="D91" s="20"/>
      <c r="E91" s="82"/>
      <c r="F91" s="21"/>
      <c r="G91" s="17"/>
      <c r="H91" s="79"/>
      <c r="I91" s="18"/>
      <c r="J91" s="73"/>
      <c r="K91" s="83"/>
      <c r="L91" s="74"/>
      <c r="M91" s="23"/>
      <c r="N91" s="23"/>
      <c r="O91" s="23"/>
    </row>
    <row r="92" spans="1:15" x14ac:dyDescent="0.25">
      <c r="A92" s="25"/>
      <c r="B92" s="61"/>
      <c r="C92" s="26"/>
      <c r="D92" s="20"/>
      <c r="E92" s="82"/>
      <c r="F92" s="21"/>
      <c r="G92" s="17"/>
      <c r="H92" s="79"/>
      <c r="I92" s="18"/>
      <c r="J92" s="73"/>
      <c r="K92" s="83"/>
      <c r="L92" s="74"/>
      <c r="M92" s="23"/>
      <c r="N92" s="23"/>
      <c r="O92" s="23"/>
    </row>
    <row r="93" spans="1:15" x14ac:dyDescent="0.25">
      <c r="A93" s="25"/>
      <c r="B93" s="61"/>
      <c r="C93" s="26"/>
      <c r="D93" s="20"/>
      <c r="E93" s="82"/>
      <c r="F93" s="21"/>
      <c r="G93" s="17"/>
      <c r="H93" s="79"/>
      <c r="I93" s="18"/>
      <c r="J93" s="73"/>
      <c r="K93" s="83"/>
      <c r="L93" s="74"/>
      <c r="M93" s="23"/>
      <c r="N93" s="23"/>
      <c r="O93" s="23"/>
    </row>
    <row r="94" spans="1:15" x14ac:dyDescent="0.25">
      <c r="A94" s="25"/>
      <c r="B94" s="61"/>
      <c r="C94" s="26"/>
      <c r="D94" s="20"/>
      <c r="E94" s="82"/>
      <c r="F94" s="21"/>
      <c r="G94" s="17"/>
      <c r="H94" s="79"/>
      <c r="I94" s="18"/>
      <c r="J94" s="73"/>
      <c r="K94" s="83"/>
      <c r="L94" s="74"/>
      <c r="M94" s="23"/>
      <c r="N94" s="23"/>
      <c r="O94" s="23"/>
    </row>
    <row r="95" spans="1:15" x14ac:dyDescent="0.25">
      <c r="A95" s="25"/>
      <c r="B95" s="61"/>
      <c r="C95" s="26"/>
      <c r="D95" s="20"/>
      <c r="E95" s="82"/>
      <c r="F95" s="21"/>
      <c r="G95" s="17"/>
      <c r="H95" s="79"/>
      <c r="I95" s="18"/>
      <c r="J95" s="73"/>
      <c r="K95" s="83"/>
      <c r="L95" s="74"/>
      <c r="M95" s="23"/>
      <c r="N95" s="23"/>
      <c r="O95" s="23"/>
    </row>
    <row r="96" spans="1:15" x14ac:dyDescent="0.25">
      <c r="A96" s="25"/>
      <c r="B96" s="61"/>
      <c r="C96" s="26"/>
      <c r="D96" s="20"/>
      <c r="E96" s="82"/>
      <c r="F96" s="21"/>
      <c r="G96" s="17"/>
      <c r="H96" s="79"/>
      <c r="I96" s="18"/>
      <c r="J96" s="73"/>
      <c r="K96" s="83"/>
      <c r="L96" s="74"/>
      <c r="M96" s="23"/>
      <c r="N96" s="23"/>
      <c r="O96" s="23"/>
    </row>
    <row r="97" spans="1:15" x14ac:dyDescent="0.25">
      <c r="A97" s="25"/>
      <c r="B97" s="61"/>
      <c r="C97" s="26"/>
      <c r="D97" s="20"/>
      <c r="E97" s="82"/>
      <c r="F97" s="21"/>
      <c r="G97" s="17"/>
      <c r="H97" s="79"/>
      <c r="I97" s="18"/>
      <c r="J97" s="73"/>
      <c r="K97" s="83"/>
      <c r="L97" s="74"/>
      <c r="M97" s="23"/>
      <c r="N97" s="23"/>
      <c r="O97" s="23"/>
    </row>
    <row r="98" spans="1:15" x14ac:dyDescent="0.25">
      <c r="A98" s="25"/>
      <c r="B98" s="61"/>
      <c r="C98" s="26"/>
      <c r="D98" s="20"/>
      <c r="E98" s="82"/>
      <c r="F98" s="21"/>
      <c r="G98" s="17"/>
      <c r="H98" s="79"/>
      <c r="I98" s="18"/>
      <c r="J98" s="73"/>
      <c r="K98" s="83"/>
      <c r="L98" s="74"/>
      <c r="M98" s="23"/>
      <c r="N98" s="23"/>
      <c r="O98" s="23"/>
    </row>
    <row r="99" spans="1:15" x14ac:dyDescent="0.25">
      <c r="A99" s="25"/>
      <c r="B99" s="61"/>
      <c r="C99" s="26"/>
      <c r="D99" s="20"/>
      <c r="E99" s="82"/>
      <c r="F99" s="21"/>
      <c r="G99" s="17"/>
      <c r="H99" s="79"/>
      <c r="I99" s="18"/>
      <c r="J99" s="73"/>
      <c r="K99" s="83"/>
      <c r="L99" s="74"/>
      <c r="M99" s="23"/>
      <c r="N99" s="23"/>
      <c r="O99" s="23"/>
    </row>
    <row r="100" spans="1:15" x14ac:dyDescent="0.25">
      <c r="A100" s="25"/>
      <c r="B100" s="61"/>
      <c r="C100" s="26"/>
      <c r="D100" s="20"/>
      <c r="E100" s="82"/>
      <c r="F100" s="21"/>
      <c r="G100" s="17"/>
      <c r="H100" s="79"/>
      <c r="I100" s="18"/>
      <c r="J100" s="73"/>
      <c r="K100" s="83"/>
      <c r="L100" s="74"/>
      <c r="M100" s="23"/>
      <c r="N100" s="23"/>
      <c r="O100" s="23"/>
    </row>
    <row r="101" spans="1:15" x14ac:dyDescent="0.25">
      <c r="A101" s="25"/>
      <c r="B101" s="61"/>
      <c r="C101" s="26"/>
      <c r="D101" s="20"/>
      <c r="E101" s="82"/>
      <c r="F101" s="21"/>
      <c r="G101" s="17"/>
      <c r="H101" s="79"/>
      <c r="I101" s="18"/>
      <c r="J101" s="73"/>
      <c r="K101" s="83"/>
      <c r="L101" s="74"/>
      <c r="M101" s="23"/>
      <c r="N101" s="23"/>
      <c r="O101" s="23"/>
    </row>
    <row r="102" spans="1:15" x14ac:dyDescent="0.25">
      <c r="A102" s="25"/>
      <c r="B102" s="61"/>
      <c r="C102" s="26"/>
      <c r="D102" s="20"/>
      <c r="E102" s="82"/>
      <c r="F102" s="21"/>
      <c r="G102" s="17"/>
      <c r="H102" s="79"/>
      <c r="I102" s="18"/>
      <c r="J102" s="73"/>
      <c r="K102" s="83"/>
      <c r="L102" s="74"/>
      <c r="M102" s="23"/>
      <c r="N102" s="23"/>
      <c r="O102" s="23"/>
    </row>
    <row r="103" spans="1:15" x14ac:dyDescent="0.25">
      <c r="A103" s="25"/>
      <c r="B103" s="61"/>
      <c r="C103" s="26"/>
      <c r="D103" s="20"/>
      <c r="E103" s="82"/>
      <c r="F103" s="21"/>
      <c r="G103" s="17"/>
      <c r="H103" s="79"/>
      <c r="I103" s="18"/>
      <c r="J103" s="73"/>
      <c r="K103" s="83"/>
      <c r="L103" s="74"/>
      <c r="M103" s="23"/>
      <c r="N103" s="23"/>
      <c r="O103" s="23"/>
    </row>
    <row r="104" spans="1:15" x14ac:dyDescent="0.25">
      <c r="A104" s="25"/>
      <c r="B104" s="61"/>
      <c r="C104" s="26"/>
      <c r="D104" s="20"/>
      <c r="E104" s="82"/>
      <c r="F104" s="21"/>
      <c r="G104" s="17"/>
      <c r="H104" s="79"/>
      <c r="I104" s="18"/>
      <c r="J104" s="73"/>
      <c r="K104" s="83"/>
      <c r="L104" s="74"/>
      <c r="M104" s="23"/>
      <c r="N104" s="23"/>
      <c r="O104" s="23"/>
    </row>
    <row r="105" spans="1:15" x14ac:dyDescent="0.25">
      <c r="A105" s="25"/>
      <c r="B105" s="61"/>
      <c r="C105" s="26"/>
      <c r="D105" s="20"/>
      <c r="E105" s="82"/>
      <c r="F105" s="21"/>
      <c r="G105" s="17"/>
      <c r="H105" s="79"/>
      <c r="I105" s="18"/>
      <c r="J105" s="73"/>
      <c r="K105" s="83"/>
      <c r="L105" s="74"/>
      <c r="M105" s="23"/>
      <c r="N105" s="23"/>
      <c r="O105" s="23"/>
    </row>
    <row r="106" spans="1:15" x14ac:dyDescent="0.25">
      <c r="A106" s="25"/>
      <c r="B106" s="61"/>
      <c r="C106" s="26"/>
      <c r="D106" s="20"/>
      <c r="E106" s="82"/>
      <c r="F106" s="21"/>
      <c r="G106" s="17"/>
      <c r="H106" s="79"/>
      <c r="I106" s="18"/>
      <c r="J106" s="73"/>
      <c r="K106" s="83"/>
      <c r="L106" s="74"/>
      <c r="M106" s="23"/>
      <c r="N106" s="23"/>
      <c r="O106" s="23"/>
    </row>
    <row r="107" spans="1:15" x14ac:dyDescent="0.25">
      <c r="A107" s="25"/>
      <c r="B107" s="61"/>
      <c r="C107" s="26"/>
      <c r="D107" s="20"/>
      <c r="E107" s="82"/>
      <c r="F107" s="21"/>
      <c r="G107" s="17"/>
      <c r="H107" s="79"/>
      <c r="I107" s="18"/>
      <c r="J107" s="73"/>
      <c r="K107" s="83"/>
      <c r="L107" s="74"/>
      <c r="M107" s="23"/>
      <c r="N107" s="23"/>
      <c r="O107" s="23"/>
    </row>
    <row r="108" spans="1:15" x14ac:dyDescent="0.25">
      <c r="A108" s="25"/>
      <c r="B108" s="61"/>
      <c r="C108" s="26"/>
      <c r="D108" s="20"/>
      <c r="E108" s="82"/>
      <c r="F108" s="21"/>
      <c r="G108" s="17"/>
      <c r="H108" s="79"/>
      <c r="I108" s="18"/>
      <c r="J108" s="73"/>
      <c r="K108" s="83"/>
      <c r="L108" s="74"/>
      <c r="M108" s="23"/>
      <c r="N108" s="23"/>
      <c r="O108" s="23"/>
    </row>
    <row r="109" spans="1:15" x14ac:dyDescent="0.25">
      <c r="A109" s="25"/>
      <c r="B109" s="61"/>
      <c r="C109" s="26"/>
      <c r="D109" s="20"/>
      <c r="E109" s="82"/>
      <c r="F109" s="21"/>
      <c r="G109" s="17"/>
      <c r="H109" s="79"/>
      <c r="I109" s="18"/>
      <c r="J109" s="73"/>
      <c r="K109" s="83"/>
      <c r="L109" s="74"/>
      <c r="M109" s="23"/>
      <c r="N109" s="23"/>
      <c r="O109" s="23"/>
    </row>
    <row r="110" spans="1:15" x14ac:dyDescent="0.25">
      <c r="A110" s="25"/>
      <c r="B110" s="61"/>
      <c r="C110" s="26"/>
      <c r="D110" s="20"/>
      <c r="E110" s="82"/>
      <c r="F110" s="21"/>
      <c r="G110" s="17"/>
      <c r="H110" s="79"/>
      <c r="I110" s="18"/>
      <c r="J110" s="73"/>
      <c r="K110" s="83"/>
      <c r="L110" s="74"/>
      <c r="M110" s="23"/>
      <c r="N110" s="23"/>
      <c r="O110" s="23"/>
    </row>
    <row r="111" spans="1:15" x14ac:dyDescent="0.25">
      <c r="A111" s="25"/>
      <c r="B111" s="61"/>
      <c r="C111" s="26"/>
      <c r="D111" s="20"/>
      <c r="E111" s="82"/>
      <c r="F111" s="21"/>
      <c r="G111" s="17"/>
      <c r="H111" s="79"/>
      <c r="I111" s="18"/>
      <c r="J111" s="73"/>
      <c r="K111" s="83"/>
      <c r="L111" s="74"/>
      <c r="M111" s="23"/>
      <c r="N111" s="23"/>
      <c r="O111" s="23"/>
    </row>
    <row r="112" spans="1:15" x14ac:dyDescent="0.25">
      <c r="A112" s="25"/>
      <c r="B112" s="61"/>
      <c r="C112" s="26"/>
      <c r="D112" s="20"/>
      <c r="E112" s="82"/>
      <c r="F112" s="21"/>
      <c r="G112" s="17"/>
      <c r="H112" s="79"/>
      <c r="I112" s="18"/>
      <c r="J112" s="73"/>
      <c r="K112" s="83"/>
      <c r="L112" s="74"/>
      <c r="M112" s="23"/>
      <c r="N112" s="23"/>
      <c r="O112" s="23"/>
    </row>
    <row r="113" spans="1:15" x14ac:dyDescent="0.25">
      <c r="A113" s="25"/>
      <c r="B113" s="61"/>
      <c r="C113" s="26"/>
      <c r="D113" s="20"/>
      <c r="E113" s="82"/>
      <c r="F113" s="21"/>
      <c r="G113" s="17"/>
      <c r="H113" s="79"/>
      <c r="I113" s="18"/>
      <c r="J113" s="73"/>
      <c r="K113" s="83"/>
      <c r="L113" s="74"/>
      <c r="M113" s="23"/>
      <c r="N113" s="23"/>
      <c r="O113" s="23"/>
    </row>
    <row r="114" spans="1:15" x14ac:dyDescent="0.25">
      <c r="A114" s="25"/>
      <c r="B114" s="61"/>
      <c r="C114" s="26"/>
      <c r="D114" s="20"/>
      <c r="E114" s="82"/>
      <c r="F114" s="21"/>
      <c r="G114" s="17"/>
      <c r="H114" s="79"/>
      <c r="I114" s="18"/>
      <c r="J114" s="73"/>
      <c r="K114" s="83"/>
      <c r="L114" s="74"/>
      <c r="M114" s="23"/>
      <c r="N114" s="23"/>
      <c r="O114" s="23"/>
    </row>
    <row r="115" spans="1:15" x14ac:dyDescent="0.25">
      <c r="A115" s="37"/>
      <c r="B115" s="78"/>
      <c r="C115" s="70"/>
      <c r="D115" s="37"/>
      <c r="E115" s="70"/>
      <c r="F115" s="70"/>
      <c r="G115" s="37"/>
      <c r="H115" s="70"/>
      <c r="I115" s="70"/>
      <c r="J115" s="73"/>
      <c r="K115" s="83"/>
      <c r="L115" s="74"/>
      <c r="M115" s="70"/>
      <c r="N115" s="70"/>
      <c r="O115" s="70"/>
    </row>
    <row r="116" spans="1:15" x14ac:dyDescent="0.25">
      <c r="A116" s="37"/>
      <c r="B116" s="78"/>
      <c r="C116" s="70"/>
      <c r="D116" s="37"/>
      <c r="E116" s="70"/>
      <c r="F116" s="70"/>
      <c r="G116" s="37"/>
      <c r="H116" s="70"/>
      <c r="I116" s="70"/>
      <c r="J116" s="37"/>
      <c r="K116" s="70"/>
      <c r="L116" s="70"/>
      <c r="M116" s="70"/>
      <c r="N116" s="70"/>
      <c r="O116" s="70"/>
    </row>
    <row r="117" spans="1:15" x14ac:dyDescent="0.25">
      <c r="A117" s="37"/>
      <c r="B117" s="78"/>
      <c r="C117" s="70"/>
      <c r="D117" s="37"/>
      <c r="E117" s="70"/>
      <c r="F117" s="70"/>
      <c r="G117" s="37"/>
      <c r="H117" s="70"/>
      <c r="I117" s="70"/>
      <c r="J117" s="37"/>
      <c r="K117" s="70"/>
      <c r="L117" s="70"/>
      <c r="M117" s="70"/>
      <c r="N117" s="70"/>
      <c r="O117" s="70"/>
    </row>
    <row r="118" spans="1:15" x14ac:dyDescent="0.25">
      <c r="A118" s="37"/>
      <c r="B118" s="78"/>
      <c r="C118" s="70"/>
      <c r="D118" s="37"/>
      <c r="E118" s="70"/>
      <c r="F118" s="70"/>
      <c r="G118" s="37"/>
      <c r="H118" s="70"/>
      <c r="I118" s="70"/>
      <c r="J118" s="37"/>
      <c r="K118" s="70"/>
      <c r="L118" s="70"/>
      <c r="M118" s="70"/>
      <c r="N118" s="70"/>
      <c r="O118" s="70"/>
    </row>
    <row r="119" spans="1:15" x14ac:dyDescent="0.25">
      <c r="A119" s="37"/>
      <c r="B119" s="78"/>
      <c r="C119" s="70"/>
      <c r="D119" s="37"/>
      <c r="E119" s="70"/>
      <c r="F119" s="70"/>
      <c r="G119" s="37"/>
      <c r="H119" s="70"/>
      <c r="I119" s="70"/>
      <c r="J119" s="37"/>
      <c r="K119" s="70"/>
      <c r="L119" s="70"/>
      <c r="M119" s="70"/>
      <c r="N119" s="70"/>
      <c r="O119" s="70"/>
    </row>
    <row r="120" spans="1:15" x14ac:dyDescent="0.25">
      <c r="A120" s="37"/>
      <c r="B120" s="78"/>
      <c r="C120" s="70"/>
      <c r="D120" s="37"/>
      <c r="E120" s="70"/>
      <c r="F120" s="70"/>
      <c r="G120" s="37"/>
      <c r="H120" s="70"/>
      <c r="I120" s="70"/>
      <c r="J120" s="37"/>
      <c r="K120" s="70"/>
      <c r="L120" s="70"/>
      <c r="M120" s="70"/>
      <c r="N120" s="70"/>
      <c r="O120" s="70"/>
    </row>
    <row r="121" spans="1:15" x14ac:dyDescent="0.25">
      <c r="A121" s="37"/>
      <c r="B121" s="78"/>
      <c r="C121" s="70"/>
      <c r="D121" s="37"/>
      <c r="E121" s="70"/>
      <c r="F121" s="70"/>
      <c r="G121" s="37"/>
      <c r="H121" s="70"/>
      <c r="I121" s="70"/>
      <c r="J121" s="37"/>
      <c r="K121" s="70"/>
      <c r="L121" s="70"/>
      <c r="M121" s="70"/>
      <c r="N121" s="70"/>
      <c r="O121" s="70"/>
    </row>
    <row r="122" spans="1:15" x14ac:dyDescent="0.25">
      <c r="A122" s="37"/>
      <c r="B122" s="78"/>
      <c r="C122" s="70"/>
      <c r="D122" s="37"/>
      <c r="E122" s="70"/>
      <c r="F122" s="70"/>
      <c r="G122" s="37"/>
      <c r="H122" s="70"/>
      <c r="I122" s="70"/>
      <c r="J122" s="37"/>
      <c r="K122" s="70"/>
      <c r="L122" s="70"/>
      <c r="M122" s="70"/>
      <c r="N122" s="70"/>
      <c r="O122" s="70"/>
    </row>
    <row r="123" spans="1:15" x14ac:dyDescent="0.25">
      <c r="A123" s="37"/>
      <c r="B123" s="78"/>
      <c r="C123" s="70"/>
      <c r="D123" s="37"/>
      <c r="E123" s="70"/>
      <c r="F123" s="70"/>
      <c r="G123" s="37"/>
      <c r="H123" s="70"/>
      <c r="I123" s="70"/>
      <c r="J123" s="37"/>
      <c r="K123" s="70"/>
      <c r="L123" s="70"/>
      <c r="M123" s="70"/>
      <c r="N123" s="70"/>
      <c r="O123" s="70"/>
    </row>
    <row r="124" spans="1:15" x14ac:dyDescent="0.25">
      <c r="A124" s="37"/>
      <c r="B124" s="78"/>
      <c r="C124" s="70"/>
      <c r="D124" s="37"/>
      <c r="E124" s="70"/>
      <c r="F124" s="70"/>
      <c r="G124" s="37"/>
      <c r="H124" s="70"/>
      <c r="I124" s="70"/>
      <c r="J124" s="37"/>
      <c r="K124" s="70"/>
      <c r="L124" s="70"/>
      <c r="M124" s="70"/>
      <c r="N124" s="70"/>
      <c r="O124" s="70"/>
    </row>
    <row r="125" spans="1:15" x14ac:dyDescent="0.25">
      <c r="A125" s="37"/>
      <c r="B125" s="78"/>
      <c r="C125" s="70"/>
      <c r="D125" s="37"/>
      <c r="E125" s="70"/>
      <c r="F125" s="70"/>
      <c r="G125" s="37"/>
      <c r="H125" s="70"/>
      <c r="I125" s="70"/>
      <c r="J125" s="37"/>
      <c r="K125" s="70"/>
      <c r="L125" s="70"/>
      <c r="M125" s="70"/>
      <c r="N125" s="70"/>
      <c r="O125" s="70"/>
    </row>
    <row r="126" spans="1:15" x14ac:dyDescent="0.25">
      <c r="A126" s="37"/>
      <c r="B126" s="78"/>
      <c r="C126" s="70"/>
      <c r="D126" s="37"/>
      <c r="E126" s="70"/>
      <c r="F126" s="70"/>
      <c r="G126" s="37"/>
      <c r="H126" s="70"/>
      <c r="I126" s="70"/>
      <c r="J126" s="37"/>
      <c r="K126" s="70"/>
      <c r="L126" s="70"/>
      <c r="M126" s="70"/>
      <c r="N126" s="70"/>
      <c r="O126" s="70"/>
    </row>
    <row r="127" spans="1:15" x14ac:dyDescent="0.25">
      <c r="A127" s="37"/>
      <c r="B127" s="78"/>
      <c r="C127" s="70"/>
      <c r="D127" s="37"/>
      <c r="E127" s="70"/>
      <c r="F127" s="70"/>
      <c r="G127" s="37"/>
      <c r="H127" s="70"/>
      <c r="I127" s="70"/>
      <c r="J127" s="37"/>
      <c r="K127" s="70"/>
      <c r="L127" s="70"/>
      <c r="M127" s="70"/>
      <c r="N127" s="70"/>
      <c r="O127" s="70"/>
    </row>
    <row r="128" spans="1:15" x14ac:dyDescent="0.25">
      <c r="A128" s="37"/>
      <c r="B128" s="78"/>
      <c r="C128" s="70"/>
      <c r="D128" s="37"/>
      <c r="E128" s="70"/>
      <c r="F128" s="70"/>
      <c r="G128" s="37"/>
      <c r="H128" s="70"/>
      <c r="I128" s="70"/>
      <c r="J128" s="37"/>
      <c r="K128" s="70"/>
      <c r="L128" s="70"/>
      <c r="M128" s="70"/>
      <c r="N128" s="70"/>
      <c r="O128" s="70"/>
    </row>
    <row r="129" spans="1:15" x14ac:dyDescent="0.25">
      <c r="A129" s="37"/>
      <c r="B129" s="78"/>
      <c r="C129" s="70"/>
      <c r="D129" s="37"/>
      <c r="E129" s="70"/>
      <c r="F129" s="70"/>
      <c r="G129" s="37"/>
      <c r="H129" s="70"/>
      <c r="I129" s="70"/>
      <c r="J129" s="37"/>
      <c r="K129" s="70"/>
      <c r="L129" s="70"/>
      <c r="M129" s="70"/>
      <c r="N129" s="70"/>
      <c r="O129" s="70"/>
    </row>
    <row r="130" spans="1:15" x14ac:dyDescent="0.25">
      <c r="A130" s="37"/>
      <c r="B130" s="78"/>
      <c r="C130" s="70"/>
      <c r="D130" s="37"/>
      <c r="E130" s="70"/>
      <c r="F130" s="70"/>
      <c r="G130" s="37"/>
      <c r="H130" s="70"/>
      <c r="I130" s="70"/>
      <c r="J130" s="37"/>
      <c r="K130" s="70"/>
      <c r="L130" s="70"/>
      <c r="M130" s="70"/>
      <c r="N130" s="70"/>
      <c r="O130" s="70"/>
    </row>
    <row r="131" spans="1:15" x14ac:dyDescent="0.25">
      <c r="A131" s="37"/>
      <c r="B131" s="78"/>
      <c r="C131" s="70"/>
      <c r="D131" s="37"/>
      <c r="E131" s="70"/>
      <c r="F131" s="70"/>
      <c r="G131" s="37"/>
      <c r="H131" s="70"/>
      <c r="I131" s="70"/>
      <c r="J131" s="37"/>
      <c r="K131" s="70"/>
      <c r="L131" s="70"/>
      <c r="M131" s="70"/>
      <c r="N131" s="70"/>
      <c r="O131" s="70"/>
    </row>
    <row r="132" spans="1:15" x14ac:dyDescent="0.25">
      <c r="A132" s="37"/>
      <c r="B132" s="78"/>
      <c r="C132" s="70"/>
      <c r="D132" s="37"/>
      <c r="E132" s="70"/>
      <c r="F132" s="70"/>
      <c r="G132" s="37"/>
      <c r="H132" s="70"/>
      <c r="I132" s="70"/>
      <c r="J132" s="37"/>
      <c r="K132" s="70"/>
      <c r="L132" s="70"/>
      <c r="M132" s="70"/>
      <c r="N132" s="70"/>
      <c r="O132" s="70"/>
    </row>
    <row r="133" spans="1:15" x14ac:dyDescent="0.25">
      <c r="A133" s="37"/>
      <c r="B133" s="78"/>
      <c r="C133" s="70"/>
      <c r="D133" s="37"/>
      <c r="E133" s="70"/>
      <c r="F133" s="70"/>
      <c r="G133" s="37"/>
      <c r="H133" s="70"/>
      <c r="I133" s="70"/>
      <c r="J133" s="37"/>
      <c r="K133" s="70"/>
      <c r="L133" s="70"/>
      <c r="M133" s="70"/>
      <c r="N133" s="70"/>
      <c r="O133" s="70"/>
    </row>
    <row r="134" spans="1:15" x14ac:dyDescent="0.25">
      <c r="A134" s="37"/>
      <c r="B134" s="78"/>
      <c r="C134" s="70"/>
      <c r="D134" s="37"/>
      <c r="E134" s="70"/>
      <c r="F134" s="70"/>
      <c r="G134" s="37"/>
      <c r="H134" s="70"/>
      <c r="I134" s="70"/>
      <c r="J134" s="37"/>
      <c r="K134" s="70"/>
      <c r="L134" s="70"/>
      <c r="M134" s="70"/>
      <c r="N134" s="70"/>
      <c r="O134" s="70"/>
    </row>
    <row r="135" spans="1:15" x14ac:dyDescent="0.25">
      <c r="A135" s="37"/>
      <c r="B135" s="78"/>
      <c r="C135" s="70"/>
      <c r="D135" s="37"/>
      <c r="E135" s="70"/>
      <c r="F135" s="70"/>
      <c r="G135" s="37"/>
      <c r="H135" s="70"/>
      <c r="I135" s="70"/>
      <c r="J135" s="37"/>
      <c r="K135" s="70"/>
      <c r="L135" s="70"/>
      <c r="M135" s="70"/>
      <c r="N135" s="70"/>
      <c r="O135" s="70"/>
    </row>
    <row r="136" spans="1:15" x14ac:dyDescent="0.25">
      <c r="A136" s="37"/>
      <c r="B136" s="78"/>
      <c r="C136" s="70"/>
      <c r="D136" s="37"/>
      <c r="E136" s="70"/>
      <c r="F136" s="70"/>
      <c r="G136" s="37"/>
      <c r="H136" s="70"/>
      <c r="I136" s="70"/>
      <c r="J136" s="37"/>
      <c r="K136" s="70"/>
      <c r="L136" s="70"/>
      <c r="M136" s="70"/>
      <c r="N136" s="70"/>
      <c r="O136" s="70"/>
    </row>
    <row r="137" spans="1:15" x14ac:dyDescent="0.25">
      <c r="A137" s="37"/>
      <c r="B137" s="78"/>
      <c r="C137" s="70"/>
      <c r="D137" s="37"/>
      <c r="E137" s="70"/>
      <c r="F137" s="70"/>
      <c r="G137" s="37"/>
      <c r="H137" s="70"/>
      <c r="I137" s="70"/>
      <c r="J137" s="37"/>
      <c r="K137" s="70"/>
      <c r="L137" s="70"/>
      <c r="M137" s="70"/>
      <c r="N137" s="70"/>
      <c r="O137" s="70"/>
    </row>
    <row r="138" spans="1:15" x14ac:dyDescent="0.25">
      <c r="A138" s="37"/>
      <c r="B138" s="78"/>
      <c r="C138" s="70"/>
      <c r="D138" s="37"/>
      <c r="E138" s="70"/>
      <c r="F138" s="70"/>
      <c r="G138" s="37"/>
      <c r="H138" s="70"/>
      <c r="I138" s="70"/>
      <c r="J138" s="37"/>
      <c r="K138" s="70"/>
      <c r="L138" s="70"/>
      <c r="M138" s="70"/>
      <c r="N138" s="70"/>
      <c r="O138" s="70"/>
    </row>
    <row r="139" spans="1:15" x14ac:dyDescent="0.25">
      <c r="A139" s="37"/>
      <c r="B139" s="78"/>
      <c r="C139" s="70"/>
      <c r="D139" s="37"/>
      <c r="E139" s="70"/>
      <c r="F139" s="70"/>
      <c r="G139" s="37"/>
      <c r="H139" s="70"/>
      <c r="I139" s="70"/>
      <c r="J139" s="37"/>
      <c r="K139" s="70"/>
      <c r="L139" s="70"/>
      <c r="M139" s="70"/>
      <c r="N139" s="70"/>
      <c r="O139" s="70"/>
    </row>
    <row r="140" spans="1:15" x14ac:dyDescent="0.25">
      <c r="A140" s="37"/>
      <c r="B140" s="78"/>
      <c r="C140" s="70"/>
      <c r="D140" s="37"/>
      <c r="E140" s="70"/>
      <c r="F140" s="70"/>
      <c r="G140" s="37"/>
      <c r="H140" s="70"/>
      <c r="I140" s="70"/>
      <c r="J140" s="37"/>
      <c r="K140" s="70"/>
      <c r="L140" s="70"/>
      <c r="M140" s="70"/>
      <c r="N140" s="70"/>
      <c r="O140" s="70"/>
    </row>
    <row r="141" spans="1:15" x14ac:dyDescent="0.25">
      <c r="A141" s="37"/>
      <c r="B141" s="78"/>
      <c r="C141" s="70"/>
      <c r="D141" s="37"/>
      <c r="E141" s="70"/>
      <c r="F141" s="70"/>
      <c r="G141" s="37"/>
      <c r="H141" s="70"/>
      <c r="I141" s="70"/>
      <c r="J141" s="37"/>
      <c r="K141" s="70"/>
      <c r="L141" s="70"/>
      <c r="M141" s="70"/>
      <c r="N141" s="70"/>
      <c r="O141" s="70"/>
    </row>
    <row r="142" spans="1:15" x14ac:dyDescent="0.25">
      <c r="A142" s="37"/>
      <c r="B142" s="78"/>
      <c r="C142" s="70"/>
      <c r="D142" s="37"/>
      <c r="E142" s="70"/>
      <c r="F142" s="70"/>
      <c r="G142" s="37"/>
      <c r="H142" s="70"/>
      <c r="I142" s="70"/>
      <c r="J142" s="37"/>
      <c r="K142" s="70"/>
      <c r="L142" s="70"/>
      <c r="M142" s="70"/>
      <c r="N142" s="70"/>
      <c r="O142" s="70"/>
    </row>
    <row r="143" spans="1:15" x14ac:dyDescent="0.25">
      <c r="A143" s="37"/>
      <c r="B143" s="78"/>
      <c r="C143" s="70"/>
      <c r="D143" s="37"/>
      <c r="E143" s="70"/>
      <c r="F143" s="70"/>
      <c r="G143" s="37"/>
      <c r="H143" s="70"/>
      <c r="I143" s="70"/>
      <c r="J143" s="37"/>
      <c r="K143" s="70"/>
      <c r="L143" s="70"/>
      <c r="M143" s="70"/>
      <c r="N143" s="70"/>
      <c r="O143" s="70"/>
    </row>
    <row r="144" spans="1:15" x14ac:dyDescent="0.25">
      <c r="A144" s="37"/>
      <c r="B144" s="78"/>
      <c r="C144" s="70"/>
      <c r="D144" s="37"/>
      <c r="E144" s="70"/>
      <c r="F144" s="70"/>
      <c r="G144" s="37"/>
      <c r="H144" s="70"/>
      <c r="I144" s="70"/>
      <c r="J144" s="37"/>
      <c r="K144" s="70"/>
      <c r="L144" s="70"/>
      <c r="M144" s="70"/>
      <c r="N144" s="70"/>
      <c r="O144" s="70"/>
    </row>
    <row r="145" spans="1:15" x14ac:dyDescent="0.25">
      <c r="A145" s="37"/>
      <c r="B145" s="78"/>
      <c r="C145" s="70"/>
      <c r="D145" s="37"/>
      <c r="E145" s="70"/>
      <c r="F145" s="70"/>
      <c r="G145" s="37"/>
      <c r="H145" s="70"/>
      <c r="I145" s="70"/>
      <c r="J145" s="37"/>
      <c r="K145" s="70"/>
      <c r="L145" s="70"/>
      <c r="M145" s="70"/>
      <c r="N145" s="70"/>
      <c r="O145" s="70"/>
    </row>
    <row r="146" spans="1:15" x14ac:dyDescent="0.25">
      <c r="A146" s="37"/>
      <c r="B146" s="78"/>
      <c r="C146" s="70"/>
      <c r="D146" s="37"/>
      <c r="E146" s="70"/>
      <c r="F146" s="70"/>
      <c r="G146" s="37"/>
      <c r="H146" s="70"/>
      <c r="I146" s="70"/>
      <c r="J146" s="37"/>
      <c r="K146" s="70"/>
      <c r="L146" s="70"/>
      <c r="M146" s="70"/>
      <c r="N146" s="70"/>
      <c r="O146" s="70"/>
    </row>
    <row r="147" spans="1:15" x14ac:dyDescent="0.25">
      <c r="A147" s="37"/>
      <c r="B147" s="78"/>
      <c r="C147" s="70"/>
      <c r="D147" s="37"/>
      <c r="E147" s="70"/>
      <c r="F147" s="70"/>
      <c r="G147" s="37"/>
      <c r="H147" s="70"/>
      <c r="I147" s="70"/>
      <c r="J147" s="37"/>
      <c r="K147" s="70"/>
      <c r="L147" s="70"/>
      <c r="M147" s="70"/>
      <c r="N147" s="70"/>
      <c r="O147" s="70"/>
    </row>
    <row r="148" spans="1:15" x14ac:dyDescent="0.25">
      <c r="A148" s="37"/>
      <c r="B148" s="78"/>
      <c r="C148" s="70"/>
      <c r="D148" s="37"/>
      <c r="E148" s="70"/>
      <c r="F148" s="70"/>
      <c r="G148" s="37"/>
      <c r="H148" s="70"/>
      <c r="I148" s="70"/>
      <c r="J148" s="37"/>
      <c r="K148" s="70"/>
      <c r="L148" s="70"/>
      <c r="M148" s="70"/>
      <c r="N148" s="70"/>
      <c r="O148" s="70"/>
    </row>
    <row r="149" spans="1:15" x14ac:dyDescent="0.25">
      <c r="A149" s="37"/>
      <c r="B149" s="78"/>
      <c r="C149" s="70"/>
      <c r="D149" s="37"/>
      <c r="E149" s="70"/>
      <c r="F149" s="70"/>
      <c r="G149" s="37"/>
      <c r="H149" s="70"/>
      <c r="I149" s="70"/>
      <c r="J149" s="37"/>
      <c r="K149" s="70"/>
      <c r="L149" s="70"/>
      <c r="M149" s="70"/>
      <c r="N149" s="70"/>
      <c r="O149" s="70"/>
    </row>
    <row r="150" spans="1:15" x14ac:dyDescent="0.25">
      <c r="A150" s="37"/>
      <c r="B150" s="78"/>
      <c r="C150" s="70"/>
      <c r="D150" s="37"/>
      <c r="E150" s="70"/>
      <c r="F150" s="70"/>
      <c r="G150" s="37"/>
      <c r="H150" s="70"/>
      <c r="I150" s="70"/>
      <c r="J150" s="37"/>
      <c r="K150" s="70"/>
      <c r="L150" s="70"/>
      <c r="M150" s="70"/>
      <c r="N150" s="70"/>
      <c r="O150" s="70"/>
    </row>
    <row r="151" spans="1:15" x14ac:dyDescent="0.25">
      <c r="A151" s="37"/>
      <c r="B151" s="78"/>
      <c r="C151" s="70"/>
      <c r="D151" s="37"/>
      <c r="E151" s="70"/>
      <c r="F151" s="70"/>
      <c r="G151" s="37"/>
      <c r="H151" s="70"/>
      <c r="I151" s="70"/>
      <c r="J151" s="37"/>
      <c r="K151" s="70"/>
      <c r="L151" s="70"/>
      <c r="M151" s="70"/>
      <c r="N151" s="70"/>
      <c r="O151" s="70"/>
    </row>
    <row r="152" spans="1:15" x14ac:dyDescent="0.25">
      <c r="A152" s="37"/>
      <c r="B152" s="78"/>
      <c r="C152" s="70"/>
      <c r="D152" s="37"/>
      <c r="E152" s="70"/>
      <c r="F152" s="70"/>
      <c r="G152" s="37"/>
      <c r="H152" s="70"/>
      <c r="I152" s="70"/>
      <c r="J152" s="37"/>
      <c r="K152" s="70"/>
      <c r="L152" s="70"/>
      <c r="M152" s="70"/>
      <c r="N152" s="70"/>
      <c r="O152" s="70"/>
    </row>
    <row r="153" spans="1:15" x14ac:dyDescent="0.25">
      <c r="A153" s="37"/>
      <c r="B153" s="78"/>
      <c r="C153" s="70"/>
      <c r="D153" s="37"/>
      <c r="E153" s="70"/>
      <c r="F153" s="70"/>
      <c r="G153" s="37"/>
      <c r="H153" s="70"/>
      <c r="I153" s="70"/>
      <c r="J153" s="37"/>
      <c r="K153" s="70"/>
      <c r="L153" s="70"/>
      <c r="M153" s="70"/>
      <c r="N153" s="70"/>
      <c r="O153" s="70"/>
    </row>
    <row r="154" spans="1:15" x14ac:dyDescent="0.25">
      <c r="A154" s="37"/>
      <c r="B154" s="78"/>
      <c r="C154" s="70"/>
      <c r="D154" s="37"/>
      <c r="E154" s="70"/>
      <c r="F154" s="70"/>
      <c r="G154" s="37"/>
      <c r="H154" s="70"/>
      <c r="I154" s="70"/>
      <c r="J154" s="37"/>
      <c r="K154" s="70"/>
      <c r="L154" s="70"/>
      <c r="M154" s="70"/>
      <c r="N154" s="70"/>
      <c r="O154" s="70"/>
    </row>
    <row r="155" spans="1:15" x14ac:dyDescent="0.25">
      <c r="A155" s="37"/>
      <c r="B155" s="78"/>
      <c r="C155" s="70"/>
      <c r="D155" s="37"/>
      <c r="E155" s="70"/>
      <c r="F155" s="70"/>
      <c r="G155" s="37"/>
      <c r="H155" s="70"/>
      <c r="I155" s="70"/>
      <c r="J155" s="37"/>
      <c r="K155" s="70"/>
      <c r="L155" s="70"/>
      <c r="M155" s="70"/>
      <c r="N155" s="70"/>
      <c r="O155" s="70"/>
    </row>
    <row r="156" spans="1:15" x14ac:dyDescent="0.25">
      <c r="A156" s="37"/>
      <c r="B156" s="78"/>
      <c r="C156" s="70"/>
      <c r="D156" s="37"/>
      <c r="E156" s="70"/>
      <c r="F156" s="70"/>
      <c r="G156" s="37"/>
      <c r="H156" s="70"/>
      <c r="I156" s="70"/>
      <c r="J156" s="37"/>
      <c r="K156" s="70"/>
      <c r="L156" s="70"/>
      <c r="M156" s="70"/>
      <c r="N156" s="70"/>
      <c r="O156" s="70"/>
    </row>
    <row r="157" spans="1:15" x14ac:dyDescent="0.25">
      <c r="A157" s="37"/>
      <c r="B157" s="78"/>
      <c r="C157" s="70"/>
      <c r="D157" s="37"/>
      <c r="E157" s="70"/>
      <c r="F157" s="70"/>
      <c r="G157" s="37"/>
      <c r="H157" s="70"/>
      <c r="I157" s="70"/>
      <c r="J157" s="37"/>
      <c r="K157" s="70"/>
      <c r="L157" s="70"/>
      <c r="M157" s="70"/>
      <c r="N157" s="70"/>
      <c r="O157" s="70"/>
    </row>
    <row r="158" spans="1:15" x14ac:dyDescent="0.25">
      <c r="A158" s="37"/>
      <c r="B158" s="78"/>
      <c r="C158" s="70"/>
      <c r="D158" s="37"/>
      <c r="E158" s="70"/>
      <c r="F158" s="70"/>
      <c r="G158" s="37"/>
      <c r="H158" s="70"/>
      <c r="I158" s="70"/>
      <c r="J158" s="37"/>
      <c r="K158" s="70"/>
      <c r="L158" s="70"/>
      <c r="M158" s="70"/>
      <c r="N158" s="70"/>
      <c r="O158" s="70"/>
    </row>
    <row r="159" spans="1:15" x14ac:dyDescent="0.25">
      <c r="A159" s="37"/>
      <c r="B159" s="78"/>
      <c r="C159" s="70"/>
      <c r="D159" s="37"/>
      <c r="E159" s="70"/>
      <c r="F159" s="70"/>
      <c r="G159" s="37"/>
      <c r="H159" s="70"/>
      <c r="I159" s="70"/>
      <c r="J159" s="37"/>
      <c r="K159" s="70"/>
      <c r="L159" s="70"/>
      <c r="M159" s="70"/>
      <c r="N159" s="70"/>
      <c r="O159" s="70"/>
    </row>
    <row r="160" spans="1:15" x14ac:dyDescent="0.25">
      <c r="A160" s="37"/>
      <c r="B160" s="78"/>
      <c r="C160" s="70"/>
      <c r="D160" s="37"/>
      <c r="E160" s="70"/>
      <c r="F160" s="70"/>
      <c r="G160" s="37"/>
      <c r="H160" s="70"/>
      <c r="I160" s="70"/>
      <c r="J160" s="37"/>
      <c r="K160" s="70"/>
      <c r="L160" s="70"/>
      <c r="M160" s="70"/>
      <c r="N160" s="70"/>
      <c r="O160" s="70"/>
    </row>
    <row r="161" spans="1:15" x14ac:dyDescent="0.25">
      <c r="A161" s="37"/>
      <c r="B161" s="78"/>
      <c r="C161" s="70"/>
      <c r="D161" s="37"/>
      <c r="E161" s="70"/>
      <c r="F161" s="70"/>
      <c r="G161" s="37"/>
      <c r="H161" s="70"/>
      <c r="I161" s="70"/>
      <c r="J161" s="37"/>
      <c r="K161" s="70"/>
      <c r="L161" s="70"/>
      <c r="M161" s="70"/>
      <c r="N161" s="70"/>
      <c r="O161" s="70"/>
    </row>
    <row r="162" spans="1:15" x14ac:dyDescent="0.25">
      <c r="A162" s="37"/>
      <c r="B162" s="78"/>
      <c r="C162" s="70"/>
      <c r="D162" s="37"/>
      <c r="E162" s="70"/>
      <c r="F162" s="70"/>
      <c r="G162" s="37"/>
      <c r="H162" s="70"/>
      <c r="I162" s="70"/>
      <c r="J162" s="37"/>
      <c r="K162" s="70"/>
      <c r="L162" s="70"/>
      <c r="M162" s="70"/>
      <c r="N162" s="70"/>
      <c r="O162" s="70"/>
    </row>
    <row r="163" spans="1:15" x14ac:dyDescent="0.25">
      <c r="A163" s="37"/>
      <c r="B163" s="78"/>
      <c r="C163" s="70"/>
      <c r="D163" s="37"/>
      <c r="E163" s="70"/>
      <c r="F163" s="70"/>
      <c r="G163" s="37"/>
      <c r="H163" s="70"/>
      <c r="I163" s="70"/>
      <c r="J163" s="37"/>
      <c r="K163" s="70"/>
      <c r="L163" s="70"/>
      <c r="M163" s="70"/>
      <c r="N163" s="70"/>
      <c r="O163" s="70"/>
    </row>
    <row r="164" spans="1:15" x14ac:dyDescent="0.25">
      <c r="A164" s="37"/>
      <c r="B164" s="78"/>
      <c r="C164" s="70"/>
      <c r="D164" s="37"/>
      <c r="E164" s="70"/>
      <c r="F164" s="70"/>
      <c r="G164" s="37"/>
      <c r="H164" s="70"/>
      <c r="I164" s="70"/>
      <c r="J164" s="37"/>
      <c r="K164" s="70"/>
      <c r="L164" s="70"/>
      <c r="M164" s="70"/>
      <c r="N164" s="70"/>
      <c r="O164" s="70"/>
    </row>
    <row r="165" spans="1:15" x14ac:dyDescent="0.25">
      <c r="A165" s="37"/>
      <c r="B165" s="78"/>
      <c r="C165" s="70"/>
      <c r="D165" s="37"/>
      <c r="E165" s="70"/>
      <c r="F165" s="70"/>
      <c r="G165" s="37"/>
      <c r="H165" s="70"/>
      <c r="I165" s="70"/>
      <c r="J165" s="37"/>
      <c r="K165" s="70"/>
      <c r="L165" s="70"/>
      <c r="M165" s="70"/>
      <c r="N165" s="70"/>
      <c r="O165" s="70"/>
    </row>
    <row r="166" spans="1:15" x14ac:dyDescent="0.25">
      <c r="A166" s="37"/>
      <c r="B166" s="78"/>
      <c r="C166" s="70"/>
      <c r="D166" s="37"/>
      <c r="E166" s="70"/>
      <c r="F166" s="70"/>
      <c r="G166" s="37"/>
      <c r="H166" s="70"/>
      <c r="I166" s="70"/>
      <c r="J166" s="37"/>
      <c r="K166" s="70"/>
      <c r="L166" s="70"/>
      <c r="M166" s="70"/>
      <c r="N166" s="70"/>
      <c r="O166" s="70"/>
    </row>
    <row r="167" spans="1:15" x14ac:dyDescent="0.25">
      <c r="A167" s="37"/>
      <c r="B167" s="78"/>
      <c r="C167" s="70"/>
      <c r="D167" s="37"/>
      <c r="E167" s="70"/>
      <c r="F167" s="70"/>
      <c r="G167" s="37"/>
      <c r="H167" s="70"/>
      <c r="I167" s="70"/>
      <c r="J167" s="37"/>
      <c r="K167" s="70"/>
      <c r="L167" s="70"/>
      <c r="M167" s="70"/>
      <c r="N167" s="70"/>
      <c r="O167" s="70"/>
    </row>
    <row r="168" spans="1:15" x14ac:dyDescent="0.25">
      <c r="A168" s="37"/>
      <c r="B168" s="78"/>
      <c r="C168" s="70"/>
      <c r="D168" s="37"/>
      <c r="E168" s="70"/>
      <c r="F168" s="70"/>
      <c r="G168" s="37"/>
      <c r="H168" s="70"/>
      <c r="I168" s="70"/>
      <c r="J168" s="37"/>
      <c r="K168" s="70"/>
      <c r="L168" s="70"/>
      <c r="M168" s="70"/>
      <c r="N168" s="70"/>
      <c r="O168" s="70"/>
    </row>
    <row r="169" spans="1:15" x14ac:dyDescent="0.25">
      <c r="A169" s="37"/>
      <c r="B169" s="78"/>
      <c r="C169" s="70"/>
      <c r="D169" s="37"/>
      <c r="E169" s="70"/>
      <c r="F169" s="70"/>
      <c r="G169" s="37"/>
      <c r="H169" s="70"/>
      <c r="I169" s="70"/>
      <c r="J169" s="37"/>
      <c r="K169" s="70"/>
      <c r="L169" s="70"/>
      <c r="M169" s="70"/>
      <c r="N169" s="70"/>
      <c r="O169" s="70"/>
    </row>
    <row r="170" spans="1:15" x14ac:dyDescent="0.25">
      <c r="A170" s="37"/>
      <c r="B170" s="78"/>
      <c r="C170" s="70"/>
      <c r="D170" s="37"/>
      <c r="E170" s="70"/>
      <c r="F170" s="70"/>
      <c r="G170" s="37"/>
      <c r="H170" s="70"/>
      <c r="I170" s="70"/>
      <c r="J170" s="37"/>
      <c r="K170" s="70"/>
      <c r="L170" s="70"/>
      <c r="M170" s="70"/>
      <c r="N170" s="70"/>
      <c r="O170" s="70"/>
    </row>
    <row r="171" spans="1:15" x14ac:dyDescent="0.25">
      <c r="A171" s="37"/>
      <c r="B171" s="78"/>
      <c r="C171" s="70"/>
      <c r="D171" s="37"/>
      <c r="E171" s="70"/>
      <c r="F171" s="70"/>
      <c r="G171" s="37"/>
      <c r="H171" s="70"/>
      <c r="I171" s="70"/>
      <c r="J171" s="37"/>
      <c r="K171" s="70"/>
      <c r="L171" s="70"/>
      <c r="M171" s="70"/>
      <c r="N171" s="70"/>
      <c r="O171" s="70"/>
    </row>
    <row r="172" spans="1:15" x14ac:dyDescent="0.25">
      <c r="A172" s="37"/>
      <c r="B172" s="78"/>
      <c r="C172" s="70"/>
      <c r="D172" s="37"/>
      <c r="E172" s="70"/>
      <c r="F172" s="70"/>
      <c r="G172" s="37"/>
      <c r="H172" s="70"/>
      <c r="I172" s="70"/>
      <c r="J172" s="37"/>
      <c r="K172" s="70"/>
      <c r="L172" s="70"/>
      <c r="M172" s="70"/>
      <c r="N172" s="70"/>
      <c r="O172" s="70"/>
    </row>
    <row r="173" spans="1:15" x14ac:dyDescent="0.25">
      <c r="A173" s="37"/>
      <c r="B173" s="78"/>
      <c r="C173" s="70"/>
      <c r="D173" s="37"/>
      <c r="E173" s="70"/>
      <c r="F173" s="70"/>
      <c r="G173" s="37"/>
      <c r="H173" s="70"/>
      <c r="I173" s="70"/>
      <c r="J173" s="37"/>
      <c r="K173" s="70"/>
      <c r="L173" s="70"/>
      <c r="M173" s="70"/>
      <c r="N173" s="70"/>
      <c r="O173" s="70"/>
    </row>
    <row r="174" spans="1:15" x14ac:dyDescent="0.25">
      <c r="A174" s="37"/>
      <c r="B174" s="78"/>
      <c r="C174" s="70"/>
      <c r="D174" s="37"/>
      <c r="E174" s="70"/>
      <c r="F174" s="70"/>
      <c r="G174" s="37"/>
      <c r="H174" s="70"/>
      <c r="I174" s="70"/>
      <c r="J174" s="37"/>
      <c r="K174" s="70"/>
      <c r="L174" s="70"/>
      <c r="M174" s="70"/>
      <c r="N174" s="70"/>
      <c r="O174" s="70"/>
    </row>
    <row r="175" spans="1:15" x14ac:dyDescent="0.25">
      <c r="A175" s="37"/>
      <c r="B175" s="78"/>
      <c r="C175" s="70"/>
      <c r="D175" s="37"/>
      <c r="E175" s="70"/>
      <c r="F175" s="70"/>
      <c r="G175" s="37"/>
      <c r="H175" s="70"/>
      <c r="I175" s="70"/>
      <c r="J175" s="37"/>
      <c r="K175" s="70"/>
      <c r="L175" s="70"/>
      <c r="M175" s="70"/>
      <c r="N175" s="70"/>
      <c r="O175" s="70"/>
    </row>
    <row r="176" spans="1:15" x14ac:dyDescent="0.25">
      <c r="A176" s="37"/>
      <c r="B176" s="78"/>
      <c r="C176" s="70"/>
      <c r="D176" s="37"/>
      <c r="E176" s="70"/>
      <c r="F176" s="70"/>
      <c r="G176" s="37"/>
      <c r="H176" s="70"/>
      <c r="I176" s="70"/>
      <c r="J176" s="37"/>
      <c r="K176" s="70"/>
      <c r="L176" s="70"/>
      <c r="M176" s="70"/>
      <c r="N176" s="70"/>
      <c r="O176" s="70"/>
    </row>
    <row r="177" spans="1:15" x14ac:dyDescent="0.25">
      <c r="A177" s="37"/>
      <c r="B177" s="78"/>
      <c r="C177" s="70"/>
      <c r="D177" s="37"/>
      <c r="E177" s="70"/>
      <c r="F177" s="70"/>
      <c r="G177" s="37"/>
      <c r="H177" s="70"/>
      <c r="I177" s="70"/>
      <c r="J177" s="37"/>
      <c r="K177" s="70"/>
      <c r="L177" s="70"/>
      <c r="M177" s="70"/>
      <c r="N177" s="70"/>
      <c r="O177" s="70"/>
    </row>
    <row r="178" spans="1:15" x14ac:dyDescent="0.25">
      <c r="A178" s="37"/>
      <c r="B178" s="78"/>
      <c r="C178" s="70"/>
      <c r="D178" s="37"/>
      <c r="E178" s="70"/>
      <c r="F178" s="70"/>
      <c r="G178" s="37"/>
      <c r="H178" s="70"/>
      <c r="I178" s="70"/>
      <c r="J178" s="37"/>
      <c r="K178" s="70"/>
      <c r="L178" s="70"/>
      <c r="M178" s="70"/>
      <c r="N178" s="70"/>
      <c r="O178" s="70"/>
    </row>
    <row r="179" spans="1:15" x14ac:dyDescent="0.25">
      <c r="A179" s="37"/>
      <c r="B179" s="78"/>
      <c r="C179" s="70"/>
      <c r="D179" s="37"/>
      <c r="E179" s="70"/>
      <c r="F179" s="70"/>
      <c r="G179" s="37"/>
      <c r="H179" s="70"/>
      <c r="I179" s="70"/>
      <c r="J179" s="37"/>
      <c r="K179" s="70"/>
      <c r="L179" s="70"/>
      <c r="M179" s="70"/>
      <c r="N179" s="70"/>
      <c r="O179" s="70"/>
    </row>
    <row r="180" spans="1:15" x14ac:dyDescent="0.25">
      <c r="A180" s="37"/>
      <c r="B180" s="78"/>
      <c r="C180" s="70"/>
      <c r="D180" s="37"/>
      <c r="E180" s="70"/>
      <c r="F180" s="70"/>
      <c r="G180" s="37"/>
      <c r="H180" s="70"/>
      <c r="I180" s="70"/>
      <c r="J180" s="37"/>
      <c r="K180" s="70"/>
      <c r="L180" s="70"/>
      <c r="M180" s="70"/>
      <c r="N180" s="70"/>
      <c r="O180" s="70"/>
    </row>
    <row r="181" spans="1:15" x14ac:dyDescent="0.25">
      <c r="A181" s="37"/>
      <c r="B181" s="78"/>
      <c r="C181" s="70"/>
      <c r="D181" s="37"/>
      <c r="E181" s="70"/>
      <c r="F181" s="70"/>
      <c r="G181" s="37"/>
      <c r="H181" s="70"/>
      <c r="I181" s="70"/>
      <c r="J181" s="37"/>
      <c r="K181" s="70"/>
      <c r="L181" s="70"/>
      <c r="M181" s="70"/>
      <c r="N181" s="70"/>
      <c r="O181" s="70"/>
    </row>
    <row r="182" spans="1:15" x14ac:dyDescent="0.25">
      <c r="A182" s="37"/>
      <c r="B182" s="78"/>
      <c r="C182" s="70"/>
      <c r="D182" s="37"/>
      <c r="E182" s="70"/>
      <c r="F182" s="70"/>
      <c r="G182" s="37"/>
      <c r="H182" s="70"/>
      <c r="I182" s="70"/>
      <c r="J182" s="37"/>
      <c r="K182" s="70"/>
      <c r="L182" s="70"/>
      <c r="M182" s="70"/>
      <c r="N182" s="70"/>
      <c r="O182" s="70"/>
    </row>
    <row r="183" spans="1:15" x14ac:dyDescent="0.25">
      <c r="A183" s="37"/>
      <c r="B183" s="78"/>
      <c r="C183" s="70"/>
      <c r="D183" s="37"/>
      <c r="E183" s="70"/>
      <c r="F183" s="70"/>
      <c r="G183" s="37"/>
      <c r="H183" s="70"/>
      <c r="I183" s="70"/>
      <c r="J183" s="37"/>
      <c r="K183" s="70"/>
      <c r="L183" s="70"/>
      <c r="M183" s="70"/>
      <c r="N183" s="70"/>
      <c r="O183" s="70"/>
    </row>
    <row r="184" spans="1:15" x14ac:dyDescent="0.25">
      <c r="A184" s="37"/>
      <c r="B184" s="78"/>
      <c r="C184" s="70"/>
      <c r="D184" s="37"/>
      <c r="E184" s="70"/>
      <c r="F184" s="70"/>
      <c r="G184" s="37"/>
      <c r="H184" s="70"/>
      <c r="I184" s="70"/>
      <c r="J184" s="37"/>
      <c r="K184" s="70"/>
      <c r="L184" s="70"/>
      <c r="M184" s="70"/>
      <c r="N184" s="70"/>
      <c r="O184" s="70"/>
    </row>
    <row r="185" spans="1:15" x14ac:dyDescent="0.25">
      <c r="A185" s="37"/>
      <c r="B185" s="78"/>
      <c r="C185" s="70"/>
      <c r="D185" s="37"/>
      <c r="E185" s="70"/>
      <c r="F185" s="70"/>
      <c r="G185" s="37"/>
      <c r="H185" s="70"/>
      <c r="I185" s="70"/>
      <c r="J185" s="37"/>
      <c r="K185" s="70"/>
      <c r="L185" s="70"/>
      <c r="M185" s="70"/>
      <c r="N185" s="70"/>
      <c r="O185" s="70"/>
    </row>
    <row r="186" spans="1:15" x14ac:dyDescent="0.25">
      <c r="A186" s="37"/>
      <c r="B186" s="78"/>
      <c r="C186" s="70"/>
      <c r="D186" s="37"/>
      <c r="E186" s="70"/>
      <c r="F186" s="70"/>
      <c r="G186" s="37"/>
      <c r="H186" s="70"/>
      <c r="I186" s="70"/>
      <c r="J186" s="37"/>
      <c r="K186" s="70"/>
      <c r="L186" s="70"/>
      <c r="M186" s="70"/>
      <c r="N186" s="70"/>
      <c r="O186" s="70"/>
    </row>
    <row r="187" spans="1:15" x14ac:dyDescent="0.25">
      <c r="A187" s="37"/>
      <c r="B187" s="78"/>
      <c r="C187" s="70"/>
      <c r="D187" s="37"/>
      <c r="E187" s="70"/>
      <c r="F187" s="70"/>
      <c r="G187" s="37"/>
      <c r="H187" s="70"/>
      <c r="I187" s="70"/>
      <c r="J187" s="37"/>
      <c r="K187" s="70"/>
      <c r="L187" s="70"/>
      <c r="M187" s="70"/>
      <c r="N187" s="70"/>
      <c r="O187" s="70"/>
    </row>
    <row r="188" spans="1:15" x14ac:dyDescent="0.25">
      <c r="A188" s="37"/>
      <c r="B188" s="78"/>
      <c r="C188" s="70"/>
      <c r="D188" s="37"/>
      <c r="E188" s="70"/>
      <c r="F188" s="70"/>
      <c r="G188" s="37"/>
      <c r="H188" s="70"/>
      <c r="I188" s="70"/>
      <c r="J188" s="37"/>
      <c r="K188" s="70"/>
      <c r="L188" s="70"/>
      <c r="M188" s="70"/>
      <c r="N188" s="70"/>
      <c r="O188" s="70"/>
    </row>
    <row r="189" spans="1:15" x14ac:dyDescent="0.25">
      <c r="A189" s="37"/>
      <c r="B189" s="78"/>
      <c r="C189" s="70"/>
      <c r="D189" s="37"/>
      <c r="E189" s="70"/>
      <c r="F189" s="70"/>
      <c r="G189" s="37"/>
      <c r="H189" s="70"/>
      <c r="I189" s="70"/>
      <c r="J189" s="37"/>
      <c r="K189" s="70"/>
      <c r="L189" s="70"/>
      <c r="M189" s="70"/>
      <c r="N189" s="70"/>
      <c r="O189" s="70"/>
    </row>
    <row r="190" spans="1:15" x14ac:dyDescent="0.25">
      <c r="A190" s="37"/>
      <c r="B190" s="78"/>
      <c r="C190" s="70"/>
      <c r="D190" s="37"/>
      <c r="E190" s="70"/>
      <c r="F190" s="70"/>
      <c r="G190" s="37"/>
      <c r="H190" s="70"/>
      <c r="I190" s="70"/>
      <c r="J190" s="37"/>
      <c r="K190" s="70"/>
      <c r="L190" s="70"/>
      <c r="M190" s="70"/>
      <c r="N190" s="70"/>
      <c r="O190" s="70"/>
    </row>
    <row r="191" spans="1:15" x14ac:dyDescent="0.25">
      <c r="A191" s="37"/>
      <c r="B191" s="78"/>
      <c r="C191" s="70"/>
      <c r="D191" s="37"/>
      <c r="E191" s="70"/>
      <c r="F191" s="70"/>
      <c r="G191" s="37"/>
      <c r="H191" s="70"/>
      <c r="I191" s="70"/>
      <c r="J191" s="37"/>
      <c r="K191" s="70"/>
      <c r="L191" s="70"/>
      <c r="M191" s="70"/>
      <c r="N191" s="70"/>
      <c r="O191" s="70"/>
    </row>
    <row r="192" spans="1:15" x14ac:dyDescent="0.25">
      <c r="A192" s="37"/>
      <c r="B192" s="78"/>
      <c r="C192" s="70"/>
      <c r="D192" s="37"/>
      <c r="E192" s="70"/>
      <c r="F192" s="70"/>
      <c r="G192" s="37"/>
      <c r="H192" s="70"/>
      <c r="I192" s="70"/>
      <c r="J192" s="37"/>
      <c r="K192" s="70"/>
      <c r="L192" s="70"/>
      <c r="M192" s="70"/>
      <c r="N192" s="70"/>
      <c r="O192" s="70"/>
    </row>
    <row r="193" spans="1:15" x14ac:dyDescent="0.25">
      <c r="A193" s="37"/>
      <c r="B193" s="78"/>
      <c r="C193" s="70"/>
      <c r="D193" s="37"/>
      <c r="E193" s="70"/>
      <c r="F193" s="70"/>
      <c r="G193" s="37"/>
      <c r="H193" s="70"/>
      <c r="I193" s="70"/>
      <c r="J193" s="37"/>
      <c r="K193" s="70"/>
      <c r="L193" s="70"/>
      <c r="M193" s="70"/>
      <c r="N193" s="70"/>
      <c r="O193" s="70"/>
    </row>
    <row r="194" spans="1:15" x14ac:dyDescent="0.25">
      <c r="A194" s="37"/>
      <c r="B194" s="78"/>
      <c r="C194" s="70"/>
      <c r="D194" s="37"/>
      <c r="E194" s="70"/>
      <c r="F194" s="70"/>
      <c r="G194" s="37"/>
      <c r="H194" s="70"/>
      <c r="I194" s="70"/>
      <c r="J194" s="37"/>
      <c r="K194" s="70"/>
      <c r="L194" s="70"/>
      <c r="M194" s="70"/>
      <c r="N194" s="70"/>
      <c r="O194" s="70"/>
    </row>
    <row r="195" spans="1:15" x14ac:dyDescent="0.25">
      <c r="A195" s="37"/>
      <c r="B195" s="78"/>
      <c r="C195" s="70"/>
      <c r="D195" s="37"/>
      <c r="E195" s="70"/>
      <c r="F195" s="70"/>
      <c r="G195" s="37"/>
      <c r="H195" s="70"/>
      <c r="I195" s="70"/>
      <c r="J195" s="37"/>
      <c r="K195" s="70"/>
      <c r="L195" s="70"/>
      <c r="M195" s="70"/>
      <c r="N195" s="70"/>
      <c r="O195" s="70"/>
    </row>
    <row r="196" spans="1:15" x14ac:dyDescent="0.25">
      <c r="A196" s="37"/>
      <c r="B196" s="78"/>
      <c r="C196" s="70"/>
      <c r="D196" s="37"/>
      <c r="E196" s="70"/>
      <c r="F196" s="70"/>
      <c r="G196" s="37"/>
      <c r="H196" s="70"/>
      <c r="I196" s="70"/>
      <c r="J196" s="37"/>
      <c r="K196" s="70"/>
      <c r="L196" s="70"/>
      <c r="M196" s="70"/>
      <c r="N196" s="70"/>
      <c r="O196" s="70"/>
    </row>
    <row r="197" spans="1:15" x14ac:dyDescent="0.25">
      <c r="A197" s="37"/>
      <c r="B197" s="78"/>
      <c r="C197" s="70"/>
      <c r="D197" s="37"/>
      <c r="E197" s="70"/>
      <c r="F197" s="70"/>
      <c r="G197" s="37"/>
      <c r="H197" s="70"/>
      <c r="I197" s="70"/>
      <c r="J197" s="37"/>
      <c r="K197" s="70"/>
      <c r="L197" s="70"/>
      <c r="M197" s="70"/>
      <c r="N197" s="70"/>
      <c r="O197" s="70"/>
    </row>
    <row r="198" spans="1:15" x14ac:dyDescent="0.25">
      <c r="A198" s="37"/>
      <c r="B198" s="78"/>
      <c r="C198" s="70"/>
      <c r="D198" s="37"/>
      <c r="E198" s="70"/>
      <c r="F198" s="70"/>
      <c r="G198" s="37"/>
      <c r="H198" s="70"/>
      <c r="I198" s="70"/>
      <c r="J198" s="37"/>
      <c r="K198" s="70"/>
      <c r="L198" s="70"/>
      <c r="M198" s="70"/>
      <c r="N198" s="70"/>
      <c r="O198" s="70"/>
    </row>
    <row r="199" spans="1:15" x14ac:dyDescent="0.25">
      <c r="A199" s="37"/>
      <c r="B199" s="78"/>
      <c r="C199" s="70"/>
      <c r="D199" s="37"/>
      <c r="E199" s="70"/>
      <c r="F199" s="70"/>
      <c r="G199" s="37"/>
      <c r="H199" s="70"/>
      <c r="I199" s="70"/>
      <c r="J199" s="37"/>
      <c r="K199" s="70"/>
      <c r="L199" s="70"/>
      <c r="M199" s="70"/>
      <c r="N199" s="70"/>
      <c r="O199" s="70"/>
    </row>
    <row r="200" spans="1:15" x14ac:dyDescent="0.25">
      <c r="A200" s="37"/>
      <c r="B200" s="78"/>
      <c r="C200" s="70"/>
      <c r="D200" s="37"/>
      <c r="E200" s="70"/>
      <c r="F200" s="70"/>
      <c r="G200" s="37"/>
      <c r="H200" s="70"/>
      <c r="I200" s="70"/>
      <c r="J200" s="37"/>
      <c r="K200" s="70"/>
      <c r="L200" s="70"/>
      <c r="M200" s="70"/>
      <c r="N200" s="70"/>
      <c r="O200" s="70"/>
    </row>
    <row r="201" spans="1:15" x14ac:dyDescent="0.25">
      <c r="A201" s="37"/>
      <c r="B201" s="78"/>
      <c r="C201" s="70"/>
      <c r="D201" s="37"/>
      <c r="E201" s="70"/>
      <c r="F201" s="70"/>
      <c r="G201" s="37"/>
      <c r="H201" s="70"/>
      <c r="I201" s="70"/>
      <c r="J201" s="37"/>
      <c r="K201" s="70"/>
      <c r="L201" s="70"/>
      <c r="M201" s="70"/>
      <c r="N201" s="70"/>
      <c r="O201" s="70"/>
    </row>
    <row r="202" spans="1:15" x14ac:dyDescent="0.25">
      <c r="A202" s="37"/>
      <c r="B202" s="78"/>
      <c r="C202" s="70"/>
      <c r="D202" s="37"/>
      <c r="E202" s="70"/>
      <c r="F202" s="70"/>
      <c r="G202" s="37"/>
      <c r="H202" s="70"/>
      <c r="I202" s="70"/>
      <c r="J202" s="37"/>
      <c r="K202" s="70"/>
      <c r="L202" s="70"/>
      <c r="M202" s="70"/>
      <c r="N202" s="70"/>
      <c r="O202" s="70"/>
    </row>
    <row r="203" spans="1:15" x14ac:dyDescent="0.25">
      <c r="A203" s="37"/>
      <c r="B203" s="78"/>
      <c r="C203" s="70"/>
      <c r="D203" s="37"/>
      <c r="E203" s="70"/>
      <c r="F203" s="70"/>
      <c r="G203" s="37"/>
      <c r="H203" s="70"/>
      <c r="I203" s="70"/>
      <c r="J203" s="37"/>
      <c r="K203" s="70"/>
      <c r="L203" s="70"/>
      <c r="M203" s="70"/>
      <c r="N203" s="70"/>
      <c r="O203" s="70"/>
    </row>
    <row r="204" spans="1:15" x14ac:dyDescent="0.25">
      <c r="A204" s="37"/>
      <c r="B204" s="78"/>
      <c r="C204" s="70"/>
      <c r="D204" s="37"/>
      <c r="E204" s="70"/>
      <c r="F204" s="70"/>
      <c r="G204" s="37"/>
      <c r="H204" s="70"/>
      <c r="I204" s="70"/>
      <c r="J204" s="37"/>
      <c r="K204" s="70"/>
      <c r="L204" s="70"/>
      <c r="M204" s="70"/>
      <c r="N204" s="70"/>
      <c r="O204" s="70"/>
    </row>
    <row r="205" spans="1:15" x14ac:dyDescent="0.25">
      <c r="A205" s="37"/>
      <c r="B205" s="78"/>
      <c r="C205" s="70"/>
      <c r="D205" s="37"/>
      <c r="E205" s="70"/>
      <c r="F205" s="70"/>
      <c r="G205" s="37"/>
      <c r="H205" s="70"/>
      <c r="I205" s="70"/>
      <c r="J205" s="37"/>
      <c r="K205" s="70"/>
      <c r="L205" s="70"/>
      <c r="M205" s="70"/>
      <c r="N205" s="70"/>
      <c r="O205" s="70"/>
    </row>
    <row r="206" spans="1:15" x14ac:dyDescent="0.25">
      <c r="A206" s="37"/>
      <c r="B206" s="78"/>
      <c r="C206" s="70"/>
      <c r="D206" s="37"/>
      <c r="E206" s="70"/>
      <c r="F206" s="70"/>
      <c r="G206" s="37"/>
      <c r="H206" s="70"/>
      <c r="I206" s="70"/>
      <c r="J206" s="37"/>
      <c r="K206" s="70"/>
      <c r="L206" s="70"/>
      <c r="M206" s="70"/>
      <c r="N206" s="70"/>
      <c r="O206" s="70"/>
    </row>
    <row r="207" spans="1:15" x14ac:dyDescent="0.25">
      <c r="A207" s="37"/>
      <c r="B207" s="78"/>
      <c r="C207" s="70"/>
      <c r="D207" s="37"/>
      <c r="E207" s="70"/>
      <c r="F207" s="70"/>
      <c r="G207" s="37"/>
      <c r="H207" s="70"/>
      <c r="I207" s="70"/>
      <c r="J207" s="37"/>
      <c r="K207" s="70"/>
      <c r="L207" s="70"/>
      <c r="M207" s="70"/>
      <c r="N207" s="70"/>
      <c r="O207" s="70"/>
    </row>
    <row r="208" spans="1:15" x14ac:dyDescent="0.25">
      <c r="A208" s="37"/>
      <c r="B208" s="78"/>
      <c r="C208" s="70"/>
      <c r="D208" s="37"/>
      <c r="E208" s="70"/>
      <c r="F208" s="70"/>
      <c r="G208" s="37"/>
      <c r="H208" s="70"/>
      <c r="I208" s="70"/>
      <c r="J208" s="37"/>
      <c r="K208" s="70"/>
      <c r="L208" s="70"/>
      <c r="M208" s="70"/>
      <c r="N208" s="70"/>
      <c r="O208" s="70"/>
    </row>
    <row r="209" spans="1:15" x14ac:dyDescent="0.25">
      <c r="A209" s="37"/>
      <c r="B209" s="78"/>
      <c r="C209" s="70"/>
      <c r="D209" s="37"/>
      <c r="E209" s="70"/>
      <c r="F209" s="70"/>
      <c r="G209" s="37"/>
      <c r="H209" s="70"/>
      <c r="I209" s="70"/>
      <c r="J209" s="37"/>
      <c r="K209" s="70"/>
      <c r="L209" s="70"/>
      <c r="M209" s="70"/>
      <c r="N209" s="70"/>
      <c r="O209" s="70"/>
    </row>
    <row r="210" spans="1:15" x14ac:dyDescent="0.25">
      <c r="A210" s="37"/>
      <c r="B210" s="78"/>
      <c r="C210" s="70"/>
      <c r="D210" s="37"/>
      <c r="E210" s="70"/>
      <c r="F210" s="70"/>
      <c r="G210" s="37"/>
      <c r="H210" s="70"/>
      <c r="I210" s="70"/>
      <c r="J210" s="37"/>
      <c r="K210" s="70"/>
      <c r="L210" s="70"/>
      <c r="M210" s="70"/>
      <c r="N210" s="70"/>
      <c r="O210" s="70"/>
    </row>
    <row r="211" spans="1:15" x14ac:dyDescent="0.25">
      <c r="A211" s="37"/>
      <c r="B211" s="78"/>
      <c r="C211" s="70"/>
      <c r="D211" s="37"/>
      <c r="E211" s="70"/>
      <c r="F211" s="70"/>
      <c r="G211" s="37"/>
      <c r="H211" s="70"/>
      <c r="I211" s="70"/>
      <c r="J211" s="37"/>
      <c r="K211" s="70"/>
      <c r="L211" s="70"/>
      <c r="M211" s="70"/>
      <c r="N211" s="70"/>
      <c r="O211" s="70"/>
    </row>
    <row r="212" spans="1:15" x14ac:dyDescent="0.25">
      <c r="A212" s="37"/>
      <c r="B212" s="78"/>
      <c r="C212" s="70"/>
      <c r="D212" s="37"/>
      <c r="E212" s="70"/>
      <c r="F212" s="70"/>
      <c r="G212" s="37"/>
      <c r="H212" s="70"/>
      <c r="I212" s="70"/>
      <c r="J212" s="37"/>
      <c r="K212" s="70"/>
      <c r="L212" s="70"/>
      <c r="M212" s="70"/>
      <c r="N212" s="70"/>
      <c r="O212" s="70"/>
    </row>
    <row r="213" spans="1:15" x14ac:dyDescent="0.25">
      <c r="A213" s="37"/>
      <c r="B213" s="78"/>
      <c r="C213" s="70"/>
      <c r="D213" s="37"/>
      <c r="E213" s="70"/>
      <c r="F213" s="70"/>
      <c r="G213" s="37"/>
      <c r="H213" s="70"/>
      <c r="I213" s="70"/>
      <c r="J213" s="37"/>
      <c r="K213" s="70"/>
      <c r="L213" s="70"/>
      <c r="M213" s="70"/>
      <c r="N213" s="70"/>
      <c r="O213" s="70"/>
    </row>
    <row r="214" spans="1:15" x14ac:dyDescent="0.25">
      <c r="A214" s="37"/>
      <c r="B214" s="78"/>
      <c r="C214" s="70"/>
      <c r="D214" s="37"/>
      <c r="E214" s="70"/>
      <c r="F214" s="70"/>
      <c r="G214" s="37"/>
      <c r="H214" s="70"/>
      <c r="I214" s="70"/>
      <c r="J214" s="37"/>
      <c r="K214" s="70"/>
      <c r="L214" s="70"/>
      <c r="M214" s="70"/>
      <c r="N214" s="70"/>
      <c r="O214" s="70"/>
    </row>
    <row r="215" spans="1:15" x14ac:dyDescent="0.25">
      <c r="A215" s="37"/>
      <c r="B215" s="78"/>
      <c r="C215" s="70"/>
      <c r="D215" s="37"/>
      <c r="E215" s="70"/>
      <c r="F215" s="70"/>
      <c r="G215" s="37"/>
      <c r="H215" s="70"/>
      <c r="I215" s="70"/>
      <c r="J215" s="37"/>
      <c r="K215" s="70"/>
      <c r="L215" s="70"/>
      <c r="M215" s="70"/>
      <c r="N215" s="70"/>
      <c r="O215" s="70"/>
    </row>
    <row r="216" spans="1:15" x14ac:dyDescent="0.25">
      <c r="A216" s="37"/>
      <c r="B216" s="78"/>
      <c r="C216" s="70"/>
      <c r="D216" s="37"/>
      <c r="E216" s="70"/>
      <c r="F216" s="70"/>
      <c r="G216" s="37"/>
      <c r="H216" s="70"/>
      <c r="I216" s="70"/>
      <c r="J216" s="37"/>
      <c r="K216" s="70"/>
      <c r="L216" s="70"/>
      <c r="M216" s="70"/>
      <c r="N216" s="70"/>
      <c r="O216" s="70"/>
    </row>
    <row r="217" spans="1:15" x14ac:dyDescent="0.25">
      <c r="A217" s="37"/>
      <c r="B217" s="78"/>
      <c r="C217" s="70"/>
      <c r="D217" s="37"/>
      <c r="E217" s="70"/>
      <c r="F217" s="70"/>
      <c r="G217" s="37"/>
      <c r="H217" s="70"/>
      <c r="I217" s="70"/>
      <c r="J217" s="37"/>
      <c r="K217" s="70"/>
      <c r="L217" s="70"/>
      <c r="M217" s="70"/>
      <c r="N217" s="70"/>
      <c r="O217" s="70"/>
    </row>
    <row r="218" spans="1:15" x14ac:dyDescent="0.25">
      <c r="A218" s="37"/>
      <c r="B218" s="78"/>
      <c r="C218" s="70"/>
      <c r="D218" s="37"/>
      <c r="E218" s="70"/>
      <c r="F218" s="70"/>
      <c r="G218" s="37"/>
      <c r="H218" s="70"/>
      <c r="I218" s="70"/>
      <c r="J218" s="37"/>
      <c r="K218" s="70"/>
      <c r="L218" s="70"/>
      <c r="M218" s="70"/>
      <c r="N218" s="70"/>
      <c r="O218" s="70"/>
    </row>
    <row r="219" spans="1:15" x14ac:dyDescent="0.25">
      <c r="A219" s="37"/>
      <c r="B219" s="78"/>
      <c r="C219" s="70"/>
      <c r="D219" s="37"/>
      <c r="E219" s="70"/>
      <c r="F219" s="70"/>
      <c r="G219" s="37"/>
      <c r="H219" s="70"/>
      <c r="I219" s="70"/>
      <c r="J219" s="37"/>
      <c r="K219" s="70"/>
      <c r="L219" s="70"/>
      <c r="M219" s="70"/>
      <c r="N219" s="70"/>
      <c r="O219" s="70"/>
    </row>
    <row r="220" spans="1:15" x14ac:dyDescent="0.25">
      <c r="A220" s="37"/>
      <c r="B220" s="78"/>
      <c r="C220" s="70"/>
      <c r="D220" s="37"/>
      <c r="E220" s="70"/>
      <c r="F220" s="70"/>
      <c r="G220" s="37"/>
      <c r="H220" s="70"/>
      <c r="I220" s="70"/>
      <c r="J220" s="37"/>
      <c r="K220" s="70"/>
      <c r="L220" s="70"/>
      <c r="M220" s="70"/>
      <c r="N220" s="70"/>
      <c r="O220" s="70"/>
    </row>
    <row r="221" spans="1:15" x14ac:dyDescent="0.25">
      <c r="A221" s="37"/>
      <c r="B221" s="78"/>
      <c r="C221" s="70"/>
      <c r="D221" s="37"/>
      <c r="E221" s="70"/>
      <c r="F221" s="70"/>
      <c r="G221" s="37"/>
      <c r="H221" s="70"/>
      <c r="I221" s="70"/>
      <c r="J221" s="37"/>
      <c r="K221" s="70"/>
      <c r="L221" s="70"/>
      <c r="M221" s="70"/>
      <c r="N221" s="70"/>
      <c r="O221" s="70"/>
    </row>
    <row r="222" spans="1:15" x14ac:dyDescent="0.25">
      <c r="A222" s="37"/>
      <c r="B222" s="78"/>
      <c r="C222" s="70"/>
      <c r="D222" s="37"/>
      <c r="E222" s="70"/>
      <c r="F222" s="70"/>
      <c r="G222" s="37"/>
      <c r="H222" s="70"/>
      <c r="I222" s="70"/>
      <c r="J222" s="37"/>
      <c r="K222" s="70"/>
      <c r="L222" s="70"/>
      <c r="M222" s="70"/>
      <c r="N222" s="70"/>
      <c r="O222" s="70"/>
    </row>
    <row r="223" spans="1:15" x14ac:dyDescent="0.25">
      <c r="A223" s="37"/>
      <c r="B223" s="78"/>
      <c r="C223" s="70"/>
      <c r="D223" s="37"/>
      <c r="E223" s="70"/>
      <c r="F223" s="70"/>
      <c r="G223" s="37"/>
      <c r="H223" s="70"/>
      <c r="I223" s="70"/>
      <c r="J223" s="37"/>
      <c r="K223" s="70"/>
      <c r="L223" s="70"/>
      <c r="M223" s="70"/>
      <c r="N223" s="70"/>
      <c r="O223" s="70"/>
    </row>
    <row r="224" spans="1:15" x14ac:dyDescent="0.25">
      <c r="A224" s="37"/>
      <c r="B224" s="78"/>
      <c r="C224" s="70"/>
      <c r="D224" s="37"/>
      <c r="E224" s="70"/>
      <c r="F224" s="70"/>
      <c r="G224" s="37"/>
      <c r="H224" s="70"/>
      <c r="I224" s="70"/>
      <c r="J224" s="37"/>
      <c r="K224" s="70"/>
      <c r="L224" s="70"/>
      <c r="M224" s="70"/>
      <c r="N224" s="70"/>
      <c r="O224" s="70"/>
    </row>
    <row r="225" spans="1:15" x14ac:dyDescent="0.25">
      <c r="A225" s="37"/>
      <c r="B225" s="78"/>
      <c r="C225" s="70"/>
      <c r="D225" s="37"/>
      <c r="E225" s="70"/>
      <c r="F225" s="70"/>
      <c r="G225" s="37"/>
      <c r="H225" s="70"/>
      <c r="I225" s="70"/>
      <c r="J225" s="37"/>
      <c r="K225" s="70"/>
      <c r="L225" s="70"/>
      <c r="M225" s="70"/>
      <c r="N225" s="70"/>
      <c r="O225" s="70"/>
    </row>
    <row r="226" spans="1:15" x14ac:dyDescent="0.25">
      <c r="A226" s="37"/>
      <c r="B226" s="78"/>
      <c r="C226" s="70"/>
      <c r="D226" s="37"/>
      <c r="E226" s="70"/>
      <c r="F226" s="70"/>
      <c r="G226" s="37"/>
      <c r="H226" s="70"/>
      <c r="I226" s="70"/>
      <c r="J226" s="37"/>
      <c r="K226" s="70"/>
      <c r="L226" s="70"/>
      <c r="M226" s="70"/>
      <c r="N226" s="70"/>
      <c r="O226" s="70"/>
    </row>
    <row r="227" spans="1:15" x14ac:dyDescent="0.25">
      <c r="A227" s="37"/>
      <c r="B227" s="78"/>
      <c r="C227" s="70"/>
      <c r="D227" s="37"/>
      <c r="E227" s="70"/>
      <c r="F227" s="70"/>
      <c r="G227" s="37"/>
      <c r="H227" s="70"/>
      <c r="I227" s="70"/>
      <c r="J227" s="37"/>
      <c r="K227" s="70"/>
      <c r="L227" s="70"/>
      <c r="M227" s="70"/>
      <c r="N227" s="70"/>
      <c r="O227" s="70"/>
    </row>
    <row r="228" spans="1:15" x14ac:dyDescent="0.25">
      <c r="A228" s="37"/>
      <c r="B228" s="78"/>
      <c r="C228" s="70"/>
      <c r="D228" s="37"/>
      <c r="E228" s="70"/>
      <c r="F228" s="70"/>
      <c r="G228" s="37"/>
      <c r="H228" s="70"/>
      <c r="I228" s="70"/>
      <c r="J228" s="37"/>
      <c r="K228" s="70"/>
      <c r="L228" s="70"/>
      <c r="M228" s="70"/>
      <c r="N228" s="70"/>
      <c r="O228" s="70"/>
    </row>
    <row r="229" spans="1:15" x14ac:dyDescent="0.25">
      <c r="A229" s="37"/>
      <c r="B229" s="78"/>
      <c r="C229" s="70"/>
      <c r="D229" s="37"/>
      <c r="E229" s="70"/>
      <c r="F229" s="70"/>
      <c r="G229" s="37"/>
      <c r="H229" s="70"/>
      <c r="I229" s="70"/>
      <c r="J229" s="37"/>
      <c r="K229" s="70"/>
      <c r="L229" s="70"/>
      <c r="M229" s="70"/>
      <c r="N229" s="70"/>
      <c r="O229" s="70"/>
    </row>
    <row r="230" spans="1:15" x14ac:dyDescent="0.25">
      <c r="A230" s="37"/>
      <c r="B230" s="78"/>
      <c r="C230" s="70"/>
      <c r="D230" s="37"/>
      <c r="E230" s="70"/>
      <c r="F230" s="70"/>
      <c r="G230" s="37"/>
      <c r="H230" s="70"/>
      <c r="I230" s="70"/>
      <c r="J230" s="37"/>
      <c r="K230" s="70"/>
      <c r="L230" s="70"/>
      <c r="M230" s="70"/>
      <c r="N230" s="70"/>
      <c r="O230" s="70"/>
    </row>
    <row r="231" spans="1:15" x14ac:dyDescent="0.25">
      <c r="A231" s="37"/>
      <c r="B231" s="78"/>
      <c r="C231" s="70"/>
      <c r="D231" s="37"/>
      <c r="E231" s="70"/>
      <c r="F231" s="70"/>
      <c r="G231" s="37"/>
      <c r="H231" s="70"/>
      <c r="I231" s="70"/>
      <c r="J231" s="37"/>
      <c r="K231" s="70"/>
      <c r="L231" s="70"/>
      <c r="M231" s="70"/>
      <c r="N231" s="70"/>
      <c r="O231" s="70"/>
    </row>
    <row r="232" spans="1:15" x14ac:dyDescent="0.25">
      <c r="A232" s="37"/>
      <c r="B232" s="78"/>
      <c r="C232" s="70"/>
      <c r="D232" s="37"/>
      <c r="E232" s="70"/>
      <c r="F232" s="70"/>
      <c r="G232" s="37"/>
      <c r="H232" s="70"/>
      <c r="I232" s="70"/>
      <c r="J232" s="37"/>
      <c r="K232" s="70"/>
      <c r="L232" s="70"/>
      <c r="M232" s="70"/>
      <c r="N232" s="70"/>
      <c r="O232" s="70"/>
    </row>
    <row r="233" spans="1:15" x14ac:dyDescent="0.25">
      <c r="A233" s="37"/>
      <c r="B233" s="78"/>
      <c r="C233" s="70"/>
      <c r="D233" s="37"/>
      <c r="E233" s="70"/>
      <c r="F233" s="70"/>
      <c r="G233" s="37"/>
      <c r="H233" s="70"/>
      <c r="I233" s="70"/>
      <c r="J233" s="37"/>
      <c r="K233" s="70"/>
      <c r="L233" s="70"/>
      <c r="M233" s="70"/>
      <c r="N233" s="70"/>
      <c r="O233" s="70"/>
    </row>
    <row r="234" spans="1:15" x14ac:dyDescent="0.25">
      <c r="A234" s="37"/>
      <c r="B234" s="78"/>
      <c r="C234" s="70"/>
      <c r="D234" s="37"/>
      <c r="E234" s="70"/>
      <c r="F234" s="70"/>
      <c r="G234" s="37"/>
      <c r="H234" s="70"/>
      <c r="I234" s="70"/>
      <c r="J234" s="37"/>
      <c r="K234" s="70"/>
      <c r="L234" s="70"/>
      <c r="M234" s="70"/>
      <c r="N234" s="70"/>
      <c r="O234" s="70"/>
    </row>
    <row r="235" spans="1:15" x14ac:dyDescent="0.25">
      <c r="A235" s="37"/>
      <c r="B235" s="78"/>
      <c r="C235" s="70"/>
      <c r="D235" s="37"/>
      <c r="E235" s="70"/>
      <c r="F235" s="70"/>
      <c r="G235" s="37"/>
      <c r="H235" s="70"/>
      <c r="I235" s="70"/>
      <c r="J235" s="37"/>
      <c r="K235" s="70"/>
      <c r="L235" s="70"/>
      <c r="M235" s="70"/>
      <c r="N235" s="70"/>
      <c r="O235" s="70"/>
    </row>
    <row r="236" spans="1:15" x14ac:dyDescent="0.25">
      <c r="A236" s="37"/>
      <c r="B236" s="78"/>
      <c r="C236" s="70"/>
      <c r="D236" s="37"/>
      <c r="E236" s="70"/>
      <c r="F236" s="70"/>
      <c r="G236" s="37"/>
      <c r="H236" s="70"/>
      <c r="I236" s="70"/>
      <c r="J236" s="37"/>
      <c r="K236" s="70"/>
      <c r="L236" s="70"/>
      <c r="M236" s="70"/>
      <c r="N236" s="70"/>
      <c r="O236" s="70"/>
    </row>
    <row r="237" spans="1:15" x14ac:dyDescent="0.25">
      <c r="A237" s="37"/>
      <c r="B237" s="78"/>
      <c r="C237" s="70"/>
      <c r="D237" s="37"/>
      <c r="E237" s="70"/>
      <c r="F237" s="70"/>
      <c r="G237" s="37"/>
      <c r="H237" s="70"/>
      <c r="I237" s="70"/>
      <c r="J237" s="37"/>
      <c r="K237" s="70"/>
      <c r="L237" s="70"/>
      <c r="M237" s="70"/>
      <c r="N237" s="70"/>
      <c r="O237" s="70"/>
    </row>
    <row r="238" spans="1:15" x14ac:dyDescent="0.25">
      <c r="A238" s="37"/>
      <c r="B238" s="78"/>
      <c r="C238" s="70"/>
      <c r="D238" s="37"/>
      <c r="E238" s="70"/>
      <c r="F238" s="70"/>
      <c r="G238" s="37"/>
      <c r="H238" s="70"/>
      <c r="I238" s="70"/>
      <c r="J238" s="37"/>
      <c r="K238" s="70"/>
      <c r="L238" s="70"/>
      <c r="M238" s="70"/>
      <c r="N238" s="70"/>
      <c r="O238" s="70"/>
    </row>
    <row r="239" spans="1:15" x14ac:dyDescent="0.25">
      <c r="A239" s="37"/>
      <c r="B239" s="78"/>
      <c r="C239" s="70"/>
      <c r="D239" s="37"/>
      <c r="E239" s="70"/>
      <c r="F239" s="70"/>
      <c r="G239" s="37"/>
      <c r="H239" s="70"/>
      <c r="I239" s="70"/>
      <c r="J239" s="37"/>
      <c r="K239" s="70"/>
      <c r="L239" s="70"/>
      <c r="M239" s="70"/>
      <c r="N239" s="70"/>
      <c r="O239" s="70"/>
    </row>
    <row r="240" spans="1:15" x14ac:dyDescent="0.25">
      <c r="A240" s="37"/>
      <c r="B240" s="78"/>
      <c r="C240" s="70"/>
      <c r="D240" s="37"/>
      <c r="E240" s="70"/>
      <c r="F240" s="70"/>
      <c r="G240" s="37"/>
      <c r="H240" s="70"/>
      <c r="I240" s="70"/>
      <c r="J240" s="37"/>
      <c r="K240" s="70"/>
      <c r="L240" s="70"/>
      <c r="M240" s="70"/>
      <c r="N240" s="70"/>
      <c r="O240" s="70"/>
    </row>
    <row r="241" spans="1:15" x14ac:dyDescent="0.25">
      <c r="A241" s="37"/>
      <c r="B241" s="78"/>
      <c r="C241" s="70"/>
      <c r="D241" s="37"/>
      <c r="E241" s="70"/>
      <c r="F241" s="70"/>
      <c r="G241" s="37"/>
      <c r="H241" s="70"/>
      <c r="I241" s="70"/>
      <c r="J241" s="37"/>
      <c r="K241" s="70"/>
      <c r="L241" s="70"/>
      <c r="M241" s="70"/>
      <c r="N241" s="70"/>
      <c r="O241" s="70"/>
    </row>
    <row r="242" spans="1:15" x14ac:dyDescent="0.25">
      <c r="A242" s="37"/>
      <c r="B242" s="78"/>
      <c r="C242" s="70"/>
      <c r="D242" s="37"/>
      <c r="E242" s="70"/>
      <c r="F242" s="70"/>
      <c r="G242" s="37"/>
      <c r="H242" s="70"/>
      <c r="I242" s="70"/>
      <c r="J242" s="37"/>
      <c r="K242" s="70"/>
      <c r="L242" s="70"/>
      <c r="M242" s="70"/>
      <c r="N242" s="70"/>
      <c r="O242" s="70"/>
    </row>
    <row r="243" spans="1:15" x14ac:dyDescent="0.25">
      <c r="A243" s="37"/>
      <c r="B243" s="78"/>
      <c r="C243" s="70"/>
      <c r="D243" s="37"/>
      <c r="E243" s="70"/>
      <c r="F243" s="70"/>
      <c r="G243" s="37"/>
      <c r="H243" s="70"/>
      <c r="I243" s="70"/>
      <c r="J243" s="37"/>
      <c r="K243" s="70"/>
      <c r="L243" s="70"/>
      <c r="M243" s="70"/>
      <c r="N243" s="70"/>
      <c r="O243" s="70"/>
    </row>
    <row r="244" spans="1:15" x14ac:dyDescent="0.25">
      <c r="A244" s="37"/>
      <c r="B244" s="78"/>
      <c r="C244" s="70"/>
      <c r="D244" s="37"/>
      <c r="E244" s="70"/>
      <c r="F244" s="70"/>
      <c r="G244" s="37"/>
      <c r="H244" s="70"/>
      <c r="I244" s="70"/>
      <c r="J244" s="37"/>
      <c r="K244" s="70"/>
      <c r="L244" s="70"/>
      <c r="M244" s="70"/>
      <c r="N244" s="70"/>
      <c r="O244" s="70"/>
    </row>
    <row r="245" spans="1:15" x14ac:dyDescent="0.25">
      <c r="A245" s="37"/>
      <c r="B245" s="78"/>
      <c r="C245" s="70"/>
      <c r="D245" s="37"/>
      <c r="E245" s="70"/>
      <c r="F245" s="70"/>
      <c r="G245" s="37"/>
      <c r="H245" s="70"/>
      <c r="I245" s="70"/>
      <c r="J245" s="37"/>
      <c r="K245" s="70"/>
      <c r="L245" s="70"/>
      <c r="M245" s="70"/>
      <c r="N245" s="70"/>
      <c r="O245" s="70"/>
    </row>
    <row r="246" spans="1:15" x14ac:dyDescent="0.25">
      <c r="A246" s="37"/>
      <c r="B246" s="78"/>
      <c r="C246" s="70"/>
      <c r="D246" s="37"/>
      <c r="E246" s="70"/>
      <c r="F246" s="70"/>
      <c r="G246" s="37"/>
      <c r="H246" s="70"/>
      <c r="I246" s="70"/>
      <c r="J246" s="37"/>
      <c r="K246" s="70"/>
      <c r="L246" s="70"/>
      <c r="M246" s="70"/>
      <c r="N246" s="70"/>
      <c r="O246" s="70"/>
    </row>
    <row r="247" spans="1:15" x14ac:dyDescent="0.25">
      <c r="A247" s="37"/>
      <c r="B247" s="78"/>
      <c r="C247" s="70"/>
      <c r="D247" s="37"/>
      <c r="E247" s="70"/>
      <c r="F247" s="70"/>
      <c r="G247" s="37"/>
      <c r="H247" s="70"/>
      <c r="I247" s="70"/>
      <c r="J247" s="37"/>
      <c r="K247" s="70"/>
      <c r="L247" s="70"/>
      <c r="M247" s="70"/>
      <c r="N247" s="70"/>
      <c r="O247" s="70"/>
    </row>
    <row r="248" spans="1:15" x14ac:dyDescent="0.25">
      <c r="A248" s="37"/>
      <c r="B248" s="78"/>
      <c r="C248" s="70"/>
      <c r="D248" s="37"/>
      <c r="E248" s="70"/>
      <c r="F248" s="70"/>
      <c r="G248" s="37"/>
      <c r="H248" s="70"/>
      <c r="I248" s="70"/>
      <c r="J248" s="37"/>
      <c r="K248" s="70"/>
      <c r="L248" s="70"/>
      <c r="M248" s="70"/>
      <c r="N248" s="70"/>
      <c r="O248" s="70"/>
    </row>
    <row r="249" spans="1:15" x14ac:dyDescent="0.25">
      <c r="A249" s="37"/>
      <c r="B249" s="78"/>
      <c r="C249" s="70"/>
      <c r="D249" s="37"/>
      <c r="E249" s="70"/>
      <c r="F249" s="70"/>
      <c r="G249" s="37"/>
      <c r="H249" s="70"/>
      <c r="I249" s="70"/>
      <c r="J249" s="37"/>
      <c r="K249" s="70"/>
      <c r="L249" s="70"/>
      <c r="M249" s="70"/>
      <c r="N249" s="70"/>
      <c r="O249" s="70"/>
    </row>
    <row r="250" spans="1:15" x14ac:dyDescent="0.25">
      <c r="A250" s="37"/>
      <c r="B250" s="78"/>
      <c r="C250" s="70"/>
      <c r="D250" s="37"/>
      <c r="E250" s="70"/>
      <c r="F250" s="70"/>
      <c r="G250" s="37"/>
      <c r="H250" s="70"/>
      <c r="I250" s="70"/>
      <c r="J250" s="37"/>
      <c r="K250" s="70"/>
      <c r="L250" s="70"/>
      <c r="M250" s="70"/>
      <c r="N250" s="70"/>
      <c r="O250" s="70"/>
    </row>
    <row r="251" spans="1:15" x14ac:dyDescent="0.25">
      <c r="A251" s="37"/>
      <c r="B251" s="78"/>
      <c r="C251" s="70"/>
      <c r="D251" s="37"/>
      <c r="E251" s="70"/>
      <c r="F251" s="70"/>
      <c r="G251" s="37"/>
      <c r="H251" s="70"/>
      <c r="I251" s="70"/>
      <c r="J251" s="37"/>
      <c r="K251" s="70"/>
      <c r="L251" s="70"/>
      <c r="M251" s="70"/>
      <c r="N251" s="70"/>
      <c r="O251" s="70"/>
    </row>
    <row r="252" spans="1:15" x14ac:dyDescent="0.25">
      <c r="A252" s="37"/>
      <c r="B252" s="78"/>
      <c r="C252" s="70"/>
      <c r="D252" s="37"/>
      <c r="E252" s="70"/>
      <c r="F252" s="70"/>
      <c r="G252" s="37"/>
      <c r="H252" s="70"/>
      <c r="I252" s="70"/>
      <c r="J252" s="37"/>
      <c r="K252" s="70"/>
      <c r="L252" s="70"/>
      <c r="M252" s="70"/>
      <c r="N252" s="70"/>
      <c r="O252" s="70"/>
    </row>
    <row r="253" spans="1:15" x14ac:dyDescent="0.25">
      <c r="A253" s="37"/>
      <c r="B253" s="78"/>
      <c r="C253" s="70"/>
      <c r="D253" s="37"/>
      <c r="E253" s="70"/>
      <c r="F253" s="70"/>
      <c r="G253" s="37"/>
      <c r="H253" s="70"/>
      <c r="I253" s="70"/>
      <c r="J253" s="37"/>
      <c r="K253" s="70"/>
      <c r="L253" s="70"/>
      <c r="M253" s="70"/>
      <c r="N253" s="70"/>
      <c r="O253" s="70"/>
    </row>
    <row r="254" spans="1:15" x14ac:dyDescent="0.25">
      <c r="A254" s="37"/>
      <c r="B254" s="78"/>
      <c r="C254" s="70"/>
      <c r="D254" s="37"/>
      <c r="E254" s="70"/>
      <c r="F254" s="70"/>
      <c r="G254" s="37"/>
      <c r="H254" s="70"/>
      <c r="I254" s="70"/>
      <c r="J254" s="37"/>
      <c r="K254" s="70"/>
      <c r="L254" s="70"/>
      <c r="M254" s="70"/>
      <c r="N254" s="70"/>
      <c r="O254" s="70"/>
    </row>
    <row r="255" spans="1:15" x14ac:dyDescent="0.25">
      <c r="A255" s="37"/>
      <c r="B255" s="78"/>
      <c r="C255" s="70"/>
      <c r="D255" s="37"/>
      <c r="E255" s="70"/>
      <c r="F255" s="70"/>
      <c r="G255" s="37"/>
      <c r="H255" s="70"/>
      <c r="I255" s="70"/>
      <c r="J255" s="37"/>
      <c r="K255" s="70"/>
      <c r="L255" s="70"/>
      <c r="M255" s="70"/>
      <c r="N255" s="70"/>
      <c r="O255" s="70"/>
    </row>
    <row r="256" spans="1:15" x14ac:dyDescent="0.25">
      <c r="A256" s="37"/>
      <c r="B256" s="78"/>
      <c r="C256" s="70"/>
      <c r="D256" s="37"/>
      <c r="E256" s="70"/>
      <c r="F256" s="70"/>
      <c r="G256" s="37"/>
      <c r="H256" s="70"/>
      <c r="I256" s="70"/>
      <c r="J256" s="37"/>
      <c r="K256" s="70"/>
      <c r="L256" s="70"/>
      <c r="M256" s="70"/>
      <c r="N256" s="70"/>
      <c r="O256" s="70"/>
    </row>
    <row r="257" spans="1:15" x14ac:dyDescent="0.25">
      <c r="A257" s="37"/>
      <c r="B257" s="78"/>
      <c r="C257" s="70"/>
      <c r="D257" s="37"/>
      <c r="E257" s="70"/>
      <c r="F257" s="70"/>
      <c r="G257" s="37"/>
      <c r="H257" s="70"/>
      <c r="I257" s="70"/>
      <c r="J257" s="37"/>
      <c r="K257" s="70"/>
      <c r="L257" s="70"/>
      <c r="M257" s="70"/>
      <c r="N257" s="70"/>
      <c r="O257" s="70"/>
    </row>
    <row r="258" spans="1:15" x14ac:dyDescent="0.25">
      <c r="A258" s="37"/>
      <c r="B258" s="78"/>
      <c r="C258" s="70"/>
      <c r="D258" s="37"/>
      <c r="E258" s="70"/>
      <c r="F258" s="70"/>
      <c r="G258" s="37"/>
      <c r="H258" s="70"/>
      <c r="I258" s="70"/>
      <c r="J258" s="37"/>
      <c r="K258" s="70"/>
      <c r="L258" s="70"/>
      <c r="M258" s="70"/>
      <c r="N258" s="70"/>
      <c r="O258" s="70"/>
    </row>
    <row r="259" spans="1:15" x14ac:dyDescent="0.25">
      <c r="A259" s="37"/>
      <c r="B259" s="78"/>
      <c r="C259" s="70"/>
      <c r="D259" s="37"/>
      <c r="E259" s="70"/>
      <c r="F259" s="70"/>
      <c r="G259" s="37"/>
      <c r="H259" s="70"/>
      <c r="I259" s="70"/>
      <c r="J259" s="37"/>
      <c r="K259" s="70"/>
      <c r="L259" s="70"/>
      <c r="M259" s="70"/>
      <c r="N259" s="70"/>
      <c r="O259" s="70"/>
    </row>
    <row r="260" spans="1:15" x14ac:dyDescent="0.25">
      <c r="A260" s="37"/>
      <c r="B260" s="78"/>
      <c r="C260" s="70"/>
      <c r="D260" s="37"/>
      <c r="E260" s="70"/>
      <c r="F260" s="70"/>
      <c r="G260" s="37"/>
      <c r="H260" s="70"/>
      <c r="I260" s="70"/>
      <c r="J260" s="37"/>
      <c r="K260" s="70"/>
      <c r="L260" s="70"/>
      <c r="M260" s="70"/>
      <c r="N260" s="70"/>
      <c r="O260" s="70"/>
    </row>
    <row r="261" spans="1:15" x14ac:dyDescent="0.25">
      <c r="A261" s="37"/>
      <c r="B261" s="78"/>
      <c r="C261" s="70"/>
      <c r="D261" s="37"/>
      <c r="E261" s="70"/>
      <c r="F261" s="70"/>
      <c r="G261" s="37"/>
      <c r="H261" s="70"/>
      <c r="I261" s="70"/>
      <c r="J261" s="37"/>
      <c r="K261" s="70"/>
      <c r="L261" s="70"/>
      <c r="M261" s="70"/>
      <c r="N261" s="70"/>
      <c r="O261" s="70"/>
    </row>
    <row r="262" spans="1:15" x14ac:dyDescent="0.25">
      <c r="A262" s="37"/>
      <c r="B262" s="78"/>
      <c r="C262" s="70"/>
      <c r="D262" s="37"/>
      <c r="E262" s="70"/>
      <c r="F262" s="70"/>
      <c r="G262" s="37"/>
      <c r="H262" s="70"/>
      <c r="I262" s="70"/>
      <c r="J262" s="37"/>
      <c r="K262" s="70"/>
      <c r="L262" s="70"/>
      <c r="M262" s="70"/>
      <c r="N262" s="70"/>
      <c r="O262" s="70"/>
    </row>
    <row r="263" spans="1:15" x14ac:dyDescent="0.25">
      <c r="A263" s="37"/>
      <c r="B263" s="78"/>
      <c r="C263" s="70"/>
      <c r="D263" s="37"/>
      <c r="E263" s="70"/>
      <c r="F263" s="70"/>
      <c r="G263" s="37"/>
      <c r="H263" s="70"/>
      <c r="I263" s="70"/>
      <c r="J263" s="37"/>
      <c r="K263" s="70"/>
      <c r="L263" s="70"/>
      <c r="M263" s="70"/>
      <c r="N263" s="70"/>
      <c r="O263" s="70"/>
    </row>
    <row r="264" spans="1:15" x14ac:dyDescent="0.25">
      <c r="A264" s="37"/>
      <c r="B264" s="78"/>
      <c r="C264" s="70"/>
      <c r="D264" s="37"/>
      <c r="E264" s="70"/>
      <c r="F264" s="70"/>
      <c r="G264" s="37"/>
      <c r="H264" s="70"/>
      <c r="I264" s="70"/>
      <c r="J264" s="37"/>
      <c r="K264" s="70"/>
      <c r="L264" s="70"/>
      <c r="M264" s="70"/>
      <c r="N264" s="70"/>
      <c r="O264" s="70"/>
    </row>
    <row r="265" spans="1:15" x14ac:dyDescent="0.25">
      <c r="A265" s="37"/>
      <c r="B265" s="78"/>
      <c r="C265" s="70"/>
      <c r="D265" s="37"/>
      <c r="E265" s="70"/>
      <c r="F265" s="70"/>
      <c r="G265" s="37"/>
      <c r="H265" s="70"/>
      <c r="I265" s="70"/>
      <c r="J265" s="37"/>
      <c r="K265" s="70"/>
      <c r="L265" s="70"/>
      <c r="M265" s="70"/>
      <c r="N265" s="70"/>
      <c r="O265" s="70"/>
    </row>
    <row r="266" spans="1:15" x14ac:dyDescent="0.25">
      <c r="A266" s="37"/>
      <c r="B266" s="78"/>
      <c r="C266" s="70"/>
      <c r="D266" s="37"/>
      <c r="E266" s="70"/>
      <c r="F266" s="70"/>
      <c r="G266" s="37"/>
      <c r="H266" s="70"/>
      <c r="I266" s="70"/>
      <c r="J266" s="37"/>
      <c r="K266" s="70"/>
      <c r="L266" s="70"/>
      <c r="M266" s="70"/>
      <c r="N266" s="70"/>
      <c r="O266" s="70"/>
    </row>
    <row r="267" spans="1:15" x14ac:dyDescent="0.25">
      <c r="A267" s="37"/>
      <c r="B267" s="78"/>
      <c r="C267" s="70"/>
      <c r="D267" s="37"/>
      <c r="E267" s="70"/>
      <c r="F267" s="70"/>
      <c r="G267" s="37"/>
      <c r="H267" s="70"/>
      <c r="I267" s="70"/>
      <c r="J267" s="37"/>
      <c r="K267" s="70"/>
      <c r="L267" s="70"/>
      <c r="M267" s="70"/>
      <c r="N267" s="70"/>
      <c r="O267" s="70"/>
    </row>
    <row r="268" spans="1:15" x14ac:dyDescent="0.25">
      <c r="A268" s="37"/>
      <c r="B268" s="78"/>
      <c r="C268" s="70"/>
      <c r="D268" s="37"/>
      <c r="E268" s="70"/>
      <c r="F268" s="70"/>
      <c r="G268" s="37"/>
      <c r="H268" s="70"/>
      <c r="I268" s="70"/>
      <c r="J268" s="37"/>
      <c r="K268" s="70"/>
      <c r="L268" s="70"/>
      <c r="M268" s="70"/>
      <c r="N268" s="70"/>
      <c r="O268" s="70"/>
    </row>
    <row r="269" spans="1:15" x14ac:dyDescent="0.25">
      <c r="A269" s="37"/>
      <c r="B269" s="78"/>
      <c r="C269" s="70"/>
      <c r="D269" s="37"/>
      <c r="E269" s="70"/>
      <c r="F269" s="70"/>
      <c r="G269" s="37"/>
      <c r="H269" s="70"/>
      <c r="I269" s="70"/>
      <c r="J269" s="37"/>
      <c r="K269" s="70"/>
      <c r="L269" s="70"/>
      <c r="M269" s="70"/>
      <c r="N269" s="70"/>
      <c r="O269" s="70"/>
    </row>
    <row r="270" spans="1:15" x14ac:dyDescent="0.25">
      <c r="A270" s="37"/>
      <c r="B270" s="78"/>
      <c r="C270" s="70"/>
      <c r="D270" s="37"/>
      <c r="E270" s="70"/>
      <c r="F270" s="70"/>
      <c r="G270" s="37"/>
      <c r="H270" s="70"/>
      <c r="I270" s="70"/>
      <c r="J270" s="37"/>
      <c r="K270" s="70"/>
      <c r="L270" s="70"/>
      <c r="M270" s="70"/>
      <c r="N270" s="70"/>
      <c r="O270" s="70"/>
    </row>
    <row r="271" spans="1:15" x14ac:dyDescent="0.25">
      <c r="A271" s="37"/>
      <c r="B271" s="78"/>
      <c r="C271" s="70"/>
      <c r="D271" s="37"/>
      <c r="E271" s="70"/>
      <c r="F271" s="70"/>
      <c r="G271" s="37"/>
      <c r="H271" s="70"/>
      <c r="I271" s="70"/>
      <c r="J271" s="37"/>
      <c r="K271" s="70"/>
      <c r="L271" s="70"/>
      <c r="M271" s="70"/>
      <c r="N271" s="70"/>
      <c r="O271" s="70"/>
    </row>
    <row r="272" spans="1:15" x14ac:dyDescent="0.25">
      <c r="A272" s="37"/>
      <c r="B272" s="78"/>
      <c r="C272" s="70"/>
      <c r="D272" s="37"/>
      <c r="E272" s="70"/>
      <c r="F272" s="70"/>
      <c r="G272" s="37"/>
      <c r="H272" s="70"/>
      <c r="I272" s="70"/>
      <c r="J272" s="37"/>
      <c r="K272" s="70"/>
      <c r="L272" s="70"/>
      <c r="M272" s="70"/>
      <c r="N272" s="70"/>
      <c r="O272" s="70"/>
    </row>
    <row r="273" spans="1:15" x14ac:dyDescent="0.25">
      <c r="A273" s="37"/>
      <c r="B273" s="78"/>
      <c r="C273" s="70"/>
      <c r="D273" s="37"/>
      <c r="E273" s="70"/>
      <c r="F273" s="70"/>
      <c r="G273" s="37"/>
      <c r="H273" s="70"/>
      <c r="I273" s="70"/>
      <c r="J273" s="37"/>
      <c r="K273" s="70"/>
      <c r="L273" s="70"/>
      <c r="M273" s="70"/>
      <c r="N273" s="70"/>
      <c r="O273" s="70"/>
    </row>
    <row r="274" spans="1:15" x14ac:dyDescent="0.25">
      <c r="A274" s="37"/>
      <c r="B274" s="78"/>
      <c r="C274" s="70"/>
      <c r="D274" s="37"/>
      <c r="E274" s="70"/>
      <c r="F274" s="70"/>
      <c r="G274" s="37"/>
      <c r="H274" s="70"/>
      <c r="I274" s="70"/>
      <c r="J274" s="37"/>
      <c r="K274" s="70"/>
      <c r="L274" s="70"/>
      <c r="M274" s="70"/>
      <c r="N274" s="70"/>
      <c r="O274" s="70"/>
    </row>
    <row r="275" spans="1:15" x14ac:dyDescent="0.25">
      <c r="A275" s="37"/>
      <c r="B275" s="78"/>
      <c r="C275" s="70"/>
      <c r="D275" s="37"/>
      <c r="E275" s="70"/>
      <c r="F275" s="70"/>
      <c r="G275" s="37"/>
      <c r="H275" s="70"/>
      <c r="I275" s="70"/>
      <c r="J275" s="37"/>
      <c r="K275" s="70"/>
      <c r="L275" s="70"/>
      <c r="M275" s="70"/>
      <c r="N275" s="70"/>
      <c r="O275" s="70"/>
    </row>
    <row r="276" spans="1:15" x14ac:dyDescent="0.25">
      <c r="A276" s="37"/>
      <c r="B276" s="78"/>
      <c r="C276" s="70"/>
      <c r="D276" s="37"/>
      <c r="E276" s="70"/>
      <c r="F276" s="70"/>
      <c r="G276" s="37"/>
      <c r="H276" s="70"/>
      <c r="I276" s="70"/>
      <c r="J276" s="37"/>
      <c r="K276" s="70"/>
      <c r="L276" s="70"/>
      <c r="M276" s="70"/>
      <c r="N276" s="70"/>
      <c r="O276" s="70"/>
    </row>
    <row r="277" spans="1:15" x14ac:dyDescent="0.25">
      <c r="A277" s="37"/>
      <c r="B277" s="78"/>
      <c r="C277" s="70"/>
      <c r="D277" s="37"/>
      <c r="E277" s="70"/>
      <c r="F277" s="70"/>
      <c r="G277" s="37"/>
      <c r="H277" s="70"/>
      <c r="I277" s="70"/>
      <c r="J277" s="37"/>
      <c r="K277" s="70"/>
      <c r="L277" s="70"/>
      <c r="M277" s="70"/>
      <c r="N277" s="70"/>
      <c r="O277" s="70"/>
    </row>
    <row r="278" spans="1:15" x14ac:dyDescent="0.25">
      <c r="A278" s="37"/>
      <c r="B278" s="78"/>
      <c r="C278" s="70"/>
      <c r="D278" s="37"/>
      <c r="E278" s="70"/>
      <c r="F278" s="70"/>
      <c r="G278" s="37"/>
      <c r="H278" s="70"/>
      <c r="I278" s="70"/>
      <c r="J278" s="37"/>
      <c r="K278" s="70"/>
      <c r="L278" s="70"/>
      <c r="M278" s="70"/>
      <c r="N278" s="70"/>
      <c r="O278" s="70"/>
    </row>
    <row r="279" spans="1:15" x14ac:dyDescent="0.25">
      <c r="A279" s="37"/>
      <c r="B279" s="78"/>
      <c r="C279" s="70"/>
      <c r="D279" s="37"/>
      <c r="E279" s="70"/>
      <c r="F279" s="70"/>
      <c r="G279" s="37"/>
      <c r="H279" s="70"/>
      <c r="I279" s="70"/>
      <c r="J279" s="37"/>
      <c r="K279" s="70"/>
      <c r="L279" s="70"/>
      <c r="M279" s="70"/>
      <c r="N279" s="70"/>
      <c r="O279" s="70"/>
    </row>
    <row r="280" spans="1:15" x14ac:dyDescent="0.25">
      <c r="A280" s="37"/>
      <c r="B280" s="78"/>
      <c r="C280" s="70"/>
      <c r="D280" s="37"/>
      <c r="E280" s="70"/>
      <c r="F280" s="70"/>
      <c r="G280" s="37"/>
      <c r="H280" s="70"/>
      <c r="I280" s="70"/>
      <c r="J280" s="37"/>
      <c r="K280" s="70"/>
      <c r="L280" s="70"/>
      <c r="M280" s="70"/>
      <c r="N280" s="70"/>
      <c r="O280" s="70"/>
    </row>
    <row r="281" spans="1:15" x14ac:dyDescent="0.25">
      <c r="A281" s="37"/>
      <c r="B281" s="78"/>
      <c r="C281" s="70"/>
      <c r="D281" s="37"/>
      <c r="E281" s="70"/>
      <c r="F281" s="70"/>
      <c r="G281" s="37"/>
      <c r="H281" s="70"/>
      <c r="I281" s="70"/>
      <c r="J281" s="37"/>
      <c r="K281" s="70"/>
      <c r="L281" s="70"/>
      <c r="M281" s="70"/>
      <c r="N281" s="70"/>
      <c r="O281" s="70"/>
    </row>
    <row r="282" spans="1:15" x14ac:dyDescent="0.25">
      <c r="A282" s="37"/>
      <c r="B282" s="78"/>
      <c r="C282" s="70"/>
      <c r="D282" s="37"/>
      <c r="E282" s="70"/>
      <c r="F282" s="70"/>
      <c r="G282" s="37"/>
      <c r="H282" s="70"/>
      <c r="I282" s="70"/>
      <c r="J282" s="37"/>
      <c r="K282" s="70"/>
      <c r="L282" s="70"/>
      <c r="M282" s="70"/>
      <c r="N282" s="70"/>
      <c r="O282" s="70"/>
    </row>
    <row r="283" spans="1:15" x14ac:dyDescent="0.25">
      <c r="A283" s="37"/>
      <c r="B283" s="78"/>
      <c r="C283" s="70"/>
      <c r="D283" s="37"/>
      <c r="E283" s="70"/>
      <c r="F283" s="70"/>
      <c r="G283" s="37"/>
      <c r="H283" s="70"/>
      <c r="I283" s="70"/>
      <c r="J283" s="37"/>
      <c r="K283" s="70"/>
      <c r="L283" s="70"/>
      <c r="M283" s="70"/>
      <c r="N283" s="70"/>
      <c r="O283" s="70"/>
    </row>
    <row r="284" spans="1:15" x14ac:dyDescent="0.25">
      <c r="A284" s="37"/>
      <c r="B284" s="78"/>
      <c r="C284" s="70"/>
      <c r="D284" s="37"/>
      <c r="E284" s="70"/>
      <c r="F284" s="70"/>
      <c r="G284" s="37"/>
      <c r="H284" s="70"/>
      <c r="I284" s="70"/>
      <c r="J284" s="37"/>
      <c r="K284" s="70"/>
      <c r="L284" s="70"/>
      <c r="M284" s="70"/>
      <c r="N284" s="70"/>
      <c r="O284" s="70"/>
    </row>
    <row r="285" spans="1:15" x14ac:dyDescent="0.25">
      <c r="A285" s="37"/>
      <c r="B285" s="78"/>
      <c r="C285" s="70"/>
      <c r="D285" s="37"/>
      <c r="E285" s="70"/>
      <c r="F285" s="70"/>
      <c r="G285" s="37"/>
      <c r="H285" s="70"/>
      <c r="I285" s="70"/>
      <c r="J285" s="37"/>
      <c r="K285" s="70"/>
      <c r="L285" s="70"/>
      <c r="M285" s="70"/>
      <c r="N285" s="70"/>
      <c r="O285" s="70"/>
    </row>
    <row r="286" spans="1:15" x14ac:dyDescent="0.25">
      <c r="A286" s="37"/>
      <c r="B286" s="78"/>
      <c r="C286" s="70"/>
      <c r="D286" s="37"/>
      <c r="E286" s="70"/>
      <c r="F286" s="70"/>
      <c r="G286" s="37"/>
      <c r="H286" s="70"/>
      <c r="I286" s="70"/>
      <c r="J286" s="37"/>
      <c r="K286" s="70"/>
      <c r="L286" s="70"/>
      <c r="M286" s="70"/>
      <c r="N286" s="70"/>
      <c r="O286" s="70"/>
    </row>
    <row r="287" spans="1:15" x14ac:dyDescent="0.25">
      <c r="A287" s="37"/>
      <c r="B287" s="78"/>
      <c r="C287" s="70"/>
      <c r="D287" s="37"/>
      <c r="E287" s="70"/>
      <c r="F287" s="70"/>
      <c r="G287" s="37"/>
      <c r="H287" s="70"/>
      <c r="I287" s="70"/>
      <c r="J287" s="37"/>
      <c r="K287" s="70"/>
      <c r="L287" s="70"/>
      <c r="M287" s="70"/>
      <c r="N287" s="70"/>
      <c r="O287" s="70"/>
    </row>
    <row r="288" spans="1:15" x14ac:dyDescent="0.25">
      <c r="A288" s="37"/>
      <c r="B288" s="78"/>
      <c r="C288" s="70"/>
      <c r="D288" s="37"/>
      <c r="E288" s="70"/>
      <c r="F288" s="70"/>
      <c r="G288" s="37"/>
      <c r="H288" s="70"/>
      <c r="I288" s="70"/>
      <c r="J288" s="37"/>
      <c r="K288" s="70"/>
      <c r="L288" s="70"/>
      <c r="M288" s="70"/>
      <c r="N288" s="70"/>
      <c r="O288" s="70"/>
    </row>
    <row r="289" spans="1:15" x14ac:dyDescent="0.25">
      <c r="A289" s="37"/>
      <c r="B289" s="78"/>
      <c r="C289" s="70"/>
      <c r="D289" s="37"/>
      <c r="E289" s="70"/>
      <c r="F289" s="70"/>
      <c r="G289" s="37"/>
      <c r="H289" s="70"/>
      <c r="I289" s="70"/>
      <c r="J289" s="37"/>
      <c r="K289" s="70"/>
      <c r="L289" s="70"/>
      <c r="M289" s="70"/>
      <c r="N289" s="70"/>
      <c r="O289" s="70"/>
    </row>
    <row r="290" spans="1:15" x14ac:dyDescent="0.25">
      <c r="A290" s="37"/>
      <c r="B290" s="78"/>
      <c r="C290" s="70"/>
      <c r="D290" s="37"/>
      <c r="E290" s="70"/>
      <c r="F290" s="70"/>
      <c r="G290" s="37"/>
      <c r="H290" s="70"/>
      <c r="I290" s="70"/>
      <c r="J290" s="37"/>
      <c r="K290" s="70"/>
      <c r="L290" s="70"/>
      <c r="M290" s="70"/>
      <c r="N290" s="70"/>
      <c r="O290" s="70"/>
    </row>
    <row r="291" spans="1:15" x14ac:dyDescent="0.25">
      <c r="A291" s="37"/>
      <c r="B291" s="78"/>
      <c r="C291" s="70"/>
      <c r="D291" s="37"/>
      <c r="E291" s="70"/>
      <c r="F291" s="70"/>
      <c r="G291" s="37"/>
      <c r="H291" s="70"/>
      <c r="I291" s="70"/>
      <c r="J291" s="37"/>
      <c r="K291" s="70"/>
      <c r="L291" s="70"/>
      <c r="M291" s="70"/>
      <c r="N291" s="70"/>
      <c r="O291" s="70"/>
    </row>
    <row r="292" spans="1:15" x14ac:dyDescent="0.25">
      <c r="A292" s="37"/>
      <c r="B292" s="78"/>
      <c r="C292" s="70"/>
      <c r="D292" s="37"/>
      <c r="E292" s="70"/>
      <c r="F292" s="70"/>
      <c r="G292" s="37"/>
      <c r="H292" s="70"/>
      <c r="I292" s="70"/>
      <c r="J292" s="37"/>
      <c r="K292" s="70"/>
      <c r="L292" s="70"/>
      <c r="M292" s="70"/>
      <c r="N292" s="70"/>
      <c r="O292" s="70"/>
    </row>
    <row r="293" spans="1:15" x14ac:dyDescent="0.25">
      <c r="A293" s="37"/>
      <c r="B293" s="78"/>
      <c r="C293" s="70"/>
      <c r="D293" s="37"/>
      <c r="E293" s="70"/>
      <c r="F293" s="70"/>
      <c r="G293" s="37"/>
      <c r="H293" s="70"/>
      <c r="I293" s="70"/>
      <c r="J293" s="37"/>
      <c r="K293" s="70"/>
      <c r="L293" s="70"/>
      <c r="M293" s="70"/>
      <c r="N293" s="70"/>
      <c r="O293" s="70"/>
    </row>
    <row r="294" spans="1:15" x14ac:dyDescent="0.25">
      <c r="A294" s="37"/>
      <c r="B294" s="78"/>
      <c r="C294" s="70"/>
      <c r="D294" s="37"/>
      <c r="E294" s="70"/>
      <c r="F294" s="70"/>
      <c r="G294" s="37"/>
      <c r="H294" s="70"/>
      <c r="I294" s="70"/>
      <c r="J294" s="37"/>
      <c r="K294" s="70"/>
      <c r="L294" s="70"/>
      <c r="M294" s="70"/>
      <c r="N294" s="70"/>
      <c r="O294" s="70"/>
    </row>
    <row r="295" spans="1:15" x14ac:dyDescent="0.25">
      <c r="A295" s="37"/>
      <c r="B295" s="78"/>
      <c r="C295" s="70"/>
      <c r="D295" s="37"/>
      <c r="E295" s="70"/>
      <c r="F295" s="70"/>
      <c r="G295" s="37"/>
      <c r="H295" s="70"/>
      <c r="I295" s="70"/>
      <c r="J295" s="37"/>
      <c r="K295" s="70"/>
      <c r="L295" s="70"/>
      <c r="M295" s="70"/>
      <c r="N295" s="70"/>
      <c r="O295" s="70"/>
    </row>
    <row r="296" spans="1:15" x14ac:dyDescent="0.25">
      <c r="A296" s="37"/>
      <c r="B296" s="78"/>
      <c r="C296" s="70"/>
      <c r="D296" s="37"/>
      <c r="E296" s="70"/>
      <c r="F296" s="70"/>
      <c r="G296" s="37"/>
      <c r="H296" s="70"/>
      <c r="I296" s="70"/>
      <c r="J296" s="37"/>
      <c r="K296" s="70"/>
      <c r="L296" s="70"/>
      <c r="M296" s="70"/>
      <c r="N296" s="70"/>
      <c r="O296" s="70"/>
    </row>
    <row r="297" spans="1:15" x14ac:dyDescent="0.25">
      <c r="A297" s="37"/>
      <c r="B297" s="78"/>
      <c r="C297" s="70"/>
      <c r="D297" s="37"/>
      <c r="E297" s="70"/>
      <c r="F297" s="70"/>
      <c r="G297" s="37"/>
      <c r="H297" s="70"/>
      <c r="I297" s="70"/>
      <c r="J297" s="37"/>
      <c r="K297" s="70"/>
      <c r="L297" s="70"/>
      <c r="M297" s="70"/>
      <c r="N297" s="70"/>
      <c r="O297" s="70"/>
    </row>
    <row r="298" spans="1:15" x14ac:dyDescent="0.25">
      <c r="A298" s="37"/>
      <c r="B298" s="78"/>
      <c r="C298" s="70"/>
      <c r="D298" s="37"/>
      <c r="E298" s="70"/>
      <c r="F298" s="70"/>
      <c r="G298" s="37"/>
      <c r="H298" s="70"/>
      <c r="I298" s="70"/>
      <c r="J298" s="37"/>
      <c r="K298" s="70"/>
      <c r="L298" s="70"/>
      <c r="M298" s="70"/>
      <c r="N298" s="70"/>
      <c r="O298" s="70"/>
    </row>
    <row r="299" spans="1:15" x14ac:dyDescent="0.25">
      <c r="A299" s="37"/>
      <c r="B299" s="78"/>
      <c r="C299" s="70"/>
      <c r="D299" s="37"/>
      <c r="E299" s="70"/>
      <c r="F299" s="70"/>
      <c r="G299" s="37"/>
      <c r="H299" s="70"/>
      <c r="I299" s="70"/>
      <c r="J299" s="37"/>
      <c r="K299" s="70"/>
      <c r="L299" s="70"/>
      <c r="M299" s="70"/>
      <c r="N299" s="70"/>
      <c r="O299" s="70"/>
    </row>
    <row r="300" spans="1:15" x14ac:dyDescent="0.25">
      <c r="A300" s="37"/>
      <c r="B300" s="78"/>
      <c r="C300" s="70"/>
      <c r="D300" s="37"/>
      <c r="E300" s="70"/>
      <c r="F300" s="70"/>
      <c r="G300" s="37"/>
      <c r="H300" s="70"/>
      <c r="I300" s="70"/>
      <c r="J300" s="37"/>
      <c r="K300" s="70"/>
      <c r="L300" s="70"/>
      <c r="M300" s="70"/>
      <c r="N300" s="70"/>
      <c r="O300" s="70"/>
    </row>
    <row r="301" spans="1:15" x14ac:dyDescent="0.25">
      <c r="A301" s="37"/>
      <c r="B301" s="78"/>
      <c r="C301" s="70"/>
      <c r="D301" s="37"/>
      <c r="E301" s="70"/>
      <c r="F301" s="70"/>
      <c r="G301" s="37"/>
      <c r="H301" s="70"/>
      <c r="I301" s="70"/>
      <c r="J301" s="37"/>
      <c r="K301" s="70"/>
      <c r="L301" s="70"/>
      <c r="M301" s="70"/>
      <c r="N301" s="70"/>
      <c r="O301" s="70"/>
    </row>
    <row r="302" spans="1:15" x14ac:dyDescent="0.25">
      <c r="A302" s="37"/>
      <c r="B302" s="78"/>
      <c r="C302" s="70"/>
      <c r="D302" s="37"/>
      <c r="E302" s="70"/>
      <c r="F302" s="70"/>
      <c r="G302" s="37"/>
      <c r="H302" s="70"/>
      <c r="I302" s="70"/>
      <c r="J302" s="37"/>
      <c r="K302" s="70"/>
      <c r="L302" s="70"/>
      <c r="M302" s="70"/>
      <c r="N302" s="70"/>
      <c r="O302" s="70"/>
    </row>
    <row r="303" spans="1:15" x14ac:dyDescent="0.25">
      <c r="A303" s="37"/>
      <c r="B303" s="78"/>
      <c r="C303" s="70"/>
      <c r="D303" s="37"/>
      <c r="E303" s="70"/>
      <c r="F303" s="70"/>
      <c r="G303" s="37"/>
      <c r="H303" s="70"/>
      <c r="I303" s="70"/>
      <c r="J303" s="37"/>
      <c r="K303" s="70"/>
      <c r="L303" s="70"/>
      <c r="M303" s="70"/>
      <c r="N303" s="70"/>
      <c r="O303" s="70"/>
    </row>
    <row r="304" spans="1:15" x14ac:dyDescent="0.25">
      <c r="A304" s="37"/>
      <c r="B304" s="78"/>
      <c r="C304" s="70"/>
      <c r="D304" s="37"/>
      <c r="E304" s="70"/>
      <c r="F304" s="70"/>
      <c r="G304" s="37"/>
      <c r="H304" s="70"/>
      <c r="I304" s="70"/>
      <c r="J304" s="37"/>
      <c r="K304" s="70"/>
      <c r="L304" s="70"/>
      <c r="M304" s="70"/>
      <c r="N304" s="70"/>
      <c r="O304" s="70"/>
    </row>
    <row r="305" spans="1:15" x14ac:dyDescent="0.25">
      <c r="A305" s="37"/>
      <c r="B305" s="78"/>
      <c r="C305" s="70"/>
      <c r="D305" s="37"/>
      <c r="E305" s="70"/>
      <c r="F305" s="70"/>
      <c r="G305" s="37"/>
      <c r="H305" s="70"/>
      <c r="I305" s="70"/>
      <c r="J305" s="37"/>
      <c r="K305" s="70"/>
      <c r="L305" s="70"/>
      <c r="M305" s="70"/>
      <c r="N305" s="70"/>
      <c r="O305" s="70"/>
    </row>
    <row r="306" spans="1:15" x14ac:dyDescent="0.25">
      <c r="A306" s="37"/>
      <c r="B306" s="78"/>
      <c r="C306" s="70"/>
      <c r="D306" s="37"/>
      <c r="E306" s="70"/>
      <c r="F306" s="70"/>
      <c r="G306" s="37"/>
      <c r="H306" s="70"/>
      <c r="I306" s="70"/>
      <c r="J306" s="37"/>
      <c r="K306" s="70"/>
      <c r="L306" s="70"/>
      <c r="M306" s="70"/>
      <c r="N306" s="70"/>
      <c r="O306" s="70"/>
    </row>
    <row r="307" spans="1:15" x14ac:dyDescent="0.25">
      <c r="A307" s="37"/>
      <c r="B307" s="78"/>
      <c r="C307" s="70"/>
      <c r="D307" s="37"/>
      <c r="E307" s="70"/>
      <c r="F307" s="70"/>
      <c r="G307" s="37"/>
      <c r="H307" s="70"/>
      <c r="I307" s="70"/>
      <c r="J307" s="37"/>
      <c r="K307" s="70"/>
      <c r="L307" s="70"/>
      <c r="M307" s="70"/>
      <c r="N307" s="70"/>
      <c r="O307" s="70"/>
    </row>
    <row r="308" spans="1:15" x14ac:dyDescent="0.25">
      <c r="A308" s="37"/>
      <c r="B308" s="78"/>
      <c r="C308" s="70"/>
      <c r="D308" s="37"/>
      <c r="E308" s="70"/>
      <c r="F308" s="70"/>
      <c r="G308" s="37"/>
      <c r="H308" s="70"/>
      <c r="I308" s="70"/>
      <c r="J308" s="37"/>
      <c r="K308" s="70"/>
      <c r="L308" s="70"/>
      <c r="M308" s="70"/>
      <c r="N308" s="70"/>
      <c r="O308" s="70"/>
    </row>
    <row r="309" spans="1:15" x14ac:dyDescent="0.25">
      <c r="A309" s="37"/>
      <c r="B309" s="78"/>
      <c r="C309" s="70"/>
      <c r="D309" s="37"/>
      <c r="E309" s="70"/>
      <c r="F309" s="70"/>
      <c r="G309" s="37"/>
      <c r="H309" s="70"/>
      <c r="I309" s="70"/>
      <c r="J309" s="37"/>
      <c r="K309" s="70"/>
      <c r="L309" s="70"/>
      <c r="M309" s="70"/>
      <c r="N309" s="70"/>
      <c r="O309" s="70"/>
    </row>
    <row r="310" spans="1:15" x14ac:dyDescent="0.25">
      <c r="A310" s="37"/>
      <c r="B310" s="78"/>
      <c r="C310" s="70"/>
      <c r="D310" s="37"/>
      <c r="E310" s="70"/>
      <c r="F310" s="70"/>
      <c r="G310" s="37"/>
      <c r="H310" s="70"/>
      <c r="I310" s="70"/>
      <c r="J310" s="37"/>
      <c r="K310" s="70"/>
      <c r="L310" s="70"/>
      <c r="M310" s="70"/>
      <c r="N310" s="70"/>
      <c r="O310" s="70"/>
    </row>
    <row r="311" spans="1:15" x14ac:dyDescent="0.25">
      <c r="A311" s="37"/>
      <c r="B311" s="78"/>
      <c r="C311" s="70"/>
      <c r="D311" s="37"/>
      <c r="E311" s="70"/>
      <c r="F311" s="70"/>
      <c r="G311" s="37"/>
      <c r="H311" s="70"/>
      <c r="I311" s="70"/>
      <c r="J311" s="37"/>
      <c r="K311" s="70"/>
      <c r="L311" s="70"/>
      <c r="M311" s="70"/>
      <c r="N311" s="70"/>
      <c r="O311" s="70"/>
    </row>
    <row r="312" spans="1:15" x14ac:dyDescent="0.25">
      <c r="A312" s="37"/>
      <c r="B312" s="78"/>
      <c r="C312" s="70"/>
      <c r="D312" s="37"/>
      <c r="E312" s="70"/>
      <c r="F312" s="70"/>
      <c r="G312" s="37"/>
      <c r="H312" s="70"/>
      <c r="I312" s="70"/>
      <c r="J312" s="37"/>
      <c r="K312" s="70"/>
      <c r="L312" s="70"/>
      <c r="M312" s="70"/>
      <c r="N312" s="70"/>
      <c r="O312" s="70"/>
    </row>
    <row r="313" spans="1:15" x14ac:dyDescent="0.25">
      <c r="A313" s="37"/>
      <c r="B313" s="78"/>
      <c r="C313" s="70"/>
      <c r="D313" s="37"/>
      <c r="E313" s="70"/>
      <c r="F313" s="70"/>
      <c r="G313" s="37"/>
      <c r="H313" s="70"/>
      <c r="I313" s="70"/>
      <c r="J313" s="37"/>
      <c r="K313" s="70"/>
      <c r="L313" s="70"/>
      <c r="M313" s="70"/>
      <c r="N313" s="70"/>
      <c r="O313" s="70"/>
    </row>
    <row r="314" spans="1:15" x14ac:dyDescent="0.25">
      <c r="A314" s="37"/>
      <c r="B314" s="78"/>
      <c r="C314" s="70"/>
      <c r="D314" s="37"/>
      <c r="E314" s="70"/>
      <c r="F314" s="70"/>
      <c r="G314" s="37"/>
      <c r="H314" s="70"/>
      <c r="I314" s="70"/>
      <c r="J314" s="37"/>
      <c r="K314" s="70"/>
      <c r="L314" s="70"/>
      <c r="M314" s="70"/>
      <c r="N314" s="70"/>
      <c r="O314" s="70"/>
    </row>
    <row r="315" spans="1:15" x14ac:dyDescent="0.25">
      <c r="A315" s="37"/>
      <c r="B315" s="78"/>
      <c r="C315" s="70"/>
      <c r="D315" s="37"/>
      <c r="E315" s="70"/>
      <c r="F315" s="70"/>
      <c r="G315" s="37"/>
      <c r="H315" s="70"/>
      <c r="I315" s="70"/>
      <c r="J315" s="37"/>
      <c r="K315" s="70"/>
      <c r="L315" s="70"/>
      <c r="M315" s="70"/>
      <c r="N315" s="70"/>
      <c r="O315" s="70"/>
    </row>
    <row r="316" spans="1:15" x14ac:dyDescent="0.25">
      <c r="A316" s="37"/>
      <c r="B316" s="78"/>
      <c r="C316" s="70"/>
      <c r="D316" s="37"/>
      <c r="E316" s="70"/>
      <c r="F316" s="70"/>
      <c r="G316" s="37"/>
      <c r="H316" s="70"/>
      <c r="I316" s="70"/>
      <c r="J316" s="37"/>
      <c r="K316" s="70"/>
      <c r="L316" s="70"/>
      <c r="M316" s="70"/>
      <c r="N316" s="70"/>
      <c r="O316" s="70"/>
    </row>
    <row r="317" spans="1:15" x14ac:dyDescent="0.25">
      <c r="A317" s="37"/>
      <c r="B317" s="78"/>
      <c r="C317" s="70"/>
      <c r="D317" s="37"/>
      <c r="E317" s="70"/>
      <c r="F317" s="70"/>
      <c r="G317" s="37"/>
      <c r="H317" s="70"/>
      <c r="I317" s="70"/>
      <c r="J317" s="37"/>
      <c r="K317" s="70"/>
      <c r="L317" s="70"/>
      <c r="M317" s="70"/>
      <c r="N317" s="70"/>
      <c r="O317" s="70"/>
    </row>
    <row r="318" spans="1:15" x14ac:dyDescent="0.25">
      <c r="A318" s="37"/>
      <c r="B318" s="78"/>
      <c r="C318" s="70"/>
      <c r="D318" s="37"/>
      <c r="E318" s="70"/>
      <c r="F318" s="70"/>
      <c r="G318" s="37"/>
      <c r="H318" s="70"/>
      <c r="I318" s="70"/>
      <c r="J318" s="37"/>
      <c r="K318" s="70"/>
      <c r="L318" s="70"/>
      <c r="M318" s="70"/>
      <c r="N318" s="70"/>
      <c r="O318" s="70"/>
    </row>
    <row r="319" spans="1:15" x14ac:dyDescent="0.25">
      <c r="A319" s="37"/>
      <c r="B319" s="78"/>
      <c r="C319" s="70"/>
      <c r="D319" s="37"/>
      <c r="E319" s="70"/>
      <c r="F319" s="70"/>
      <c r="G319" s="37"/>
      <c r="H319" s="70"/>
      <c r="I319" s="70"/>
      <c r="J319" s="37"/>
      <c r="K319" s="70"/>
      <c r="L319" s="70"/>
      <c r="M319" s="70"/>
      <c r="N319" s="70"/>
      <c r="O319" s="70"/>
    </row>
    <row r="320" spans="1:15" x14ac:dyDescent="0.25">
      <c r="A320" s="37"/>
      <c r="B320" s="78"/>
      <c r="C320" s="70"/>
      <c r="D320" s="37"/>
      <c r="E320" s="70"/>
      <c r="F320" s="70"/>
      <c r="G320" s="37"/>
      <c r="H320" s="70"/>
      <c r="I320" s="70"/>
      <c r="J320" s="37"/>
      <c r="K320" s="70"/>
      <c r="L320" s="70"/>
      <c r="M320" s="70"/>
      <c r="N320" s="70"/>
      <c r="O320" s="70"/>
    </row>
    <row r="321" spans="1:15" x14ac:dyDescent="0.25">
      <c r="A321" s="37"/>
      <c r="B321" s="78"/>
      <c r="C321" s="70"/>
      <c r="D321" s="37"/>
      <c r="E321" s="70"/>
      <c r="F321" s="70"/>
      <c r="G321" s="37"/>
      <c r="H321" s="70"/>
      <c r="I321" s="70"/>
      <c r="J321" s="37"/>
      <c r="K321" s="70"/>
      <c r="L321" s="70"/>
      <c r="M321" s="70"/>
      <c r="N321" s="70"/>
      <c r="O321" s="70"/>
    </row>
    <row r="322" spans="1:15" x14ac:dyDescent="0.25">
      <c r="A322" s="37"/>
      <c r="B322" s="78"/>
      <c r="C322" s="70"/>
      <c r="D322" s="37"/>
      <c r="E322" s="70"/>
      <c r="F322" s="70"/>
      <c r="G322" s="37"/>
      <c r="H322" s="70"/>
      <c r="I322" s="70"/>
      <c r="J322" s="37"/>
      <c r="K322" s="70"/>
      <c r="L322" s="70"/>
      <c r="M322" s="70"/>
      <c r="N322" s="70"/>
      <c r="O322" s="70"/>
    </row>
    <row r="323" spans="1:15" x14ac:dyDescent="0.25">
      <c r="A323" s="37"/>
      <c r="B323" s="78"/>
      <c r="C323" s="70"/>
      <c r="D323" s="37"/>
      <c r="E323" s="70"/>
      <c r="F323" s="70"/>
      <c r="G323" s="37"/>
      <c r="H323" s="70"/>
      <c r="I323" s="70"/>
      <c r="J323" s="37"/>
      <c r="K323" s="70"/>
      <c r="L323" s="70"/>
      <c r="M323" s="70"/>
      <c r="N323" s="70"/>
      <c r="O323" s="70"/>
    </row>
    <row r="324" spans="1:15" x14ac:dyDescent="0.25">
      <c r="A324" s="37"/>
      <c r="B324" s="78"/>
      <c r="C324" s="70"/>
      <c r="D324" s="37"/>
      <c r="E324" s="70"/>
      <c r="F324" s="70"/>
      <c r="G324" s="37"/>
      <c r="H324" s="70"/>
      <c r="I324" s="70"/>
      <c r="J324" s="37"/>
      <c r="K324" s="70"/>
      <c r="L324" s="70"/>
      <c r="M324" s="70"/>
      <c r="N324" s="70"/>
      <c r="O324" s="70"/>
    </row>
    <row r="325" spans="1:15" x14ac:dyDescent="0.25">
      <c r="A325" s="37"/>
      <c r="B325" s="78"/>
      <c r="C325" s="70"/>
      <c r="D325" s="37"/>
      <c r="E325" s="70"/>
      <c r="F325" s="70"/>
      <c r="G325" s="37"/>
      <c r="H325" s="70"/>
      <c r="I325" s="70"/>
      <c r="J325" s="37"/>
      <c r="K325" s="70"/>
      <c r="L325" s="70"/>
      <c r="M325" s="70"/>
      <c r="N325" s="70"/>
      <c r="O325" s="70"/>
    </row>
    <row r="326" spans="1:15" x14ac:dyDescent="0.25">
      <c r="A326" s="37"/>
      <c r="B326" s="78"/>
      <c r="C326" s="70"/>
      <c r="D326" s="37"/>
      <c r="E326" s="70"/>
      <c r="F326" s="70"/>
      <c r="G326" s="37"/>
      <c r="H326" s="70"/>
      <c r="I326" s="70"/>
      <c r="J326" s="37"/>
      <c r="K326" s="70"/>
      <c r="L326" s="70"/>
      <c r="M326" s="70"/>
      <c r="N326" s="70"/>
      <c r="O326" s="70"/>
    </row>
    <row r="327" spans="1:15" x14ac:dyDescent="0.25">
      <c r="A327" s="37"/>
      <c r="B327" s="78"/>
      <c r="C327" s="70"/>
      <c r="D327" s="37"/>
      <c r="E327" s="70"/>
      <c r="F327" s="70"/>
      <c r="G327" s="37"/>
      <c r="H327" s="70"/>
      <c r="I327" s="70"/>
      <c r="J327" s="37"/>
      <c r="K327" s="70"/>
      <c r="L327" s="70"/>
      <c r="M327" s="70"/>
      <c r="N327" s="70"/>
      <c r="O327" s="70"/>
    </row>
    <row r="328" spans="1:15" x14ac:dyDescent="0.25">
      <c r="A328" s="37"/>
      <c r="B328" s="78"/>
      <c r="C328" s="70"/>
      <c r="D328" s="37"/>
      <c r="E328" s="70"/>
      <c r="F328" s="70"/>
      <c r="G328" s="37"/>
      <c r="H328" s="70"/>
      <c r="I328" s="70"/>
      <c r="J328" s="37"/>
      <c r="K328" s="70"/>
      <c r="L328" s="70"/>
      <c r="M328" s="70"/>
      <c r="N328" s="70"/>
      <c r="O328" s="70"/>
    </row>
    <row r="329" spans="1:15" x14ac:dyDescent="0.25">
      <c r="A329" s="37"/>
      <c r="B329" s="78"/>
      <c r="C329" s="70"/>
      <c r="D329" s="37"/>
      <c r="E329" s="70"/>
      <c r="F329" s="70"/>
      <c r="G329" s="37"/>
      <c r="H329" s="70"/>
      <c r="I329" s="70"/>
      <c r="J329" s="37"/>
      <c r="K329" s="70"/>
      <c r="L329" s="70"/>
      <c r="M329" s="70"/>
      <c r="N329" s="70"/>
      <c r="O329" s="70"/>
    </row>
    <row r="330" spans="1:15" x14ac:dyDescent="0.25">
      <c r="A330" s="37"/>
      <c r="B330" s="78"/>
      <c r="C330" s="70"/>
      <c r="D330" s="37"/>
      <c r="E330" s="70"/>
      <c r="F330" s="70"/>
      <c r="G330" s="37"/>
      <c r="H330" s="70"/>
      <c r="I330" s="70"/>
      <c r="J330" s="37"/>
      <c r="K330" s="70"/>
      <c r="L330" s="70"/>
      <c r="M330" s="70"/>
      <c r="N330" s="70"/>
      <c r="O330" s="70"/>
    </row>
    <row r="331" spans="1:15" x14ac:dyDescent="0.25">
      <c r="A331" s="37"/>
      <c r="B331" s="78"/>
      <c r="C331" s="70"/>
      <c r="D331" s="37"/>
      <c r="E331" s="70"/>
      <c r="F331" s="70"/>
      <c r="G331" s="37"/>
      <c r="H331" s="70"/>
      <c r="I331" s="70"/>
      <c r="J331" s="37"/>
      <c r="K331" s="70"/>
      <c r="L331" s="70"/>
      <c r="M331" s="70"/>
      <c r="N331" s="70"/>
      <c r="O331" s="70"/>
    </row>
    <row r="332" spans="1:15" x14ac:dyDescent="0.25">
      <c r="A332" s="37"/>
      <c r="B332" s="78"/>
      <c r="C332" s="70"/>
      <c r="D332" s="37"/>
      <c r="E332" s="70"/>
      <c r="F332" s="70"/>
      <c r="G332" s="37"/>
      <c r="H332" s="70"/>
      <c r="I332" s="70"/>
      <c r="J332" s="37"/>
      <c r="K332" s="70"/>
      <c r="L332" s="70"/>
      <c r="M332" s="70"/>
      <c r="N332" s="70"/>
      <c r="O332" s="70"/>
    </row>
    <row r="333" spans="1:15" x14ac:dyDescent="0.25">
      <c r="A333" s="37"/>
      <c r="B333" s="78"/>
      <c r="C333" s="70"/>
      <c r="D333" s="37"/>
      <c r="E333" s="70"/>
      <c r="F333" s="70"/>
      <c r="G333" s="37"/>
      <c r="H333" s="70"/>
      <c r="I333" s="70"/>
      <c r="J333" s="37"/>
      <c r="K333" s="70"/>
      <c r="L333" s="70"/>
      <c r="M333" s="70"/>
      <c r="N333" s="70"/>
      <c r="O333" s="70"/>
    </row>
    <row r="334" spans="1:15" x14ac:dyDescent="0.25">
      <c r="A334" s="37"/>
      <c r="B334" s="78"/>
      <c r="C334" s="70"/>
      <c r="D334" s="37"/>
      <c r="E334" s="70"/>
      <c r="F334" s="70"/>
      <c r="G334" s="37"/>
      <c r="H334" s="70"/>
      <c r="I334" s="70"/>
      <c r="J334" s="37"/>
      <c r="K334" s="70"/>
      <c r="L334" s="70"/>
      <c r="M334" s="70"/>
      <c r="N334" s="70"/>
      <c r="O334" s="70"/>
    </row>
    <row r="335" spans="1:15" x14ac:dyDescent="0.25">
      <c r="A335" s="37"/>
      <c r="B335" s="78"/>
      <c r="C335" s="70"/>
      <c r="D335" s="37"/>
      <c r="E335" s="70"/>
      <c r="F335" s="70"/>
      <c r="G335" s="37"/>
      <c r="H335" s="70"/>
      <c r="I335" s="70"/>
      <c r="J335" s="37"/>
      <c r="K335" s="70"/>
      <c r="L335" s="70"/>
      <c r="M335" s="70"/>
      <c r="N335" s="70"/>
      <c r="O335" s="70"/>
    </row>
    <row r="336" spans="1:15" x14ac:dyDescent="0.25">
      <c r="A336" s="37"/>
      <c r="B336" s="78"/>
      <c r="C336" s="70"/>
      <c r="D336" s="37"/>
      <c r="E336" s="70"/>
      <c r="F336" s="70"/>
      <c r="G336" s="37"/>
      <c r="H336" s="70"/>
      <c r="I336" s="70"/>
      <c r="J336" s="37"/>
      <c r="K336" s="70"/>
      <c r="L336" s="70"/>
      <c r="M336" s="70"/>
      <c r="N336" s="70"/>
      <c r="O336" s="70"/>
    </row>
    <row r="337" spans="1:15" x14ac:dyDescent="0.25">
      <c r="A337" s="37"/>
      <c r="B337" s="78"/>
      <c r="C337" s="70"/>
      <c r="D337" s="37"/>
      <c r="E337" s="70"/>
      <c r="F337" s="70"/>
      <c r="G337" s="37"/>
      <c r="H337" s="70"/>
      <c r="I337" s="70"/>
      <c r="J337" s="37"/>
      <c r="K337" s="70"/>
      <c r="L337" s="70"/>
      <c r="M337" s="70"/>
      <c r="N337" s="70"/>
      <c r="O337" s="70"/>
    </row>
    <row r="338" spans="1:15" x14ac:dyDescent="0.25">
      <c r="A338" s="37"/>
      <c r="B338" s="78"/>
      <c r="C338" s="70"/>
      <c r="D338" s="37"/>
      <c r="E338" s="70"/>
      <c r="F338" s="70"/>
      <c r="G338" s="37"/>
      <c r="H338" s="70"/>
      <c r="I338" s="70"/>
      <c r="J338" s="37"/>
      <c r="K338" s="70"/>
      <c r="L338" s="70"/>
      <c r="M338" s="70"/>
      <c r="N338" s="70"/>
      <c r="O338" s="70"/>
    </row>
    <row r="339" spans="1:15" x14ac:dyDescent="0.25">
      <c r="A339" s="37"/>
      <c r="B339" s="78"/>
      <c r="C339" s="70"/>
      <c r="D339" s="37"/>
      <c r="E339" s="70"/>
      <c r="F339" s="70"/>
      <c r="G339" s="37"/>
      <c r="H339" s="70"/>
      <c r="I339" s="70"/>
      <c r="J339" s="37"/>
      <c r="K339" s="70"/>
      <c r="L339" s="70"/>
      <c r="M339" s="70"/>
      <c r="N339" s="70"/>
      <c r="O339" s="70"/>
    </row>
    <row r="340" spans="1:15" x14ac:dyDescent="0.25">
      <c r="A340" s="37"/>
      <c r="B340" s="78"/>
      <c r="C340" s="70"/>
      <c r="D340" s="37"/>
      <c r="E340" s="70"/>
      <c r="F340" s="70"/>
      <c r="G340" s="37"/>
      <c r="H340" s="70"/>
      <c r="I340" s="70"/>
      <c r="J340" s="37"/>
      <c r="K340" s="70"/>
      <c r="L340" s="70"/>
      <c r="M340" s="70"/>
      <c r="N340" s="70"/>
      <c r="O340" s="70"/>
    </row>
    <row r="341" spans="1:15" x14ac:dyDescent="0.25">
      <c r="A341" s="37"/>
      <c r="B341" s="78"/>
      <c r="C341" s="70"/>
      <c r="D341" s="37"/>
      <c r="E341" s="70"/>
      <c r="F341" s="70"/>
      <c r="G341" s="37"/>
      <c r="H341" s="70"/>
      <c r="I341" s="70"/>
      <c r="J341" s="37"/>
      <c r="K341" s="70"/>
      <c r="L341" s="70"/>
      <c r="M341" s="70"/>
      <c r="N341" s="70"/>
      <c r="O341" s="70"/>
    </row>
    <row r="342" spans="1:15" x14ac:dyDescent="0.25">
      <c r="A342" s="37"/>
      <c r="B342" s="78"/>
      <c r="C342" s="70"/>
      <c r="D342" s="37"/>
      <c r="E342" s="70"/>
      <c r="F342" s="70"/>
      <c r="G342" s="37"/>
      <c r="H342" s="70"/>
      <c r="I342" s="70"/>
      <c r="J342" s="37"/>
      <c r="K342" s="70"/>
      <c r="L342" s="70"/>
      <c r="M342" s="70"/>
      <c r="N342" s="70"/>
      <c r="O342" s="70"/>
    </row>
    <row r="343" spans="1:15" x14ac:dyDescent="0.25">
      <c r="A343" s="37"/>
      <c r="B343" s="78"/>
      <c r="C343" s="70"/>
      <c r="D343" s="37"/>
      <c r="E343" s="70"/>
      <c r="F343" s="70"/>
      <c r="G343" s="37"/>
      <c r="H343" s="70"/>
      <c r="I343" s="70"/>
      <c r="J343" s="37"/>
      <c r="K343" s="70"/>
      <c r="L343" s="70"/>
      <c r="M343" s="70"/>
      <c r="N343" s="70"/>
      <c r="O343" s="70"/>
    </row>
    <row r="344" spans="1:15" x14ac:dyDescent="0.25">
      <c r="A344" s="37"/>
      <c r="B344" s="78"/>
      <c r="C344" s="70"/>
      <c r="D344" s="37"/>
      <c r="E344" s="70"/>
      <c r="F344" s="70"/>
      <c r="G344" s="37"/>
      <c r="H344" s="70"/>
      <c r="I344" s="70"/>
      <c r="J344" s="37"/>
      <c r="K344" s="70"/>
      <c r="L344" s="70"/>
      <c r="M344" s="70"/>
      <c r="N344" s="70"/>
      <c r="O344" s="70"/>
    </row>
    <row r="345" spans="1:15" x14ac:dyDescent="0.25">
      <c r="A345" s="37"/>
      <c r="B345" s="78"/>
      <c r="C345" s="70"/>
      <c r="D345" s="37"/>
      <c r="E345" s="70"/>
      <c r="F345" s="70"/>
      <c r="G345" s="37"/>
      <c r="H345" s="70"/>
      <c r="I345" s="70"/>
      <c r="J345" s="37"/>
      <c r="K345" s="70"/>
      <c r="L345" s="70"/>
      <c r="M345" s="70"/>
      <c r="N345" s="70"/>
      <c r="O345" s="70"/>
    </row>
    <row r="346" spans="1:15" x14ac:dyDescent="0.25">
      <c r="A346" s="37"/>
      <c r="B346" s="78"/>
      <c r="C346" s="70"/>
      <c r="D346" s="37"/>
      <c r="E346" s="70"/>
      <c r="F346" s="70"/>
      <c r="G346" s="37"/>
      <c r="H346" s="70"/>
      <c r="I346" s="70"/>
      <c r="J346" s="37"/>
      <c r="K346" s="70"/>
      <c r="L346" s="70"/>
      <c r="M346" s="70"/>
      <c r="N346" s="70"/>
      <c r="O346" s="70"/>
    </row>
    <row r="347" spans="1:15" x14ac:dyDescent="0.25">
      <c r="A347" s="37"/>
      <c r="B347" s="78"/>
      <c r="C347" s="70"/>
      <c r="D347" s="37"/>
      <c r="E347" s="70"/>
      <c r="F347" s="70"/>
      <c r="G347" s="37"/>
      <c r="H347" s="70"/>
      <c r="I347" s="70"/>
      <c r="J347" s="37"/>
      <c r="K347" s="70"/>
      <c r="L347" s="70"/>
      <c r="M347" s="70"/>
      <c r="N347" s="70"/>
      <c r="O347" s="70"/>
    </row>
    <row r="348" spans="1:15" x14ac:dyDescent="0.25">
      <c r="A348" s="37"/>
      <c r="B348" s="78"/>
      <c r="C348" s="70"/>
      <c r="D348" s="37"/>
      <c r="E348" s="70"/>
      <c r="F348" s="70"/>
      <c r="G348" s="37"/>
      <c r="H348" s="70"/>
      <c r="I348" s="70"/>
      <c r="J348" s="37"/>
      <c r="K348" s="70"/>
      <c r="L348" s="70"/>
      <c r="M348" s="70"/>
      <c r="N348" s="70"/>
      <c r="O348" s="70"/>
    </row>
    <row r="349" spans="1:15" x14ac:dyDescent="0.25">
      <c r="A349" s="37"/>
      <c r="B349" s="78"/>
      <c r="C349" s="70"/>
      <c r="D349" s="37"/>
      <c r="E349" s="70"/>
      <c r="F349" s="70"/>
      <c r="G349" s="37"/>
      <c r="H349" s="70"/>
      <c r="I349" s="70"/>
      <c r="J349" s="37"/>
      <c r="K349" s="70"/>
      <c r="L349" s="70"/>
      <c r="M349" s="70"/>
      <c r="N349" s="70"/>
      <c r="O349" s="70"/>
    </row>
    <row r="350" spans="1:15" x14ac:dyDescent="0.25">
      <c r="A350" s="37"/>
      <c r="B350" s="78"/>
      <c r="C350" s="70"/>
      <c r="D350" s="37"/>
      <c r="E350" s="70"/>
      <c r="F350" s="70"/>
      <c r="G350" s="37"/>
      <c r="H350" s="70"/>
      <c r="I350" s="70"/>
      <c r="J350" s="37"/>
      <c r="K350" s="70"/>
      <c r="L350" s="70"/>
      <c r="M350" s="70"/>
      <c r="N350" s="70"/>
      <c r="O350" s="70"/>
    </row>
    <row r="351" spans="1:15" x14ac:dyDescent="0.25">
      <c r="A351" s="37"/>
      <c r="B351" s="78"/>
      <c r="C351" s="70"/>
      <c r="D351" s="37"/>
      <c r="E351" s="70"/>
      <c r="F351" s="70"/>
      <c r="G351" s="37"/>
      <c r="H351" s="70"/>
      <c r="I351" s="70"/>
      <c r="J351" s="37"/>
      <c r="K351" s="70"/>
      <c r="L351" s="70"/>
      <c r="M351" s="70"/>
      <c r="N351" s="70"/>
      <c r="O351" s="70"/>
    </row>
    <row r="352" spans="1:15" x14ac:dyDescent="0.25">
      <c r="A352" s="37"/>
      <c r="B352" s="78"/>
      <c r="C352" s="70"/>
      <c r="D352" s="37"/>
      <c r="E352" s="70"/>
      <c r="F352" s="70"/>
      <c r="G352" s="37"/>
      <c r="H352" s="70"/>
      <c r="I352" s="70"/>
      <c r="J352" s="37"/>
      <c r="K352" s="70"/>
      <c r="L352" s="70"/>
      <c r="M352" s="70"/>
      <c r="N352" s="70"/>
      <c r="O352" s="70"/>
    </row>
    <row r="353" spans="1:15" x14ac:dyDescent="0.25">
      <c r="A353" s="37"/>
      <c r="B353" s="78"/>
      <c r="C353" s="70"/>
      <c r="D353" s="37"/>
      <c r="E353" s="70"/>
      <c r="F353" s="70"/>
      <c r="G353" s="37"/>
      <c r="H353" s="70"/>
      <c r="I353" s="70"/>
      <c r="J353" s="37"/>
      <c r="K353" s="70"/>
      <c r="L353" s="70"/>
      <c r="M353" s="70"/>
      <c r="N353" s="70"/>
      <c r="O353" s="70"/>
    </row>
    <row r="354" spans="1:15" x14ac:dyDescent="0.25">
      <c r="A354" s="37"/>
      <c r="B354" s="78"/>
      <c r="C354" s="70"/>
      <c r="D354" s="37"/>
      <c r="E354" s="70"/>
      <c r="F354" s="70"/>
      <c r="G354" s="37"/>
      <c r="H354" s="70"/>
      <c r="I354" s="70"/>
      <c r="J354" s="37"/>
      <c r="K354" s="70"/>
      <c r="L354" s="70"/>
      <c r="M354" s="70"/>
      <c r="N354" s="70"/>
      <c r="O354" s="70"/>
    </row>
    <row r="355" spans="1:15" x14ac:dyDescent="0.25">
      <c r="A355" s="37"/>
      <c r="B355" s="78"/>
      <c r="C355" s="70"/>
      <c r="D355" s="37"/>
      <c r="E355" s="70"/>
      <c r="F355" s="70"/>
      <c r="G355" s="37"/>
      <c r="H355" s="70"/>
      <c r="I355" s="70"/>
      <c r="J355" s="37"/>
      <c r="K355" s="70"/>
      <c r="L355" s="70"/>
      <c r="M355" s="70"/>
      <c r="N355" s="70"/>
      <c r="O355" s="70"/>
    </row>
    <row r="356" spans="1:15" x14ac:dyDescent="0.25">
      <c r="A356" s="37"/>
      <c r="B356" s="78"/>
      <c r="C356" s="70"/>
      <c r="D356" s="37"/>
      <c r="E356" s="70"/>
      <c r="F356" s="70"/>
      <c r="G356" s="37"/>
      <c r="H356" s="70"/>
      <c r="I356" s="70"/>
      <c r="J356" s="37"/>
      <c r="K356" s="70"/>
      <c r="L356" s="70"/>
      <c r="M356" s="70"/>
      <c r="N356" s="70"/>
      <c r="O356" s="70"/>
    </row>
    <row r="357" spans="1:15" x14ac:dyDescent="0.25">
      <c r="A357" s="37"/>
      <c r="B357" s="78"/>
      <c r="C357" s="70"/>
      <c r="D357" s="37"/>
      <c r="E357" s="70"/>
      <c r="F357" s="70"/>
      <c r="G357" s="37"/>
      <c r="H357" s="70"/>
      <c r="I357" s="70"/>
      <c r="J357" s="37"/>
      <c r="K357" s="70"/>
      <c r="L357" s="70"/>
      <c r="M357" s="70"/>
      <c r="N357" s="70"/>
      <c r="O357" s="70"/>
    </row>
    <row r="358" spans="1:15" x14ac:dyDescent="0.25">
      <c r="A358" s="37"/>
      <c r="B358" s="78"/>
      <c r="C358" s="70"/>
      <c r="D358" s="37"/>
      <c r="E358" s="70"/>
      <c r="F358" s="70"/>
      <c r="G358" s="37"/>
      <c r="H358" s="70"/>
      <c r="I358" s="70"/>
      <c r="J358" s="37"/>
      <c r="K358" s="70"/>
      <c r="L358" s="70"/>
      <c r="M358" s="70"/>
      <c r="N358" s="70"/>
      <c r="O358" s="70"/>
    </row>
    <row r="359" spans="1:15" x14ac:dyDescent="0.25">
      <c r="A359" s="37"/>
      <c r="B359" s="78"/>
      <c r="C359" s="70"/>
      <c r="D359" s="37"/>
      <c r="E359" s="70"/>
      <c r="F359" s="70"/>
      <c r="G359" s="37"/>
      <c r="H359" s="70"/>
      <c r="I359" s="70"/>
      <c r="J359" s="37"/>
      <c r="K359" s="70"/>
      <c r="L359" s="70"/>
      <c r="M359" s="70"/>
      <c r="N359" s="70"/>
      <c r="O359" s="70"/>
    </row>
    <row r="360" spans="1:15" x14ac:dyDescent="0.25">
      <c r="A360" s="37"/>
      <c r="B360" s="78"/>
      <c r="C360" s="70"/>
      <c r="D360" s="37"/>
      <c r="E360" s="70"/>
      <c r="F360" s="70"/>
      <c r="G360" s="37"/>
      <c r="H360" s="70"/>
      <c r="I360" s="70"/>
      <c r="J360" s="37"/>
      <c r="K360" s="70"/>
      <c r="L360" s="70"/>
      <c r="M360" s="70"/>
      <c r="N360" s="70"/>
      <c r="O360" s="70"/>
    </row>
    <row r="361" spans="1:15" x14ac:dyDescent="0.25">
      <c r="A361" s="37"/>
      <c r="B361" s="78"/>
      <c r="C361" s="70"/>
      <c r="D361" s="37"/>
      <c r="E361" s="70"/>
      <c r="F361" s="70"/>
      <c r="G361" s="37"/>
      <c r="H361" s="70"/>
      <c r="I361" s="70"/>
      <c r="J361" s="37"/>
      <c r="K361" s="70"/>
      <c r="L361" s="70"/>
      <c r="M361" s="70"/>
      <c r="N361" s="70"/>
      <c r="O361" s="70"/>
    </row>
    <row r="362" spans="1:15" x14ac:dyDescent="0.25">
      <c r="A362" s="37"/>
      <c r="B362" s="78"/>
      <c r="C362" s="70"/>
      <c r="D362" s="37"/>
      <c r="E362" s="70"/>
      <c r="F362" s="70"/>
      <c r="G362" s="37"/>
      <c r="H362" s="70"/>
      <c r="I362" s="70"/>
      <c r="J362" s="37"/>
      <c r="K362" s="70"/>
      <c r="L362" s="70"/>
      <c r="M362" s="70"/>
      <c r="N362" s="70"/>
      <c r="O362" s="70"/>
    </row>
    <row r="363" spans="1:15" x14ac:dyDescent="0.25">
      <c r="A363" s="37"/>
      <c r="B363" s="78"/>
      <c r="C363" s="70"/>
      <c r="D363" s="37"/>
      <c r="E363" s="70"/>
      <c r="F363" s="70"/>
      <c r="G363" s="37"/>
      <c r="H363" s="70"/>
      <c r="I363" s="70"/>
      <c r="J363" s="37"/>
      <c r="K363" s="70"/>
      <c r="L363" s="70"/>
      <c r="M363" s="70"/>
      <c r="N363" s="70"/>
      <c r="O363" s="70"/>
    </row>
    <row r="364" spans="1:15" x14ac:dyDescent="0.25">
      <c r="A364" s="37"/>
      <c r="B364" s="78"/>
      <c r="C364" s="70"/>
      <c r="D364" s="37"/>
      <c r="E364" s="70"/>
      <c r="F364" s="70"/>
      <c r="G364" s="37"/>
      <c r="H364" s="70"/>
      <c r="I364" s="70"/>
      <c r="J364" s="37"/>
      <c r="K364" s="70"/>
      <c r="L364" s="70"/>
      <c r="M364" s="70"/>
      <c r="N364" s="70"/>
      <c r="O364" s="70"/>
    </row>
    <row r="365" spans="1:15" x14ac:dyDescent="0.25">
      <c r="A365" s="37"/>
      <c r="B365" s="78"/>
      <c r="C365" s="70"/>
      <c r="D365" s="37"/>
      <c r="E365" s="70"/>
      <c r="F365" s="70"/>
      <c r="G365" s="37"/>
      <c r="H365" s="70"/>
      <c r="I365" s="70"/>
      <c r="J365" s="37"/>
      <c r="K365" s="70"/>
      <c r="L365" s="70"/>
      <c r="M365" s="70"/>
      <c r="N365" s="70"/>
      <c r="O365" s="70"/>
    </row>
    <row r="366" spans="1:15" x14ac:dyDescent="0.25">
      <c r="A366" s="37"/>
      <c r="B366" s="78"/>
      <c r="C366" s="70"/>
      <c r="D366" s="37"/>
      <c r="E366" s="70"/>
      <c r="F366" s="70"/>
      <c r="G366" s="37"/>
      <c r="H366" s="70"/>
      <c r="I366" s="70"/>
      <c r="J366" s="37"/>
      <c r="K366" s="70"/>
      <c r="L366" s="70"/>
      <c r="M366" s="70"/>
      <c r="N366" s="70"/>
      <c r="O366" s="70"/>
    </row>
    <row r="367" spans="1:15" x14ac:dyDescent="0.25">
      <c r="A367" s="37"/>
      <c r="B367" s="78"/>
      <c r="C367" s="70"/>
      <c r="D367" s="37"/>
      <c r="E367" s="70"/>
      <c r="F367" s="70"/>
      <c r="G367" s="37"/>
      <c r="H367" s="70"/>
      <c r="I367" s="70"/>
      <c r="J367" s="37"/>
      <c r="K367" s="70"/>
      <c r="L367" s="70"/>
      <c r="M367" s="70"/>
      <c r="N367" s="70"/>
      <c r="O367" s="70"/>
    </row>
    <row r="368" spans="1:15" x14ac:dyDescent="0.25">
      <c r="A368" s="37"/>
      <c r="B368" s="78"/>
      <c r="C368" s="70"/>
      <c r="D368" s="37"/>
      <c r="E368" s="70"/>
      <c r="F368" s="70"/>
      <c r="G368" s="37"/>
      <c r="H368" s="70"/>
      <c r="I368" s="70"/>
      <c r="J368" s="37"/>
      <c r="K368" s="70"/>
      <c r="L368" s="70"/>
      <c r="M368" s="70"/>
      <c r="N368" s="70"/>
      <c r="O368" s="70"/>
    </row>
    <row r="369" spans="1:15" x14ac:dyDescent="0.25">
      <c r="A369" s="37"/>
      <c r="B369" s="78"/>
      <c r="C369" s="70"/>
      <c r="D369" s="37"/>
      <c r="E369" s="70"/>
      <c r="F369" s="70"/>
      <c r="G369" s="37"/>
      <c r="H369" s="70"/>
      <c r="I369" s="70"/>
      <c r="J369" s="37"/>
      <c r="K369" s="70"/>
      <c r="L369" s="70"/>
      <c r="M369" s="70"/>
      <c r="N369" s="70"/>
      <c r="O369" s="70"/>
    </row>
    <row r="370" spans="1:15" x14ac:dyDescent="0.25">
      <c r="A370" s="37"/>
      <c r="B370" s="78"/>
      <c r="C370" s="70"/>
      <c r="D370" s="37"/>
      <c r="E370" s="70"/>
      <c r="F370" s="70"/>
      <c r="G370" s="37"/>
      <c r="H370" s="70"/>
      <c r="I370" s="70"/>
      <c r="J370" s="37"/>
      <c r="K370" s="70"/>
      <c r="L370" s="70"/>
      <c r="M370" s="70"/>
      <c r="N370" s="70"/>
      <c r="O370" s="70"/>
    </row>
    <row r="371" spans="1:15" x14ac:dyDescent="0.25">
      <c r="A371" s="37"/>
      <c r="B371" s="78"/>
      <c r="C371" s="70"/>
      <c r="D371" s="37"/>
      <c r="E371" s="70"/>
      <c r="F371" s="70"/>
      <c r="G371" s="37"/>
      <c r="H371" s="70"/>
      <c r="I371" s="70"/>
      <c r="J371" s="37"/>
      <c r="K371" s="70"/>
      <c r="L371" s="70"/>
      <c r="M371" s="70"/>
      <c r="N371" s="70"/>
      <c r="O371" s="70"/>
    </row>
    <row r="372" spans="1:15" x14ac:dyDescent="0.25">
      <c r="A372" s="37"/>
      <c r="B372" s="78"/>
      <c r="C372" s="70"/>
      <c r="D372" s="37"/>
      <c r="E372" s="70"/>
      <c r="F372" s="70"/>
      <c r="G372" s="37"/>
      <c r="H372" s="70"/>
      <c r="I372" s="70"/>
      <c r="J372" s="37"/>
      <c r="K372" s="70"/>
      <c r="L372" s="70"/>
      <c r="M372" s="70"/>
      <c r="N372" s="70"/>
      <c r="O372" s="70"/>
    </row>
    <row r="373" spans="1:15" x14ac:dyDescent="0.25">
      <c r="A373" s="37"/>
      <c r="B373" s="78"/>
      <c r="C373" s="70"/>
      <c r="D373" s="37"/>
      <c r="E373" s="70"/>
      <c r="F373" s="70"/>
      <c r="G373" s="37"/>
      <c r="H373" s="70"/>
      <c r="I373" s="70"/>
      <c r="J373" s="37"/>
      <c r="K373" s="70"/>
      <c r="L373" s="70"/>
      <c r="M373" s="70"/>
      <c r="N373" s="70"/>
      <c r="O373" s="70"/>
    </row>
    <row r="374" spans="1:15" x14ac:dyDescent="0.25">
      <c r="A374" s="37"/>
      <c r="B374" s="78"/>
      <c r="C374" s="70"/>
      <c r="D374" s="37"/>
      <c r="E374" s="70"/>
      <c r="F374" s="70"/>
      <c r="G374" s="37"/>
      <c r="H374" s="70"/>
      <c r="I374" s="70"/>
      <c r="J374" s="37"/>
      <c r="K374" s="70"/>
      <c r="L374" s="70"/>
      <c r="M374" s="70"/>
      <c r="N374" s="70"/>
      <c r="O374" s="70"/>
    </row>
    <row r="375" spans="1:15" x14ac:dyDescent="0.25">
      <c r="A375" s="37"/>
      <c r="B375" s="78"/>
      <c r="C375" s="70"/>
      <c r="D375" s="37"/>
      <c r="E375" s="70"/>
      <c r="F375" s="70"/>
      <c r="G375" s="37"/>
      <c r="H375" s="70"/>
      <c r="I375" s="70"/>
      <c r="J375" s="37"/>
      <c r="K375" s="70"/>
      <c r="L375" s="70"/>
      <c r="M375" s="70"/>
      <c r="N375" s="70"/>
      <c r="O375" s="70"/>
    </row>
    <row r="376" spans="1:15" x14ac:dyDescent="0.25">
      <c r="A376" s="37"/>
      <c r="B376" s="78"/>
      <c r="C376" s="70"/>
      <c r="D376" s="37"/>
      <c r="E376" s="70"/>
      <c r="F376" s="70"/>
      <c r="G376" s="37"/>
      <c r="H376" s="70"/>
      <c r="I376" s="70"/>
      <c r="J376" s="37"/>
      <c r="K376" s="70"/>
      <c r="L376" s="70"/>
      <c r="M376" s="70"/>
      <c r="N376" s="70"/>
      <c r="O376" s="70"/>
    </row>
    <row r="377" spans="1:15" x14ac:dyDescent="0.25">
      <c r="A377" s="37"/>
      <c r="B377" s="78"/>
      <c r="C377" s="70"/>
      <c r="D377" s="37"/>
      <c r="E377" s="70"/>
      <c r="F377" s="70"/>
      <c r="G377" s="37"/>
      <c r="H377" s="70"/>
      <c r="I377" s="70"/>
      <c r="J377" s="37"/>
      <c r="K377" s="70"/>
      <c r="L377" s="70"/>
      <c r="M377" s="70"/>
      <c r="N377" s="70"/>
      <c r="O377" s="70"/>
    </row>
    <row r="378" spans="1:15" x14ac:dyDescent="0.25">
      <c r="A378" s="37"/>
      <c r="B378" s="78"/>
      <c r="C378" s="70"/>
      <c r="D378" s="37"/>
      <c r="E378" s="70"/>
      <c r="F378" s="70"/>
      <c r="G378" s="37"/>
      <c r="H378" s="70"/>
      <c r="I378" s="70"/>
      <c r="J378" s="37"/>
      <c r="K378" s="70"/>
      <c r="L378" s="70"/>
      <c r="M378" s="70"/>
      <c r="N378" s="70"/>
      <c r="O378" s="70"/>
    </row>
    <row r="379" spans="1:15" x14ac:dyDescent="0.25">
      <c r="A379" s="37"/>
      <c r="B379" s="78"/>
      <c r="C379" s="70"/>
      <c r="D379" s="37"/>
      <c r="E379" s="70"/>
      <c r="F379" s="70"/>
      <c r="G379" s="37"/>
      <c r="H379" s="70"/>
      <c r="I379" s="70"/>
      <c r="J379" s="37"/>
      <c r="K379" s="70"/>
      <c r="L379" s="70"/>
      <c r="M379" s="70"/>
      <c r="N379" s="70"/>
      <c r="O379" s="70"/>
    </row>
    <row r="380" spans="1:15" x14ac:dyDescent="0.25">
      <c r="A380" s="37"/>
      <c r="B380" s="78"/>
      <c r="C380" s="70"/>
      <c r="D380" s="37"/>
      <c r="E380" s="70"/>
      <c r="F380" s="70"/>
      <c r="G380" s="37"/>
      <c r="H380" s="70"/>
      <c r="I380" s="70"/>
      <c r="J380" s="37"/>
      <c r="K380" s="70"/>
      <c r="L380" s="70"/>
      <c r="M380" s="70"/>
      <c r="N380" s="70"/>
      <c r="O380" s="70"/>
    </row>
    <row r="381" spans="1:15" x14ac:dyDescent="0.25">
      <c r="A381" s="37"/>
      <c r="B381" s="78"/>
      <c r="C381" s="70"/>
      <c r="D381" s="37"/>
      <c r="E381" s="70"/>
      <c r="F381" s="70"/>
      <c r="G381" s="37"/>
      <c r="H381" s="70"/>
      <c r="I381" s="70"/>
      <c r="J381" s="37"/>
      <c r="K381" s="70"/>
      <c r="L381" s="70"/>
      <c r="M381" s="70"/>
      <c r="N381" s="70"/>
      <c r="O381" s="70"/>
    </row>
    <row r="382" spans="1:15" x14ac:dyDescent="0.25">
      <c r="A382" s="37"/>
      <c r="B382" s="78"/>
      <c r="C382" s="70"/>
      <c r="D382" s="37"/>
      <c r="E382" s="70"/>
      <c r="F382" s="70"/>
      <c r="G382" s="37"/>
      <c r="H382" s="70"/>
      <c r="I382" s="70"/>
      <c r="J382" s="37"/>
      <c r="K382" s="70"/>
      <c r="L382" s="70"/>
      <c r="M382" s="70"/>
      <c r="N382" s="70"/>
      <c r="O382" s="70"/>
    </row>
    <row r="383" spans="1:15" x14ac:dyDescent="0.25">
      <c r="A383" s="37"/>
      <c r="B383" s="78"/>
      <c r="C383" s="70"/>
      <c r="D383" s="37"/>
      <c r="E383" s="70"/>
      <c r="F383" s="70"/>
      <c r="G383" s="37"/>
      <c r="H383" s="70"/>
      <c r="I383" s="70"/>
      <c r="J383" s="37"/>
      <c r="K383" s="70"/>
      <c r="L383" s="70"/>
      <c r="M383" s="70"/>
      <c r="N383" s="70"/>
      <c r="O383" s="70"/>
    </row>
    <row r="384" spans="1:15" x14ac:dyDescent="0.25">
      <c r="A384" s="37"/>
      <c r="B384" s="78"/>
      <c r="C384" s="70"/>
      <c r="D384" s="37"/>
      <c r="E384" s="70"/>
      <c r="F384" s="70"/>
      <c r="G384" s="37"/>
      <c r="H384" s="70"/>
      <c r="I384" s="70"/>
      <c r="J384" s="37"/>
      <c r="K384" s="70"/>
      <c r="L384" s="70"/>
      <c r="M384" s="70"/>
      <c r="N384" s="70"/>
      <c r="O384" s="70"/>
    </row>
    <row r="385" spans="1:15" x14ac:dyDescent="0.25">
      <c r="A385" s="37"/>
      <c r="B385" s="78"/>
      <c r="C385" s="70"/>
      <c r="D385" s="37"/>
      <c r="E385" s="70"/>
      <c r="F385" s="70"/>
      <c r="G385" s="37"/>
      <c r="H385" s="70"/>
      <c r="I385" s="70"/>
      <c r="J385" s="37"/>
      <c r="K385" s="70"/>
      <c r="L385" s="70"/>
      <c r="M385" s="70"/>
      <c r="N385" s="70"/>
      <c r="O385" s="70"/>
    </row>
    <row r="386" spans="1:15" x14ac:dyDescent="0.25">
      <c r="A386" s="37"/>
      <c r="B386" s="78"/>
      <c r="C386" s="70"/>
      <c r="D386" s="37"/>
      <c r="E386" s="70"/>
      <c r="F386" s="70"/>
      <c r="G386" s="37"/>
      <c r="H386" s="70"/>
      <c r="I386" s="70"/>
      <c r="J386" s="37"/>
      <c r="K386" s="70"/>
      <c r="L386" s="70"/>
      <c r="M386" s="70"/>
      <c r="N386" s="70"/>
      <c r="O386" s="70"/>
    </row>
    <row r="387" spans="1:15" x14ac:dyDescent="0.25">
      <c r="A387" s="37"/>
      <c r="B387" s="78"/>
      <c r="C387" s="70"/>
      <c r="D387" s="37"/>
      <c r="E387" s="70"/>
      <c r="F387" s="70"/>
      <c r="G387" s="37"/>
      <c r="H387" s="70"/>
      <c r="I387" s="70"/>
      <c r="J387" s="37"/>
      <c r="K387" s="70"/>
      <c r="L387" s="70"/>
      <c r="M387" s="70"/>
      <c r="N387" s="70"/>
      <c r="O387" s="70"/>
    </row>
    <row r="388" spans="1:15" x14ac:dyDescent="0.25">
      <c r="A388" s="37"/>
      <c r="B388" s="78"/>
      <c r="C388" s="70"/>
      <c r="D388" s="37"/>
      <c r="E388" s="70"/>
      <c r="F388" s="70"/>
      <c r="G388" s="37"/>
      <c r="H388" s="70"/>
      <c r="I388" s="70"/>
      <c r="J388" s="37"/>
      <c r="K388" s="70"/>
      <c r="L388" s="70"/>
      <c r="M388" s="70"/>
      <c r="N388" s="70"/>
      <c r="O388" s="70"/>
    </row>
    <row r="389" spans="1:15" x14ac:dyDescent="0.25">
      <c r="A389" s="37"/>
      <c r="B389" s="78"/>
      <c r="C389" s="70"/>
      <c r="D389" s="37"/>
      <c r="E389" s="70"/>
      <c r="F389" s="70"/>
      <c r="G389" s="37"/>
      <c r="H389" s="70"/>
      <c r="I389" s="70"/>
      <c r="J389" s="37"/>
      <c r="K389" s="70"/>
      <c r="L389" s="70"/>
      <c r="M389" s="70"/>
      <c r="N389" s="70"/>
      <c r="O389" s="70"/>
    </row>
    <row r="390" spans="1:15" x14ac:dyDescent="0.25">
      <c r="A390" s="37"/>
      <c r="B390" s="78"/>
      <c r="C390" s="70"/>
      <c r="D390" s="37"/>
      <c r="E390" s="70"/>
      <c r="F390" s="70"/>
      <c r="G390" s="37"/>
      <c r="H390" s="70"/>
      <c r="I390" s="70"/>
      <c r="J390" s="37"/>
      <c r="K390" s="70"/>
      <c r="L390" s="70"/>
      <c r="M390" s="70"/>
      <c r="N390" s="70"/>
      <c r="O390" s="70"/>
    </row>
    <row r="391" spans="1:15" x14ac:dyDescent="0.25">
      <c r="A391" s="37"/>
      <c r="B391" s="78"/>
      <c r="C391" s="70"/>
      <c r="D391" s="37"/>
      <c r="E391" s="70"/>
      <c r="F391" s="70"/>
      <c r="G391" s="37"/>
      <c r="H391" s="70"/>
      <c r="I391" s="70"/>
      <c r="J391" s="37"/>
      <c r="K391" s="70"/>
      <c r="L391" s="70"/>
      <c r="M391" s="70"/>
      <c r="N391" s="70"/>
      <c r="O391" s="70"/>
    </row>
    <row r="392" spans="1:15" x14ac:dyDescent="0.25">
      <c r="A392" s="37"/>
      <c r="B392" s="78"/>
      <c r="C392" s="70"/>
      <c r="D392" s="37"/>
      <c r="E392" s="70"/>
      <c r="F392" s="70"/>
      <c r="G392" s="37"/>
      <c r="H392" s="70"/>
      <c r="I392" s="70"/>
      <c r="J392" s="37"/>
      <c r="K392" s="70"/>
      <c r="L392" s="70"/>
      <c r="M392" s="70"/>
      <c r="N392" s="70"/>
      <c r="O392" s="70"/>
    </row>
    <row r="393" spans="1:15" x14ac:dyDescent="0.25">
      <c r="A393" s="37"/>
      <c r="B393" s="78"/>
      <c r="C393" s="70"/>
      <c r="D393" s="37"/>
      <c r="E393" s="70"/>
      <c r="F393" s="70"/>
      <c r="G393" s="37"/>
      <c r="H393" s="70"/>
      <c r="I393" s="70"/>
      <c r="J393" s="37"/>
      <c r="K393" s="70"/>
      <c r="L393" s="70"/>
      <c r="M393" s="70"/>
      <c r="N393" s="70"/>
      <c r="O393" s="70"/>
    </row>
    <row r="394" spans="1:15" x14ac:dyDescent="0.25">
      <c r="A394" s="37"/>
      <c r="B394" s="78"/>
      <c r="C394" s="70"/>
      <c r="D394" s="37"/>
      <c r="E394" s="70"/>
      <c r="F394" s="70"/>
      <c r="G394" s="37"/>
      <c r="H394" s="70"/>
      <c r="I394" s="70"/>
      <c r="J394" s="37"/>
      <c r="K394" s="70"/>
      <c r="L394" s="70"/>
      <c r="M394" s="70"/>
      <c r="N394" s="70"/>
      <c r="O394" s="70"/>
    </row>
    <row r="395" spans="1:15" x14ac:dyDescent="0.25">
      <c r="A395" s="37"/>
      <c r="B395" s="78"/>
      <c r="C395" s="70"/>
      <c r="D395" s="37"/>
      <c r="E395" s="70"/>
      <c r="F395" s="70"/>
      <c r="G395" s="37"/>
      <c r="H395" s="70"/>
      <c r="I395" s="70"/>
      <c r="J395" s="37"/>
      <c r="K395" s="70"/>
      <c r="L395" s="70"/>
      <c r="M395" s="70"/>
      <c r="N395" s="70"/>
      <c r="O395" s="70"/>
    </row>
    <row r="396" spans="1:15" x14ac:dyDescent="0.25">
      <c r="A396" s="37"/>
      <c r="B396" s="78"/>
      <c r="C396" s="70"/>
      <c r="D396" s="37"/>
      <c r="E396" s="70"/>
      <c r="F396" s="70"/>
      <c r="G396" s="37"/>
      <c r="H396" s="70"/>
      <c r="I396" s="70"/>
      <c r="J396" s="37"/>
      <c r="K396" s="70"/>
      <c r="L396" s="70"/>
      <c r="M396" s="70"/>
      <c r="N396" s="70"/>
      <c r="O396" s="70"/>
    </row>
    <row r="397" spans="1:15" x14ac:dyDescent="0.25">
      <c r="A397" s="37"/>
      <c r="B397" s="78"/>
      <c r="C397" s="70"/>
      <c r="D397" s="37"/>
      <c r="E397" s="70"/>
      <c r="F397" s="70"/>
      <c r="G397" s="37"/>
      <c r="H397" s="70"/>
      <c r="I397" s="70"/>
      <c r="J397" s="37"/>
      <c r="K397" s="70"/>
      <c r="L397" s="70"/>
      <c r="M397" s="70"/>
      <c r="N397" s="70"/>
      <c r="O397" s="70"/>
    </row>
    <row r="398" spans="1:15" x14ac:dyDescent="0.25">
      <c r="A398" s="37"/>
      <c r="B398" s="78"/>
      <c r="C398" s="70"/>
      <c r="D398" s="37"/>
      <c r="E398" s="70"/>
      <c r="F398" s="70"/>
      <c r="G398" s="37"/>
      <c r="H398" s="70"/>
      <c r="I398" s="70"/>
      <c r="J398" s="37"/>
      <c r="K398" s="70"/>
      <c r="L398" s="70"/>
      <c r="M398" s="70"/>
      <c r="N398" s="70"/>
      <c r="O398" s="70"/>
    </row>
    <row r="399" spans="1:15" x14ac:dyDescent="0.25">
      <c r="A399" s="37"/>
      <c r="B399" s="78"/>
      <c r="C399" s="70"/>
      <c r="D399" s="37"/>
      <c r="E399" s="70"/>
      <c r="F399" s="70"/>
      <c r="G399" s="37"/>
      <c r="H399" s="70"/>
      <c r="I399" s="70"/>
      <c r="J399" s="37"/>
      <c r="K399" s="70"/>
      <c r="L399" s="70"/>
      <c r="M399" s="70"/>
      <c r="N399" s="70"/>
      <c r="O399" s="70"/>
    </row>
    <row r="400" spans="1:15" x14ac:dyDescent="0.25">
      <c r="A400" s="37"/>
      <c r="B400" s="78"/>
      <c r="C400" s="70"/>
      <c r="D400" s="37"/>
      <c r="E400" s="70"/>
      <c r="F400" s="70"/>
      <c r="G400" s="37"/>
      <c r="H400" s="70"/>
      <c r="I400" s="70"/>
      <c r="J400" s="37"/>
      <c r="K400" s="70"/>
      <c r="L400" s="70"/>
      <c r="M400" s="70"/>
      <c r="N400" s="70"/>
      <c r="O400" s="70"/>
    </row>
    <row r="401" spans="1:15" x14ac:dyDescent="0.25">
      <c r="A401" s="37"/>
      <c r="B401" s="78"/>
      <c r="C401" s="70"/>
      <c r="D401" s="37"/>
      <c r="E401" s="70"/>
      <c r="F401" s="70"/>
      <c r="G401" s="37"/>
      <c r="H401" s="70"/>
      <c r="I401" s="70"/>
      <c r="J401" s="37"/>
      <c r="K401" s="70"/>
      <c r="L401" s="70"/>
      <c r="M401" s="70"/>
      <c r="N401" s="70"/>
      <c r="O401" s="70"/>
    </row>
    <row r="402" spans="1:15" x14ac:dyDescent="0.25">
      <c r="A402" s="37"/>
      <c r="B402" s="78"/>
      <c r="C402" s="70"/>
      <c r="D402" s="37"/>
      <c r="E402" s="70"/>
      <c r="F402" s="70"/>
      <c r="G402" s="37"/>
      <c r="H402" s="70"/>
      <c r="I402" s="70"/>
      <c r="J402" s="37"/>
      <c r="K402" s="70"/>
      <c r="L402" s="70"/>
      <c r="M402" s="70"/>
      <c r="N402" s="70"/>
      <c r="O402" s="70"/>
    </row>
    <row r="403" spans="1:15" x14ac:dyDescent="0.25">
      <c r="A403" s="37"/>
      <c r="B403" s="78"/>
      <c r="C403" s="70"/>
      <c r="D403" s="37"/>
      <c r="E403" s="70"/>
      <c r="F403" s="70"/>
      <c r="G403" s="37"/>
      <c r="H403" s="70"/>
      <c r="I403" s="70"/>
      <c r="J403" s="37"/>
      <c r="K403" s="70"/>
      <c r="L403" s="70"/>
      <c r="M403" s="70"/>
      <c r="N403" s="70"/>
      <c r="O403" s="70"/>
    </row>
    <row r="404" spans="1:15" x14ac:dyDescent="0.25">
      <c r="A404" s="37"/>
      <c r="B404" s="78"/>
      <c r="C404" s="70"/>
      <c r="D404" s="37"/>
      <c r="E404" s="70"/>
      <c r="F404" s="70"/>
      <c r="G404" s="37"/>
      <c r="H404" s="70"/>
      <c r="I404" s="70"/>
      <c r="J404" s="37"/>
      <c r="K404" s="70"/>
      <c r="L404" s="70"/>
      <c r="M404" s="70"/>
      <c r="N404" s="70"/>
      <c r="O404" s="70"/>
    </row>
    <row r="405" spans="1:15" x14ac:dyDescent="0.25">
      <c r="A405" s="37"/>
      <c r="B405" s="78"/>
      <c r="C405" s="70"/>
      <c r="D405" s="37"/>
      <c r="E405" s="70"/>
      <c r="F405" s="70"/>
      <c r="G405" s="37"/>
      <c r="H405" s="70"/>
      <c r="I405" s="70"/>
      <c r="J405" s="37"/>
      <c r="K405" s="70"/>
      <c r="L405" s="70"/>
      <c r="M405" s="70"/>
      <c r="N405" s="70"/>
      <c r="O405" s="70"/>
    </row>
    <row r="406" spans="1:15" x14ac:dyDescent="0.25">
      <c r="A406" s="37"/>
      <c r="B406" s="78"/>
      <c r="C406" s="70"/>
      <c r="D406" s="37"/>
      <c r="E406" s="70"/>
      <c r="F406" s="70"/>
      <c r="G406" s="37"/>
      <c r="H406" s="70"/>
      <c r="I406" s="70"/>
      <c r="J406" s="37"/>
      <c r="K406" s="70"/>
      <c r="L406" s="70"/>
      <c r="M406" s="70"/>
      <c r="N406" s="70"/>
      <c r="O406" s="70"/>
    </row>
    <row r="407" spans="1:15" x14ac:dyDescent="0.25">
      <c r="A407" s="37"/>
      <c r="B407" s="78"/>
      <c r="C407" s="70"/>
      <c r="D407" s="37"/>
      <c r="E407" s="70"/>
      <c r="F407" s="70"/>
      <c r="G407" s="37"/>
      <c r="H407" s="70"/>
      <c r="I407" s="70"/>
      <c r="J407" s="37"/>
      <c r="K407" s="70"/>
      <c r="L407" s="70"/>
      <c r="M407" s="70"/>
      <c r="N407" s="70"/>
      <c r="O407" s="70"/>
    </row>
    <row r="408" spans="1:15" x14ac:dyDescent="0.25">
      <c r="A408" s="37"/>
      <c r="B408" s="78"/>
      <c r="C408" s="70"/>
      <c r="D408" s="37"/>
      <c r="E408" s="70"/>
      <c r="F408" s="70"/>
      <c r="G408" s="37"/>
      <c r="H408" s="70"/>
      <c r="I408" s="70"/>
      <c r="J408" s="37"/>
      <c r="K408" s="70"/>
      <c r="L408" s="70"/>
      <c r="M408" s="70"/>
      <c r="N408" s="70"/>
      <c r="O408" s="70"/>
    </row>
    <row r="409" spans="1:15" x14ac:dyDescent="0.25">
      <c r="A409" s="37"/>
      <c r="B409" s="78"/>
      <c r="C409" s="70"/>
      <c r="D409" s="37"/>
      <c r="E409" s="70"/>
      <c r="F409" s="70"/>
      <c r="G409" s="37"/>
      <c r="H409" s="70"/>
      <c r="I409" s="70"/>
      <c r="J409" s="37"/>
      <c r="K409" s="70"/>
      <c r="L409" s="70"/>
      <c r="M409" s="70"/>
      <c r="N409" s="70"/>
      <c r="O409" s="70"/>
    </row>
    <row r="410" spans="1:15" x14ac:dyDescent="0.25">
      <c r="A410" s="37"/>
      <c r="B410" s="78"/>
      <c r="C410" s="70"/>
      <c r="D410" s="37"/>
      <c r="E410" s="70"/>
      <c r="F410" s="70"/>
      <c r="G410" s="37"/>
      <c r="H410" s="70"/>
      <c r="I410" s="70"/>
      <c r="J410" s="37"/>
      <c r="K410" s="70"/>
      <c r="L410" s="70"/>
      <c r="M410" s="70"/>
      <c r="N410" s="70"/>
      <c r="O410" s="70"/>
    </row>
    <row r="411" spans="1:15" x14ac:dyDescent="0.25">
      <c r="A411" s="37"/>
      <c r="B411" s="78"/>
      <c r="C411" s="70"/>
      <c r="D411" s="37"/>
      <c r="E411" s="70"/>
      <c r="F411" s="70"/>
      <c r="G411" s="37"/>
      <c r="H411" s="70"/>
      <c r="I411" s="70"/>
      <c r="J411" s="37"/>
      <c r="K411" s="70"/>
      <c r="L411" s="70"/>
      <c r="M411" s="70"/>
      <c r="N411" s="70"/>
      <c r="O411" s="70"/>
    </row>
    <row r="412" spans="1:15" x14ac:dyDescent="0.25">
      <c r="A412" s="37"/>
      <c r="B412" s="78"/>
      <c r="C412" s="70"/>
      <c r="D412" s="37"/>
      <c r="E412" s="70"/>
      <c r="F412" s="70"/>
      <c r="G412" s="37"/>
      <c r="H412" s="70"/>
      <c r="I412" s="70"/>
      <c r="J412" s="37"/>
      <c r="K412" s="70"/>
      <c r="L412" s="70"/>
      <c r="M412" s="70"/>
      <c r="N412" s="70"/>
      <c r="O412" s="70"/>
    </row>
    <row r="413" spans="1:15" x14ac:dyDescent="0.25">
      <c r="A413" s="37"/>
      <c r="B413" s="78"/>
      <c r="C413" s="70"/>
      <c r="D413" s="37"/>
      <c r="E413" s="70"/>
      <c r="F413" s="70"/>
      <c r="G413" s="37"/>
      <c r="H413" s="70"/>
      <c r="I413" s="70"/>
      <c r="J413" s="37"/>
      <c r="K413" s="70"/>
      <c r="L413" s="70"/>
      <c r="M413" s="70"/>
      <c r="N413" s="70"/>
      <c r="O413" s="70"/>
    </row>
    <row r="414" spans="1:15" x14ac:dyDescent="0.25">
      <c r="A414" s="37"/>
      <c r="B414" s="78"/>
      <c r="C414" s="70"/>
      <c r="D414" s="37"/>
      <c r="E414" s="70"/>
      <c r="F414" s="70"/>
      <c r="G414" s="37"/>
      <c r="H414" s="70"/>
      <c r="I414" s="70"/>
      <c r="J414" s="37"/>
      <c r="K414" s="70"/>
      <c r="L414" s="70"/>
      <c r="M414" s="70"/>
      <c r="N414" s="70"/>
      <c r="O414" s="70"/>
    </row>
    <row r="415" spans="1:15" x14ac:dyDescent="0.25">
      <c r="A415" s="37"/>
      <c r="B415" s="78"/>
      <c r="C415" s="70"/>
      <c r="D415" s="37"/>
      <c r="E415" s="70"/>
      <c r="F415" s="70"/>
      <c r="G415" s="37"/>
      <c r="H415" s="70"/>
      <c r="I415" s="70"/>
      <c r="J415" s="37"/>
      <c r="K415" s="70"/>
      <c r="L415" s="70"/>
      <c r="M415" s="70"/>
      <c r="N415" s="70"/>
      <c r="O415" s="70"/>
    </row>
    <row r="416" spans="1:15" x14ac:dyDescent="0.25">
      <c r="A416" s="37"/>
      <c r="B416" s="78"/>
      <c r="C416" s="70"/>
      <c r="D416" s="37"/>
      <c r="E416" s="70"/>
      <c r="F416" s="70"/>
      <c r="G416" s="37"/>
      <c r="H416" s="70"/>
      <c r="I416" s="70"/>
      <c r="J416" s="37"/>
      <c r="K416" s="70"/>
      <c r="L416" s="70"/>
      <c r="M416" s="70"/>
      <c r="N416" s="70"/>
      <c r="O416" s="70"/>
    </row>
    <row r="417" spans="1:15" x14ac:dyDescent="0.25">
      <c r="A417" s="37"/>
      <c r="B417" s="78"/>
      <c r="C417" s="70"/>
      <c r="D417" s="37"/>
      <c r="E417" s="70"/>
      <c r="F417" s="70"/>
      <c r="G417" s="37"/>
      <c r="H417" s="70"/>
      <c r="I417" s="70"/>
      <c r="J417" s="37"/>
      <c r="K417" s="70"/>
      <c r="L417" s="70"/>
      <c r="M417" s="70"/>
      <c r="N417" s="70"/>
      <c r="O417" s="70"/>
    </row>
    <row r="418" spans="1:15" x14ac:dyDescent="0.25">
      <c r="A418" s="37"/>
      <c r="B418" s="78"/>
      <c r="C418" s="70"/>
      <c r="D418" s="37"/>
      <c r="E418" s="70"/>
      <c r="F418" s="70"/>
      <c r="G418" s="37"/>
      <c r="H418" s="70"/>
      <c r="I418" s="70"/>
      <c r="J418" s="37"/>
      <c r="K418" s="70"/>
      <c r="L418" s="70"/>
      <c r="M418" s="70"/>
      <c r="N418" s="70"/>
      <c r="O418" s="70"/>
    </row>
    <row r="419" spans="1:15" x14ac:dyDescent="0.25">
      <c r="A419" s="37"/>
      <c r="B419" s="78"/>
      <c r="C419" s="70"/>
      <c r="D419" s="37"/>
      <c r="E419" s="70"/>
      <c r="F419" s="70"/>
      <c r="G419" s="37"/>
      <c r="H419" s="70"/>
      <c r="I419" s="70"/>
      <c r="J419" s="37"/>
      <c r="K419" s="70"/>
      <c r="L419" s="70"/>
      <c r="M419" s="70"/>
      <c r="N419" s="70"/>
      <c r="O419" s="70"/>
    </row>
    <row r="420" spans="1:15" x14ac:dyDescent="0.25">
      <c r="A420" s="37"/>
      <c r="B420" s="78"/>
      <c r="C420" s="70"/>
      <c r="D420" s="37"/>
      <c r="E420" s="70"/>
      <c r="F420" s="70"/>
      <c r="G420" s="37"/>
      <c r="H420" s="70"/>
      <c r="I420" s="70"/>
      <c r="J420" s="37"/>
      <c r="K420" s="70"/>
      <c r="L420" s="70"/>
      <c r="M420" s="70"/>
      <c r="N420" s="70"/>
      <c r="O420" s="70"/>
    </row>
    <row r="421" spans="1:15" x14ac:dyDescent="0.25">
      <c r="A421" s="37"/>
      <c r="B421" s="78"/>
      <c r="C421" s="70"/>
      <c r="D421" s="37"/>
      <c r="E421" s="70"/>
      <c r="F421" s="70"/>
      <c r="G421" s="37"/>
      <c r="H421" s="70"/>
      <c r="I421" s="70"/>
      <c r="J421" s="37"/>
      <c r="K421" s="70"/>
      <c r="L421" s="70"/>
      <c r="M421" s="70"/>
      <c r="N421" s="70"/>
      <c r="O421" s="70"/>
    </row>
    <row r="422" spans="1:15" x14ac:dyDescent="0.25">
      <c r="A422" s="37"/>
      <c r="B422" s="78"/>
      <c r="C422" s="70"/>
      <c r="D422" s="37"/>
      <c r="E422" s="70"/>
      <c r="F422" s="70"/>
      <c r="G422" s="37"/>
      <c r="H422" s="70"/>
      <c r="I422" s="70"/>
      <c r="J422" s="37"/>
      <c r="K422" s="70"/>
      <c r="L422" s="70"/>
      <c r="M422" s="70"/>
      <c r="N422" s="70"/>
      <c r="O422" s="70"/>
    </row>
    <row r="423" spans="1:15" x14ac:dyDescent="0.25">
      <c r="A423" s="37"/>
      <c r="B423" s="78"/>
      <c r="C423" s="70"/>
      <c r="D423" s="37"/>
      <c r="E423" s="70"/>
      <c r="F423" s="70"/>
      <c r="G423" s="37"/>
      <c r="H423" s="70"/>
      <c r="I423" s="70"/>
      <c r="J423" s="37"/>
      <c r="K423" s="70"/>
      <c r="L423" s="70"/>
      <c r="M423" s="70"/>
      <c r="N423" s="70"/>
      <c r="O423" s="70"/>
    </row>
    <row r="424" spans="1:15" x14ac:dyDescent="0.25">
      <c r="A424" s="37"/>
      <c r="B424" s="78"/>
      <c r="C424" s="70"/>
      <c r="D424" s="37"/>
      <c r="E424" s="70"/>
      <c r="F424" s="70"/>
      <c r="G424" s="37"/>
      <c r="H424" s="70"/>
      <c r="I424" s="70"/>
      <c r="J424" s="37"/>
      <c r="K424" s="70"/>
      <c r="L424" s="70"/>
      <c r="M424" s="70"/>
      <c r="N424" s="70"/>
      <c r="O424" s="70"/>
    </row>
    <row r="425" spans="1:15" x14ac:dyDescent="0.25">
      <c r="A425" s="37"/>
      <c r="B425" s="78"/>
      <c r="C425" s="70"/>
      <c r="D425" s="37"/>
      <c r="E425" s="70"/>
      <c r="F425" s="70"/>
      <c r="G425" s="37"/>
      <c r="H425" s="70"/>
      <c r="I425" s="70"/>
      <c r="J425" s="37"/>
      <c r="K425" s="70"/>
      <c r="L425" s="70"/>
      <c r="M425" s="70"/>
      <c r="N425" s="70"/>
      <c r="O425" s="70"/>
    </row>
    <row r="426" spans="1:15" x14ac:dyDescent="0.25">
      <c r="A426" s="37"/>
      <c r="B426" s="78"/>
      <c r="C426" s="70"/>
      <c r="D426" s="37"/>
      <c r="E426" s="70"/>
      <c r="F426" s="70"/>
      <c r="G426" s="37"/>
      <c r="H426" s="70"/>
      <c r="I426" s="70"/>
      <c r="J426" s="37"/>
      <c r="K426" s="70"/>
      <c r="L426" s="70"/>
      <c r="M426" s="70"/>
      <c r="N426" s="70"/>
      <c r="O426" s="70"/>
    </row>
    <row r="427" spans="1:15" x14ac:dyDescent="0.25">
      <c r="A427" s="37"/>
      <c r="B427" s="78"/>
      <c r="C427" s="70"/>
      <c r="D427" s="37"/>
      <c r="E427" s="70"/>
      <c r="F427" s="70"/>
      <c r="G427" s="37"/>
      <c r="H427" s="70"/>
      <c r="I427" s="70"/>
      <c r="J427" s="37"/>
      <c r="K427" s="70"/>
      <c r="L427" s="70"/>
      <c r="M427" s="70"/>
      <c r="N427" s="70"/>
      <c r="O427" s="70"/>
    </row>
    <row r="428" spans="1:15" x14ac:dyDescent="0.25">
      <c r="A428" s="37"/>
      <c r="B428" s="78"/>
      <c r="C428" s="70"/>
      <c r="D428" s="37"/>
      <c r="E428" s="70"/>
      <c r="F428" s="70"/>
      <c r="G428" s="37"/>
      <c r="H428" s="70"/>
      <c r="I428" s="70"/>
      <c r="J428" s="37"/>
      <c r="K428" s="70"/>
      <c r="L428" s="70"/>
      <c r="M428" s="70"/>
      <c r="N428" s="70"/>
      <c r="O428" s="70"/>
    </row>
    <row r="429" spans="1:15" x14ac:dyDescent="0.25">
      <c r="A429" s="37"/>
      <c r="B429" s="78"/>
      <c r="C429" s="70"/>
      <c r="D429" s="37"/>
      <c r="E429" s="70"/>
      <c r="F429" s="70"/>
      <c r="G429" s="37"/>
      <c r="H429" s="70"/>
      <c r="I429" s="70"/>
      <c r="J429" s="37"/>
      <c r="K429" s="70"/>
      <c r="L429" s="70"/>
      <c r="M429" s="70"/>
      <c r="N429" s="70"/>
      <c r="O429" s="70"/>
    </row>
    <row r="430" spans="1:15" x14ac:dyDescent="0.25">
      <c r="A430" s="37"/>
      <c r="B430" s="78"/>
      <c r="C430" s="70"/>
      <c r="D430" s="37"/>
      <c r="E430" s="70"/>
      <c r="F430" s="70"/>
      <c r="G430" s="37"/>
      <c r="H430" s="70"/>
      <c r="I430" s="70"/>
      <c r="J430" s="37"/>
      <c r="K430" s="70"/>
      <c r="L430" s="70"/>
      <c r="M430" s="70"/>
      <c r="N430" s="70"/>
      <c r="O430" s="70"/>
    </row>
    <row r="431" spans="1:15" x14ac:dyDescent="0.25">
      <c r="A431" s="37"/>
      <c r="B431" s="78"/>
      <c r="C431" s="70"/>
      <c r="D431" s="37"/>
      <c r="E431" s="70"/>
      <c r="F431" s="70"/>
      <c r="G431" s="37"/>
      <c r="H431" s="70"/>
      <c r="I431" s="70"/>
      <c r="J431" s="37"/>
      <c r="K431" s="70"/>
      <c r="L431" s="70"/>
      <c r="M431" s="70"/>
      <c r="N431" s="70"/>
      <c r="O431" s="70"/>
    </row>
    <row r="432" spans="1:15" x14ac:dyDescent="0.25">
      <c r="A432" s="37"/>
      <c r="B432" s="78"/>
      <c r="C432" s="70"/>
      <c r="D432" s="37"/>
      <c r="E432" s="70"/>
      <c r="F432" s="70"/>
      <c r="G432" s="37"/>
      <c r="H432" s="70"/>
      <c r="I432" s="70"/>
      <c r="J432" s="37"/>
      <c r="K432" s="70"/>
      <c r="L432" s="70"/>
      <c r="M432" s="70"/>
      <c r="N432" s="70"/>
      <c r="O432" s="70"/>
    </row>
    <row r="433" spans="1:15" x14ac:dyDescent="0.25">
      <c r="A433" s="37"/>
      <c r="B433" s="78"/>
      <c r="C433" s="70"/>
      <c r="D433" s="37"/>
      <c r="E433" s="70"/>
      <c r="F433" s="70"/>
      <c r="G433" s="37"/>
      <c r="H433" s="70"/>
      <c r="I433" s="70"/>
      <c r="J433" s="37"/>
      <c r="K433" s="70"/>
      <c r="L433" s="70"/>
      <c r="M433" s="70"/>
      <c r="N433" s="70"/>
      <c r="O433" s="70"/>
    </row>
    <row r="434" spans="1:15" x14ac:dyDescent="0.25">
      <c r="A434" s="37"/>
      <c r="B434" s="78"/>
      <c r="C434" s="70"/>
      <c r="D434" s="37"/>
      <c r="E434" s="70"/>
      <c r="F434" s="70"/>
      <c r="G434" s="37"/>
      <c r="H434" s="70"/>
      <c r="I434" s="70"/>
      <c r="J434" s="37"/>
      <c r="K434" s="70"/>
      <c r="L434" s="70"/>
      <c r="M434" s="70"/>
      <c r="N434" s="70"/>
      <c r="O434" s="70"/>
    </row>
    <row r="435" spans="1:15" x14ac:dyDescent="0.25">
      <c r="A435" s="37"/>
      <c r="B435" s="78"/>
      <c r="C435" s="70"/>
      <c r="D435" s="37"/>
      <c r="E435" s="70"/>
      <c r="F435" s="70"/>
      <c r="G435" s="37"/>
      <c r="H435" s="70"/>
      <c r="I435" s="70"/>
      <c r="J435" s="37"/>
      <c r="K435" s="70"/>
      <c r="L435" s="70"/>
      <c r="M435" s="70"/>
      <c r="N435" s="70"/>
      <c r="O435" s="70"/>
    </row>
    <row r="436" spans="1:15" x14ac:dyDescent="0.25">
      <c r="A436" s="37"/>
      <c r="B436" s="78"/>
      <c r="C436" s="70"/>
      <c r="D436" s="37"/>
      <c r="E436" s="70"/>
      <c r="F436" s="70"/>
      <c r="G436" s="37"/>
      <c r="H436" s="70"/>
      <c r="I436" s="70"/>
      <c r="J436" s="37"/>
      <c r="K436" s="70"/>
      <c r="L436" s="70"/>
      <c r="M436" s="70"/>
      <c r="N436" s="70"/>
      <c r="O436" s="70"/>
    </row>
    <row r="437" spans="1:15" x14ac:dyDescent="0.25">
      <c r="A437" s="37"/>
      <c r="B437" s="78"/>
      <c r="C437" s="70"/>
      <c r="D437" s="37"/>
      <c r="E437" s="70"/>
      <c r="F437" s="70"/>
      <c r="G437" s="37"/>
      <c r="H437" s="70"/>
      <c r="I437" s="70"/>
      <c r="J437" s="37"/>
      <c r="K437" s="70"/>
      <c r="L437" s="70"/>
      <c r="M437" s="70"/>
      <c r="N437" s="70"/>
      <c r="O437" s="70"/>
    </row>
    <row r="438" spans="1:15" x14ac:dyDescent="0.25">
      <c r="A438" s="37"/>
      <c r="B438" s="78"/>
      <c r="C438" s="70"/>
      <c r="D438" s="37"/>
      <c r="E438" s="70"/>
      <c r="F438" s="70"/>
      <c r="G438" s="37"/>
      <c r="H438" s="70"/>
      <c r="I438" s="70"/>
      <c r="J438" s="37"/>
      <c r="K438" s="70"/>
      <c r="L438" s="70"/>
      <c r="M438" s="70"/>
      <c r="N438" s="70"/>
      <c r="O438" s="70"/>
    </row>
    <row r="439" spans="1:15" x14ac:dyDescent="0.25">
      <c r="A439" s="37"/>
      <c r="B439" s="78"/>
      <c r="C439" s="70"/>
      <c r="D439" s="37"/>
      <c r="E439" s="70"/>
      <c r="F439" s="70"/>
      <c r="G439" s="37"/>
      <c r="H439" s="70"/>
      <c r="I439" s="70"/>
      <c r="J439" s="37"/>
      <c r="K439" s="70"/>
      <c r="L439" s="70"/>
      <c r="M439" s="70"/>
      <c r="N439" s="70"/>
      <c r="O439" s="70"/>
    </row>
    <row r="440" spans="1:15" x14ac:dyDescent="0.25">
      <c r="A440" s="37"/>
      <c r="B440" s="78"/>
      <c r="C440" s="70"/>
      <c r="D440" s="37"/>
      <c r="E440" s="70"/>
      <c r="F440" s="70"/>
      <c r="G440" s="37"/>
      <c r="H440" s="70"/>
      <c r="I440" s="70"/>
      <c r="J440" s="37"/>
      <c r="K440" s="70"/>
      <c r="L440" s="70"/>
      <c r="M440" s="70"/>
      <c r="N440" s="70"/>
      <c r="O440" s="70"/>
    </row>
    <row r="441" spans="1:15" x14ac:dyDescent="0.25">
      <c r="A441" s="37"/>
      <c r="B441" s="78"/>
      <c r="C441" s="70"/>
      <c r="D441" s="37"/>
      <c r="E441" s="70"/>
      <c r="F441" s="70"/>
      <c r="G441" s="37"/>
      <c r="H441" s="70"/>
      <c r="I441" s="70"/>
      <c r="J441" s="37"/>
      <c r="K441" s="70"/>
      <c r="L441" s="70"/>
      <c r="M441" s="70"/>
      <c r="N441" s="70"/>
      <c r="O441" s="70"/>
    </row>
    <row r="442" spans="1:15" x14ac:dyDescent="0.25">
      <c r="A442" s="37"/>
      <c r="B442" s="78"/>
      <c r="C442" s="70"/>
      <c r="D442" s="37"/>
      <c r="E442" s="70"/>
      <c r="F442" s="70"/>
      <c r="G442" s="37"/>
      <c r="H442" s="70"/>
      <c r="I442" s="70"/>
      <c r="J442" s="37"/>
      <c r="K442" s="70"/>
      <c r="L442" s="70"/>
      <c r="M442" s="70"/>
      <c r="N442" s="70"/>
      <c r="O442" s="70"/>
    </row>
    <row r="443" spans="1:15" x14ac:dyDescent="0.25">
      <c r="A443" s="37"/>
      <c r="B443" s="78"/>
      <c r="C443" s="70"/>
      <c r="D443" s="37"/>
      <c r="E443" s="70"/>
      <c r="F443" s="70"/>
      <c r="G443" s="37"/>
      <c r="H443" s="70"/>
      <c r="I443" s="70"/>
      <c r="J443" s="37"/>
      <c r="K443" s="70"/>
      <c r="L443" s="70"/>
      <c r="M443" s="70"/>
      <c r="N443" s="70"/>
      <c r="O443" s="70"/>
    </row>
    <row r="444" spans="1:15" x14ac:dyDescent="0.25">
      <c r="A444" s="37"/>
      <c r="B444" s="78"/>
      <c r="C444" s="70"/>
      <c r="D444" s="37"/>
      <c r="E444" s="70"/>
      <c r="F444" s="70"/>
      <c r="G444" s="37"/>
      <c r="H444" s="70"/>
      <c r="I444" s="70"/>
      <c r="J444" s="37"/>
      <c r="K444" s="70"/>
      <c r="L444" s="70"/>
      <c r="M444" s="70"/>
      <c r="N444" s="70"/>
      <c r="O444" s="70"/>
    </row>
    <row r="445" spans="1:15" x14ac:dyDescent="0.25">
      <c r="A445" s="37"/>
      <c r="B445" s="78"/>
      <c r="C445" s="70"/>
      <c r="D445" s="37"/>
      <c r="E445" s="70"/>
      <c r="F445" s="70"/>
      <c r="G445" s="37"/>
      <c r="H445" s="70"/>
      <c r="I445" s="70"/>
      <c r="J445" s="37"/>
      <c r="K445" s="70"/>
      <c r="L445" s="70"/>
      <c r="M445" s="70"/>
      <c r="N445" s="70"/>
      <c r="O445" s="70"/>
    </row>
    <row r="446" spans="1:15" x14ac:dyDescent="0.25">
      <c r="A446" s="37"/>
      <c r="B446" s="78"/>
      <c r="C446" s="70"/>
      <c r="D446" s="37"/>
      <c r="E446" s="70"/>
      <c r="F446" s="70"/>
      <c r="G446" s="37"/>
      <c r="H446" s="70"/>
      <c r="I446" s="70"/>
      <c r="J446" s="37"/>
      <c r="K446" s="70"/>
      <c r="L446" s="70"/>
      <c r="M446" s="70"/>
      <c r="N446" s="70"/>
      <c r="O446" s="70"/>
    </row>
    <row r="447" spans="1:15" x14ac:dyDescent="0.25">
      <c r="A447" s="37"/>
      <c r="B447" s="78"/>
      <c r="C447" s="70"/>
      <c r="D447" s="37"/>
      <c r="E447" s="70"/>
      <c r="F447" s="70"/>
      <c r="G447" s="37"/>
      <c r="H447" s="70"/>
      <c r="I447" s="70"/>
      <c r="J447" s="37"/>
      <c r="K447" s="70"/>
      <c r="L447" s="70"/>
      <c r="M447" s="70"/>
      <c r="N447" s="70"/>
      <c r="O447" s="70"/>
    </row>
    <row r="448" spans="1:15" x14ac:dyDescent="0.25">
      <c r="A448" s="37"/>
      <c r="B448" s="78"/>
      <c r="C448" s="70"/>
      <c r="D448" s="37"/>
      <c r="E448" s="70"/>
      <c r="F448" s="70"/>
      <c r="G448" s="37"/>
      <c r="H448" s="70"/>
      <c r="I448" s="70"/>
      <c r="J448" s="37"/>
      <c r="K448" s="70"/>
      <c r="L448" s="70"/>
      <c r="M448" s="70"/>
      <c r="N448" s="70"/>
      <c r="O448" s="70"/>
    </row>
    <row r="449" spans="1:15" x14ac:dyDescent="0.25">
      <c r="A449" s="37"/>
      <c r="B449" s="78"/>
      <c r="C449" s="70"/>
      <c r="D449" s="37"/>
      <c r="E449" s="70"/>
      <c r="F449" s="70"/>
      <c r="G449" s="37"/>
      <c r="H449" s="70"/>
      <c r="I449" s="70"/>
      <c r="J449" s="37"/>
      <c r="K449" s="70"/>
      <c r="L449" s="70"/>
      <c r="M449" s="70"/>
      <c r="N449" s="70"/>
      <c r="O449" s="70"/>
    </row>
    <row r="450" spans="1:15" x14ac:dyDescent="0.25">
      <c r="A450" s="37"/>
      <c r="B450" s="78"/>
      <c r="C450" s="70"/>
      <c r="D450" s="37"/>
      <c r="E450" s="70"/>
      <c r="F450" s="70"/>
      <c r="G450" s="37"/>
      <c r="H450" s="70"/>
      <c r="I450" s="70"/>
      <c r="J450" s="37"/>
      <c r="K450" s="70"/>
      <c r="L450" s="70"/>
      <c r="M450" s="70"/>
      <c r="N450" s="70"/>
      <c r="O450" s="70"/>
    </row>
    <row r="451" spans="1:15" x14ac:dyDescent="0.25">
      <c r="A451" s="37"/>
      <c r="B451" s="78"/>
      <c r="C451" s="70"/>
      <c r="D451" s="37"/>
      <c r="E451" s="70"/>
      <c r="F451" s="70"/>
      <c r="G451" s="37"/>
      <c r="H451" s="70"/>
      <c r="I451" s="70"/>
      <c r="J451" s="37"/>
      <c r="K451" s="70"/>
      <c r="L451" s="70"/>
      <c r="M451" s="70"/>
      <c r="N451" s="70"/>
      <c r="O451" s="70"/>
    </row>
    <row r="452" spans="1:15" x14ac:dyDescent="0.25">
      <c r="A452" s="37"/>
      <c r="B452" s="78"/>
      <c r="C452" s="70"/>
      <c r="D452" s="37"/>
      <c r="E452" s="70"/>
      <c r="F452" s="70"/>
      <c r="G452" s="37"/>
      <c r="H452" s="70"/>
      <c r="I452" s="70"/>
      <c r="J452" s="37"/>
      <c r="K452" s="70"/>
      <c r="L452" s="70"/>
      <c r="M452" s="70"/>
      <c r="N452" s="70"/>
      <c r="O452" s="70"/>
    </row>
    <row r="453" spans="1:15" x14ac:dyDescent="0.25">
      <c r="A453" s="37"/>
      <c r="B453" s="78"/>
      <c r="C453" s="70"/>
      <c r="D453" s="37"/>
      <c r="E453" s="70"/>
      <c r="F453" s="70"/>
      <c r="G453" s="37"/>
      <c r="H453" s="70"/>
      <c r="I453" s="70"/>
      <c r="J453" s="37"/>
      <c r="K453" s="70"/>
      <c r="L453" s="70"/>
      <c r="M453" s="70"/>
      <c r="N453" s="70"/>
      <c r="O453" s="70"/>
    </row>
    <row r="454" spans="1:15" x14ac:dyDescent="0.25">
      <c r="A454" s="37"/>
      <c r="B454" s="78"/>
      <c r="C454" s="70"/>
      <c r="D454" s="37"/>
      <c r="E454" s="70"/>
      <c r="F454" s="70"/>
      <c r="G454" s="37"/>
      <c r="H454" s="70"/>
      <c r="I454" s="70"/>
      <c r="J454" s="37"/>
      <c r="K454" s="70"/>
      <c r="L454" s="70"/>
      <c r="M454" s="70"/>
      <c r="N454" s="70"/>
      <c r="O454" s="70"/>
    </row>
    <row r="455" spans="1:15" x14ac:dyDescent="0.25">
      <c r="A455" s="37"/>
      <c r="B455" s="78"/>
      <c r="C455" s="70"/>
      <c r="D455" s="37"/>
      <c r="E455" s="70"/>
      <c r="F455" s="70"/>
      <c r="G455" s="37"/>
      <c r="H455" s="70"/>
      <c r="I455" s="70"/>
      <c r="J455" s="37"/>
      <c r="K455" s="70"/>
      <c r="L455" s="70"/>
      <c r="M455" s="70"/>
      <c r="N455" s="70"/>
      <c r="O455" s="70"/>
    </row>
    <row r="456" spans="1:15" x14ac:dyDescent="0.25">
      <c r="A456" s="37"/>
      <c r="B456" s="78"/>
      <c r="C456" s="70"/>
      <c r="D456" s="37"/>
      <c r="E456" s="70"/>
      <c r="F456" s="70"/>
      <c r="G456" s="37"/>
      <c r="H456" s="70"/>
      <c r="I456" s="70"/>
      <c r="J456" s="37"/>
      <c r="K456" s="70"/>
      <c r="L456" s="70"/>
      <c r="M456" s="70"/>
      <c r="N456" s="70"/>
      <c r="O456" s="70"/>
    </row>
    <row r="457" spans="1:15" x14ac:dyDescent="0.25">
      <c r="A457" s="37"/>
      <c r="B457" s="78"/>
      <c r="C457" s="70"/>
      <c r="D457" s="37"/>
      <c r="E457" s="70"/>
      <c r="F457" s="70"/>
      <c r="G457" s="37"/>
      <c r="H457" s="70"/>
      <c r="I457" s="70"/>
      <c r="J457" s="37"/>
      <c r="K457" s="70"/>
      <c r="L457" s="70"/>
      <c r="M457" s="70"/>
      <c r="N457" s="70"/>
      <c r="O457" s="70"/>
    </row>
    <row r="458" spans="1:15" x14ac:dyDescent="0.25">
      <c r="A458" s="37"/>
      <c r="B458" s="78"/>
      <c r="C458" s="70"/>
      <c r="D458" s="37"/>
      <c r="E458" s="70"/>
      <c r="F458" s="70"/>
      <c r="G458" s="37"/>
      <c r="H458" s="70"/>
      <c r="I458" s="70"/>
      <c r="J458" s="37"/>
      <c r="K458" s="70"/>
      <c r="L458" s="70"/>
      <c r="M458" s="70"/>
      <c r="N458" s="70"/>
      <c r="O458" s="70"/>
    </row>
    <row r="459" spans="1:15" x14ac:dyDescent="0.25">
      <c r="A459" s="37"/>
      <c r="B459" s="78"/>
      <c r="C459" s="70"/>
      <c r="D459" s="37"/>
      <c r="E459" s="70"/>
      <c r="F459" s="70"/>
      <c r="G459" s="37"/>
      <c r="H459" s="70"/>
      <c r="I459" s="70"/>
      <c r="J459" s="37"/>
      <c r="K459" s="70"/>
      <c r="L459" s="70"/>
      <c r="M459" s="70"/>
      <c r="N459" s="70"/>
      <c r="O459" s="70"/>
    </row>
    <row r="460" spans="1:15" x14ac:dyDescent="0.25">
      <c r="A460" s="37"/>
      <c r="B460" s="78"/>
      <c r="C460" s="70"/>
      <c r="D460" s="37"/>
      <c r="E460" s="70"/>
      <c r="F460" s="70"/>
      <c r="G460" s="37"/>
      <c r="H460" s="70"/>
      <c r="I460" s="70"/>
      <c r="J460" s="37"/>
      <c r="K460" s="70"/>
      <c r="L460" s="70"/>
      <c r="M460" s="70"/>
      <c r="N460" s="70"/>
      <c r="O460" s="70"/>
    </row>
    <row r="461" spans="1:15" x14ac:dyDescent="0.25">
      <c r="A461" s="37"/>
      <c r="B461" s="78"/>
      <c r="C461" s="70"/>
      <c r="D461" s="37"/>
      <c r="E461" s="70"/>
      <c r="F461" s="70"/>
      <c r="G461" s="37"/>
      <c r="H461" s="70"/>
      <c r="I461" s="70"/>
      <c r="J461" s="37"/>
      <c r="K461" s="70"/>
      <c r="L461" s="70"/>
      <c r="M461" s="70"/>
      <c r="N461" s="70"/>
      <c r="O461" s="70"/>
    </row>
    <row r="462" spans="1:15" x14ac:dyDescent="0.25">
      <c r="A462" s="37"/>
      <c r="B462" s="78"/>
      <c r="C462" s="70"/>
      <c r="D462" s="37"/>
      <c r="E462" s="70"/>
      <c r="F462" s="70"/>
      <c r="G462" s="37"/>
      <c r="H462" s="70"/>
      <c r="I462" s="70"/>
      <c r="J462" s="37"/>
      <c r="K462" s="70"/>
      <c r="L462" s="70"/>
      <c r="M462" s="70"/>
      <c r="N462" s="70"/>
      <c r="O462" s="70"/>
    </row>
    <row r="463" spans="1:15" x14ac:dyDescent="0.25">
      <c r="A463" s="37"/>
      <c r="B463" s="78"/>
      <c r="C463" s="70"/>
      <c r="D463" s="37"/>
      <c r="E463" s="70"/>
      <c r="F463" s="70"/>
      <c r="G463" s="37"/>
      <c r="H463" s="70"/>
      <c r="I463" s="70"/>
      <c r="J463" s="37"/>
      <c r="K463" s="70"/>
      <c r="L463" s="70"/>
      <c r="M463" s="70"/>
      <c r="N463" s="70"/>
      <c r="O463" s="70"/>
    </row>
    <row r="464" spans="1:15" x14ac:dyDescent="0.25">
      <c r="A464" s="37"/>
      <c r="B464" s="78"/>
      <c r="C464" s="70"/>
      <c r="D464" s="37"/>
      <c r="E464" s="70"/>
      <c r="F464" s="70"/>
      <c r="G464" s="37"/>
      <c r="H464" s="70"/>
      <c r="I464" s="70"/>
      <c r="J464" s="37"/>
      <c r="K464" s="70"/>
      <c r="L464" s="70"/>
      <c r="M464" s="70"/>
      <c r="N464" s="70"/>
      <c r="O464" s="70"/>
    </row>
    <row r="465" spans="1:15" x14ac:dyDescent="0.25">
      <c r="A465" s="37"/>
      <c r="B465" s="78"/>
      <c r="C465" s="70"/>
      <c r="D465" s="37"/>
      <c r="E465" s="70"/>
      <c r="F465" s="70"/>
      <c r="G465" s="37"/>
      <c r="H465" s="70"/>
      <c r="I465" s="70"/>
      <c r="J465" s="37"/>
      <c r="K465" s="70"/>
      <c r="L465" s="70"/>
      <c r="M465" s="70"/>
      <c r="N465" s="70"/>
      <c r="O465" s="70"/>
    </row>
    <row r="466" spans="1:15" x14ac:dyDescent="0.25">
      <c r="A466" s="37"/>
      <c r="B466" s="78"/>
      <c r="C466" s="70"/>
      <c r="D466" s="37"/>
      <c r="E466" s="70"/>
      <c r="F466" s="70"/>
      <c r="G466" s="37"/>
      <c r="H466" s="70"/>
      <c r="I466" s="70"/>
      <c r="J466" s="37"/>
      <c r="K466" s="70"/>
      <c r="L466" s="70"/>
      <c r="M466" s="70"/>
      <c r="N466" s="70"/>
      <c r="O466" s="70"/>
    </row>
    <row r="467" spans="1:15" x14ac:dyDescent="0.25">
      <c r="A467" s="37"/>
      <c r="B467" s="78"/>
      <c r="C467" s="70"/>
      <c r="D467" s="37"/>
      <c r="E467" s="70"/>
      <c r="F467" s="70"/>
      <c r="G467" s="37"/>
      <c r="H467" s="70"/>
      <c r="I467" s="70"/>
      <c r="J467" s="37"/>
      <c r="K467" s="70"/>
      <c r="L467" s="70"/>
      <c r="M467" s="70"/>
      <c r="N467" s="70"/>
      <c r="O467" s="70"/>
    </row>
    <row r="468" spans="1:15" x14ac:dyDescent="0.25">
      <c r="A468" s="37"/>
      <c r="B468" s="78"/>
      <c r="C468" s="70"/>
      <c r="D468" s="37"/>
      <c r="E468" s="70"/>
      <c r="F468" s="70"/>
      <c r="G468" s="37"/>
      <c r="H468" s="70"/>
      <c r="I468" s="70"/>
      <c r="J468" s="37"/>
      <c r="K468" s="70"/>
      <c r="L468" s="70"/>
      <c r="M468" s="70"/>
      <c r="N468" s="70"/>
      <c r="O468" s="70"/>
    </row>
    <row r="469" spans="1:15" x14ac:dyDescent="0.25">
      <c r="A469" s="37"/>
      <c r="B469" s="78"/>
      <c r="C469" s="70"/>
      <c r="D469" s="37"/>
      <c r="E469" s="70"/>
      <c r="F469" s="70"/>
      <c r="G469" s="37"/>
      <c r="H469" s="70"/>
      <c r="I469" s="70"/>
      <c r="J469" s="37"/>
      <c r="K469" s="70"/>
      <c r="L469" s="70"/>
      <c r="M469" s="70"/>
      <c r="N469" s="70"/>
      <c r="O469" s="70"/>
    </row>
    <row r="470" spans="1:15" x14ac:dyDescent="0.25">
      <c r="A470" s="37"/>
      <c r="B470" s="78"/>
      <c r="C470" s="70"/>
      <c r="D470" s="37"/>
      <c r="E470" s="70"/>
      <c r="F470" s="70"/>
      <c r="G470" s="37"/>
      <c r="H470" s="70"/>
      <c r="I470" s="70"/>
      <c r="J470" s="37"/>
      <c r="K470" s="70"/>
      <c r="L470" s="70"/>
      <c r="M470" s="70"/>
      <c r="N470" s="70"/>
      <c r="O470" s="70"/>
    </row>
    <row r="471" spans="1:15" x14ac:dyDescent="0.25">
      <c r="A471" s="37"/>
      <c r="B471" s="78"/>
      <c r="C471" s="70"/>
      <c r="D471" s="37"/>
      <c r="E471" s="70"/>
      <c r="F471" s="70"/>
      <c r="G471" s="37"/>
      <c r="H471" s="70"/>
      <c r="I471" s="70"/>
      <c r="J471" s="37"/>
      <c r="K471" s="70"/>
      <c r="L471" s="70"/>
      <c r="M471" s="70"/>
      <c r="N471" s="70"/>
      <c r="O471" s="70"/>
    </row>
    <row r="472" spans="1:15" x14ac:dyDescent="0.25">
      <c r="A472" s="37"/>
      <c r="B472" s="78"/>
      <c r="C472" s="70"/>
      <c r="D472" s="37"/>
      <c r="E472" s="70"/>
      <c r="F472" s="70"/>
      <c r="G472" s="37"/>
      <c r="H472" s="70"/>
      <c r="I472" s="70"/>
      <c r="J472" s="37"/>
      <c r="K472" s="70"/>
      <c r="L472" s="70"/>
      <c r="M472" s="70"/>
      <c r="N472" s="70"/>
      <c r="O472" s="70"/>
    </row>
    <row r="473" spans="1:15" x14ac:dyDescent="0.25">
      <c r="A473" s="37"/>
      <c r="B473" s="78"/>
      <c r="C473" s="70"/>
      <c r="D473" s="37"/>
      <c r="E473" s="70"/>
      <c r="F473" s="70"/>
      <c r="G473" s="37"/>
      <c r="H473" s="70"/>
      <c r="I473" s="70"/>
      <c r="J473" s="37"/>
      <c r="K473" s="70"/>
      <c r="L473" s="70"/>
      <c r="M473" s="70"/>
      <c r="N473" s="70"/>
      <c r="O473" s="70"/>
    </row>
    <row r="474" spans="1:15" x14ac:dyDescent="0.25">
      <c r="A474" s="37"/>
      <c r="B474" s="78"/>
      <c r="C474" s="70"/>
      <c r="D474" s="37"/>
      <c r="E474" s="70"/>
      <c r="F474" s="70"/>
      <c r="G474" s="37"/>
      <c r="H474" s="70"/>
      <c r="I474" s="70"/>
      <c r="J474" s="37"/>
      <c r="K474" s="70"/>
      <c r="L474" s="70"/>
      <c r="M474" s="70"/>
      <c r="N474" s="70"/>
      <c r="O474" s="70"/>
    </row>
    <row r="475" spans="1:15" x14ac:dyDescent="0.25">
      <c r="A475" s="37"/>
      <c r="B475" s="78"/>
      <c r="C475" s="70"/>
      <c r="D475" s="37"/>
      <c r="E475" s="70"/>
      <c r="F475" s="70"/>
      <c r="G475" s="37"/>
      <c r="H475" s="70"/>
      <c r="I475" s="70"/>
      <c r="J475" s="37"/>
      <c r="K475" s="70"/>
      <c r="L475" s="70"/>
      <c r="M475" s="70"/>
      <c r="N475" s="70"/>
      <c r="O475" s="70"/>
    </row>
    <row r="476" spans="1:15" x14ac:dyDescent="0.25">
      <c r="A476" s="37"/>
      <c r="B476" s="78"/>
      <c r="C476" s="70"/>
      <c r="D476" s="37"/>
      <c r="E476" s="70"/>
      <c r="F476" s="70"/>
      <c r="G476" s="37"/>
      <c r="H476" s="70"/>
      <c r="I476" s="70"/>
      <c r="J476" s="37"/>
      <c r="K476" s="70"/>
      <c r="L476" s="70"/>
      <c r="M476" s="70"/>
      <c r="N476" s="70"/>
      <c r="O476" s="70"/>
    </row>
    <row r="477" spans="1:15" x14ac:dyDescent="0.25">
      <c r="A477" s="37"/>
      <c r="B477" s="78"/>
      <c r="C477" s="70"/>
      <c r="D477" s="37"/>
      <c r="E477" s="70"/>
      <c r="F477" s="70"/>
      <c r="G477" s="37"/>
      <c r="H477" s="70"/>
      <c r="I477" s="70"/>
      <c r="J477" s="37"/>
      <c r="K477" s="70"/>
      <c r="L477" s="70"/>
      <c r="M477" s="70"/>
      <c r="N477" s="70"/>
      <c r="O477" s="70"/>
    </row>
    <row r="478" spans="1:15" x14ac:dyDescent="0.25">
      <c r="A478" s="37"/>
      <c r="B478" s="78"/>
      <c r="C478" s="70"/>
      <c r="D478" s="37"/>
      <c r="E478" s="70"/>
      <c r="F478" s="70"/>
      <c r="G478" s="37"/>
      <c r="H478" s="70"/>
      <c r="I478" s="70"/>
      <c r="J478" s="37"/>
      <c r="K478" s="70"/>
      <c r="L478" s="70"/>
      <c r="M478" s="70"/>
      <c r="N478" s="70"/>
      <c r="O478" s="70"/>
    </row>
    <row r="479" spans="1:15" x14ac:dyDescent="0.25">
      <c r="A479" s="37"/>
      <c r="B479" s="78"/>
      <c r="C479" s="70"/>
      <c r="D479" s="37"/>
      <c r="E479" s="70"/>
      <c r="F479" s="70"/>
      <c r="G479" s="37"/>
      <c r="H479" s="70"/>
      <c r="I479" s="70"/>
      <c r="J479" s="37"/>
      <c r="K479" s="70"/>
      <c r="L479" s="70"/>
      <c r="M479" s="70"/>
      <c r="N479" s="70"/>
      <c r="O479" s="70"/>
    </row>
    <row r="480" spans="1:15" x14ac:dyDescent="0.25">
      <c r="A480" s="37"/>
      <c r="B480" s="78"/>
      <c r="C480" s="70"/>
      <c r="D480" s="37"/>
      <c r="E480" s="70"/>
      <c r="F480" s="70"/>
      <c r="G480" s="37"/>
      <c r="H480" s="70"/>
      <c r="I480" s="70"/>
      <c r="J480" s="37"/>
      <c r="K480" s="70"/>
      <c r="L480" s="70"/>
      <c r="M480" s="70"/>
      <c r="N480" s="70"/>
      <c r="O480" s="70"/>
    </row>
    <row r="481" spans="1:15" x14ac:dyDescent="0.25">
      <c r="A481" s="37"/>
      <c r="B481" s="78"/>
      <c r="C481" s="70"/>
      <c r="D481" s="37"/>
      <c r="E481" s="70"/>
      <c r="F481" s="70"/>
      <c r="G481" s="37"/>
      <c r="H481" s="70"/>
      <c r="I481" s="70"/>
      <c r="J481" s="37"/>
      <c r="K481" s="70"/>
      <c r="L481" s="70"/>
      <c r="M481" s="70"/>
      <c r="N481" s="70"/>
      <c r="O481" s="70"/>
    </row>
    <row r="482" spans="1:15" x14ac:dyDescent="0.25">
      <c r="A482" s="37"/>
      <c r="B482" s="78"/>
      <c r="C482" s="70"/>
      <c r="D482" s="37"/>
      <c r="E482" s="70"/>
      <c r="F482" s="70"/>
      <c r="G482" s="37"/>
      <c r="H482" s="70"/>
      <c r="I482" s="70"/>
      <c r="J482" s="37"/>
      <c r="K482" s="70"/>
      <c r="L482" s="70"/>
      <c r="M482" s="70"/>
      <c r="N482" s="70"/>
      <c r="O482" s="70"/>
    </row>
    <row r="483" spans="1:15" x14ac:dyDescent="0.25">
      <c r="A483" s="37"/>
      <c r="B483" s="78"/>
      <c r="C483" s="70"/>
      <c r="D483" s="37"/>
      <c r="E483" s="70"/>
      <c r="F483" s="70"/>
      <c r="G483" s="37"/>
      <c r="H483" s="70"/>
      <c r="I483" s="70"/>
      <c r="J483" s="37"/>
      <c r="K483" s="70"/>
      <c r="L483" s="70"/>
      <c r="M483" s="70"/>
      <c r="N483" s="70"/>
      <c r="O483" s="70"/>
    </row>
    <row r="484" spans="1:15" x14ac:dyDescent="0.25">
      <c r="A484" s="37"/>
      <c r="B484" s="78"/>
      <c r="C484" s="70"/>
      <c r="D484" s="37"/>
      <c r="E484" s="70"/>
      <c r="F484" s="70"/>
      <c r="G484" s="37"/>
      <c r="H484" s="70"/>
      <c r="I484" s="70"/>
      <c r="J484" s="37"/>
      <c r="K484" s="70"/>
      <c r="L484" s="70"/>
      <c r="M484" s="70"/>
      <c r="N484" s="70"/>
      <c r="O484" s="70"/>
    </row>
    <row r="485" spans="1:15" x14ac:dyDescent="0.25">
      <c r="A485" s="37"/>
      <c r="B485" s="78"/>
      <c r="C485" s="70"/>
      <c r="D485" s="37"/>
      <c r="E485" s="70"/>
      <c r="F485" s="70"/>
      <c r="G485" s="37"/>
      <c r="H485" s="70"/>
      <c r="I485" s="70"/>
      <c r="J485" s="37"/>
      <c r="K485" s="70"/>
      <c r="L485" s="70"/>
      <c r="M485" s="70"/>
      <c r="N485" s="70"/>
      <c r="O485" s="70"/>
    </row>
    <row r="486" spans="1:15" x14ac:dyDescent="0.25">
      <c r="A486" s="37"/>
      <c r="B486" s="78"/>
      <c r="C486" s="70"/>
      <c r="D486" s="37"/>
      <c r="E486" s="70"/>
      <c r="F486" s="70"/>
      <c r="G486" s="37"/>
      <c r="H486" s="70"/>
      <c r="I486" s="70"/>
      <c r="J486" s="37"/>
      <c r="K486" s="70"/>
      <c r="L486" s="70"/>
      <c r="M486" s="70"/>
      <c r="N486" s="70"/>
      <c r="O486" s="70"/>
    </row>
    <row r="487" spans="1:15" x14ac:dyDescent="0.25">
      <c r="A487" s="37"/>
      <c r="B487" s="78"/>
      <c r="C487" s="70"/>
      <c r="D487" s="37"/>
      <c r="E487" s="70"/>
      <c r="F487" s="70"/>
      <c r="G487" s="37"/>
      <c r="H487" s="70"/>
      <c r="I487" s="70"/>
      <c r="J487" s="37"/>
      <c r="K487" s="70"/>
      <c r="L487" s="70"/>
      <c r="M487" s="70"/>
      <c r="N487" s="70"/>
      <c r="O487" s="70"/>
    </row>
    <row r="488" spans="1:15" x14ac:dyDescent="0.25">
      <c r="A488" s="37"/>
      <c r="B488" s="78"/>
      <c r="C488" s="70"/>
      <c r="D488" s="37"/>
      <c r="E488" s="70"/>
      <c r="F488" s="70"/>
      <c r="G488" s="37"/>
      <c r="H488" s="70"/>
      <c r="I488" s="70"/>
      <c r="J488" s="37"/>
      <c r="K488" s="70"/>
      <c r="L488" s="70"/>
      <c r="M488" s="70"/>
      <c r="N488" s="70"/>
      <c r="O488" s="70"/>
    </row>
    <row r="489" spans="1:15" x14ac:dyDescent="0.25">
      <c r="A489" s="37"/>
      <c r="B489" s="78"/>
      <c r="C489" s="70"/>
      <c r="D489" s="37"/>
      <c r="E489" s="70"/>
      <c r="F489" s="70"/>
      <c r="G489" s="37"/>
      <c r="H489" s="70"/>
      <c r="I489" s="70"/>
      <c r="J489" s="37"/>
      <c r="K489" s="70"/>
      <c r="L489" s="70"/>
      <c r="M489" s="70"/>
      <c r="N489" s="70"/>
      <c r="O489" s="70"/>
    </row>
    <row r="490" spans="1:15" x14ac:dyDescent="0.25">
      <c r="A490" s="37"/>
      <c r="B490" s="78"/>
      <c r="C490" s="70"/>
      <c r="D490" s="37"/>
      <c r="E490" s="70"/>
      <c r="F490" s="70"/>
      <c r="G490" s="37"/>
      <c r="H490" s="70"/>
      <c r="I490" s="70"/>
      <c r="J490" s="37"/>
      <c r="K490" s="70"/>
      <c r="L490" s="70"/>
      <c r="M490" s="70"/>
      <c r="N490" s="70"/>
      <c r="O490" s="70"/>
    </row>
    <row r="491" spans="1:15" x14ac:dyDescent="0.25">
      <c r="A491" s="37"/>
      <c r="B491" s="78"/>
      <c r="C491" s="70"/>
      <c r="D491" s="37"/>
      <c r="E491" s="70"/>
      <c r="F491" s="70"/>
      <c r="G491" s="37"/>
      <c r="H491" s="70"/>
      <c r="I491" s="70"/>
      <c r="J491" s="37"/>
      <c r="K491" s="70"/>
      <c r="L491" s="70"/>
      <c r="M491" s="70"/>
      <c r="N491" s="70"/>
      <c r="O491" s="70"/>
    </row>
    <row r="492" spans="1:15" x14ac:dyDescent="0.25">
      <c r="A492" s="37"/>
      <c r="B492" s="78"/>
      <c r="C492" s="70"/>
      <c r="D492" s="37"/>
      <c r="E492" s="70"/>
      <c r="F492" s="70"/>
      <c r="G492" s="37"/>
      <c r="H492" s="70"/>
      <c r="I492" s="70"/>
      <c r="J492" s="37"/>
      <c r="K492" s="70"/>
      <c r="L492" s="70"/>
      <c r="M492" s="70"/>
      <c r="N492" s="70"/>
      <c r="O492" s="70"/>
    </row>
    <row r="493" spans="1:15" x14ac:dyDescent="0.25">
      <c r="A493" s="37"/>
      <c r="B493" s="78"/>
      <c r="C493" s="70"/>
      <c r="D493" s="37"/>
      <c r="E493" s="70"/>
      <c r="F493" s="70"/>
      <c r="G493" s="37"/>
      <c r="H493" s="70"/>
      <c r="I493" s="70"/>
      <c r="J493" s="37"/>
      <c r="K493" s="70"/>
      <c r="L493" s="70"/>
      <c r="M493" s="70"/>
      <c r="N493" s="70"/>
      <c r="O493" s="70"/>
    </row>
    <row r="494" spans="1:15" x14ac:dyDescent="0.25">
      <c r="A494" s="37"/>
      <c r="B494" s="78"/>
      <c r="C494" s="70"/>
      <c r="D494" s="37"/>
      <c r="E494" s="70"/>
      <c r="F494" s="70"/>
      <c r="G494" s="37"/>
      <c r="H494" s="70"/>
      <c r="I494" s="70"/>
      <c r="J494" s="37"/>
      <c r="K494" s="70"/>
      <c r="L494" s="70"/>
      <c r="M494" s="70"/>
      <c r="N494" s="70"/>
      <c r="O494" s="70"/>
    </row>
    <row r="495" spans="1:15" x14ac:dyDescent="0.25">
      <c r="A495" s="37"/>
      <c r="B495" s="78"/>
      <c r="C495" s="70"/>
      <c r="D495" s="37"/>
      <c r="E495" s="70"/>
      <c r="F495" s="70"/>
      <c r="G495" s="37"/>
      <c r="H495" s="70"/>
      <c r="I495" s="70"/>
      <c r="J495" s="37"/>
      <c r="K495" s="70"/>
      <c r="L495" s="70"/>
      <c r="M495" s="70"/>
      <c r="N495" s="70"/>
      <c r="O495" s="70"/>
    </row>
    <row r="496" spans="1:15" x14ac:dyDescent="0.25">
      <c r="A496" s="37"/>
      <c r="B496" s="78"/>
      <c r="C496" s="70"/>
      <c r="D496" s="37"/>
      <c r="E496" s="70"/>
      <c r="F496" s="70"/>
      <c r="G496" s="37"/>
      <c r="H496" s="70"/>
      <c r="I496" s="70"/>
      <c r="J496" s="37"/>
      <c r="K496" s="70"/>
      <c r="L496" s="70"/>
      <c r="M496" s="70"/>
      <c r="N496" s="70"/>
      <c r="O496" s="70"/>
    </row>
    <row r="497" spans="1:15" x14ac:dyDescent="0.25">
      <c r="A497" s="37"/>
      <c r="B497" s="78"/>
      <c r="C497" s="70"/>
      <c r="D497" s="37"/>
      <c r="E497" s="70"/>
      <c r="F497" s="70"/>
      <c r="G497" s="37"/>
      <c r="H497" s="70"/>
      <c r="I497" s="70"/>
      <c r="J497" s="37"/>
      <c r="K497" s="70"/>
      <c r="L497" s="70"/>
      <c r="M497" s="70"/>
      <c r="N497" s="70"/>
      <c r="O497" s="70"/>
    </row>
    <row r="498" spans="1:15" x14ac:dyDescent="0.25">
      <c r="A498" s="37"/>
      <c r="B498" s="78"/>
      <c r="C498" s="70"/>
      <c r="D498" s="37"/>
      <c r="E498" s="70"/>
      <c r="F498" s="70"/>
      <c r="G498" s="37"/>
      <c r="H498" s="70"/>
      <c r="I498" s="70"/>
      <c r="J498" s="37"/>
      <c r="K498" s="70"/>
      <c r="L498" s="70"/>
      <c r="M498" s="70"/>
      <c r="N498" s="70"/>
      <c r="O498" s="70"/>
    </row>
    <row r="499" spans="1:15" x14ac:dyDescent="0.25">
      <c r="A499" s="37"/>
      <c r="B499" s="78"/>
      <c r="C499" s="70"/>
      <c r="D499" s="37"/>
      <c r="E499" s="70"/>
      <c r="F499" s="70"/>
      <c r="G499" s="37"/>
      <c r="H499" s="70"/>
      <c r="I499" s="70"/>
      <c r="J499" s="37"/>
      <c r="K499" s="70"/>
      <c r="L499" s="70"/>
      <c r="M499" s="70"/>
      <c r="N499" s="70"/>
      <c r="O499" s="70"/>
    </row>
    <row r="500" spans="1:15" x14ac:dyDescent="0.25">
      <c r="A500" s="37"/>
      <c r="B500" s="78"/>
      <c r="C500" s="70"/>
      <c r="D500" s="37"/>
      <c r="E500" s="70"/>
      <c r="F500" s="70"/>
      <c r="G500" s="37"/>
      <c r="H500" s="70"/>
      <c r="I500" s="70"/>
      <c r="J500" s="37"/>
      <c r="K500" s="70"/>
      <c r="L500" s="70"/>
      <c r="M500" s="70"/>
      <c r="N500" s="70"/>
      <c r="O500" s="70"/>
    </row>
    <row r="501" spans="1:15" x14ac:dyDescent="0.25">
      <c r="A501" s="37"/>
      <c r="B501" s="78"/>
      <c r="C501" s="70"/>
      <c r="D501" s="37"/>
      <c r="E501" s="70"/>
      <c r="F501" s="70"/>
      <c r="G501" s="37"/>
      <c r="H501" s="70"/>
      <c r="I501" s="70"/>
      <c r="J501" s="37"/>
      <c r="K501" s="70"/>
      <c r="L501" s="70"/>
      <c r="M501" s="70"/>
      <c r="N501" s="70"/>
      <c r="O501" s="70"/>
    </row>
    <row r="502" spans="1:15" x14ac:dyDescent="0.25">
      <c r="A502" s="37"/>
      <c r="B502" s="78"/>
      <c r="C502" s="70"/>
      <c r="D502" s="37"/>
      <c r="E502" s="70"/>
      <c r="F502" s="70"/>
      <c r="G502" s="37"/>
      <c r="H502" s="70"/>
      <c r="I502" s="70"/>
      <c r="J502" s="37"/>
      <c r="K502" s="70"/>
      <c r="L502" s="70"/>
      <c r="M502" s="70"/>
      <c r="N502" s="70"/>
      <c r="O502" s="70"/>
    </row>
    <row r="503" spans="1:15" x14ac:dyDescent="0.25">
      <c r="A503" s="37"/>
      <c r="B503" s="78"/>
      <c r="C503" s="70"/>
      <c r="D503" s="37"/>
      <c r="E503" s="70"/>
      <c r="F503" s="70"/>
      <c r="G503" s="37"/>
      <c r="H503" s="70"/>
      <c r="I503" s="70"/>
      <c r="J503" s="37"/>
      <c r="K503" s="70"/>
      <c r="L503" s="70"/>
      <c r="M503" s="70"/>
      <c r="N503" s="70"/>
      <c r="O503" s="70"/>
    </row>
    <row r="504" spans="1:15" x14ac:dyDescent="0.25">
      <c r="A504" s="37"/>
      <c r="B504" s="78"/>
      <c r="C504" s="70"/>
      <c r="D504" s="37"/>
      <c r="E504" s="70"/>
      <c r="F504" s="70"/>
      <c r="G504" s="37"/>
      <c r="H504" s="70"/>
      <c r="I504" s="70"/>
      <c r="J504" s="37"/>
      <c r="K504" s="70"/>
      <c r="L504" s="70"/>
      <c r="M504" s="70"/>
      <c r="N504" s="70"/>
      <c r="O504" s="70"/>
    </row>
    <row r="505" spans="1:15" x14ac:dyDescent="0.25">
      <c r="A505" s="37"/>
      <c r="B505" s="78"/>
      <c r="C505" s="70"/>
      <c r="D505" s="37"/>
      <c r="E505" s="70"/>
      <c r="F505" s="70"/>
      <c r="G505" s="37"/>
      <c r="H505" s="70"/>
      <c r="I505" s="70"/>
      <c r="J505" s="37"/>
      <c r="K505" s="70"/>
      <c r="L505" s="70"/>
      <c r="M505" s="70"/>
      <c r="N505" s="70"/>
      <c r="O505" s="70"/>
    </row>
    <row r="506" spans="1:15" x14ac:dyDescent="0.25">
      <c r="A506" s="37"/>
      <c r="B506" s="78"/>
      <c r="C506" s="70"/>
      <c r="D506" s="37"/>
      <c r="E506" s="70"/>
      <c r="F506" s="70"/>
      <c r="G506" s="37"/>
      <c r="H506" s="70"/>
      <c r="I506" s="70"/>
      <c r="J506" s="37"/>
      <c r="K506" s="70"/>
      <c r="L506" s="70"/>
      <c r="M506" s="70"/>
      <c r="N506" s="70"/>
      <c r="O506" s="70"/>
    </row>
    <row r="507" spans="1:15" x14ac:dyDescent="0.25">
      <c r="A507" s="37"/>
      <c r="B507" s="78"/>
      <c r="C507" s="70"/>
      <c r="D507" s="37"/>
      <c r="E507" s="70"/>
      <c r="F507" s="70"/>
      <c r="G507" s="37"/>
      <c r="H507" s="70"/>
      <c r="I507" s="70"/>
      <c r="J507" s="37"/>
      <c r="K507" s="70"/>
      <c r="L507" s="70"/>
      <c r="M507" s="70"/>
      <c r="N507" s="70"/>
      <c r="O507" s="70"/>
    </row>
    <row r="508" spans="1:15" x14ac:dyDescent="0.25">
      <c r="A508" s="37"/>
      <c r="B508" s="78"/>
      <c r="C508" s="70"/>
      <c r="D508" s="37"/>
      <c r="E508" s="70"/>
      <c r="F508" s="70"/>
      <c r="G508" s="37"/>
      <c r="H508" s="70"/>
      <c r="I508" s="70"/>
      <c r="J508" s="37"/>
      <c r="K508" s="70"/>
      <c r="L508" s="70"/>
      <c r="M508" s="70"/>
      <c r="N508" s="70"/>
      <c r="O508" s="70"/>
    </row>
    <row r="509" spans="1:15" x14ac:dyDescent="0.25">
      <c r="A509" s="37"/>
      <c r="B509" s="78"/>
      <c r="C509" s="70"/>
      <c r="D509" s="37"/>
      <c r="E509" s="70"/>
      <c r="F509" s="70"/>
      <c r="G509" s="37"/>
      <c r="H509" s="70"/>
      <c r="I509" s="70"/>
      <c r="J509" s="37"/>
      <c r="K509" s="70"/>
      <c r="L509" s="70"/>
      <c r="M509" s="70"/>
      <c r="N509" s="70"/>
      <c r="O509" s="70"/>
    </row>
    <row r="510" spans="1:15" x14ac:dyDescent="0.25">
      <c r="A510" s="37"/>
      <c r="B510" s="78"/>
      <c r="C510" s="70"/>
      <c r="D510" s="37"/>
      <c r="E510" s="70"/>
      <c r="F510" s="70"/>
      <c r="G510" s="37"/>
      <c r="H510" s="70"/>
      <c r="I510" s="70"/>
      <c r="J510" s="37"/>
      <c r="K510" s="70"/>
      <c r="L510" s="70"/>
      <c r="M510" s="70"/>
      <c r="N510" s="70"/>
      <c r="O510" s="70"/>
    </row>
    <row r="511" spans="1:15" x14ac:dyDescent="0.25">
      <c r="A511" s="37"/>
      <c r="B511" s="78"/>
      <c r="C511" s="70"/>
      <c r="D511" s="37"/>
      <c r="E511" s="70"/>
      <c r="F511" s="70"/>
      <c r="G511" s="37"/>
      <c r="H511" s="70"/>
      <c r="I511" s="70"/>
      <c r="J511" s="37"/>
      <c r="K511" s="70"/>
      <c r="L511" s="70"/>
      <c r="M511" s="70"/>
      <c r="N511" s="70"/>
      <c r="O511" s="70"/>
    </row>
    <row r="512" spans="1:15" x14ac:dyDescent="0.25">
      <c r="A512" s="37"/>
      <c r="B512" s="78"/>
      <c r="C512" s="70"/>
      <c r="D512" s="37"/>
      <c r="E512" s="70"/>
      <c r="F512" s="70"/>
      <c r="G512" s="37"/>
      <c r="H512" s="70"/>
      <c r="I512" s="70"/>
      <c r="J512" s="37"/>
      <c r="K512" s="70"/>
      <c r="L512" s="70"/>
      <c r="M512" s="70"/>
      <c r="N512" s="70"/>
      <c r="O512" s="70"/>
    </row>
    <row r="513" spans="1:15" x14ac:dyDescent="0.25">
      <c r="A513" s="37"/>
      <c r="B513" s="78"/>
      <c r="C513" s="70"/>
      <c r="D513" s="37"/>
      <c r="E513" s="70"/>
      <c r="F513" s="70"/>
      <c r="G513" s="37"/>
      <c r="H513" s="70"/>
      <c r="I513" s="70"/>
      <c r="J513" s="37"/>
      <c r="K513" s="70"/>
      <c r="L513" s="70"/>
      <c r="M513" s="70"/>
      <c r="N513" s="70"/>
      <c r="O513" s="70"/>
    </row>
    <row r="514" spans="1:15" x14ac:dyDescent="0.25">
      <c r="A514" s="37"/>
      <c r="B514" s="78"/>
      <c r="C514" s="70"/>
      <c r="D514" s="37"/>
      <c r="E514" s="70"/>
      <c r="F514" s="70"/>
      <c r="G514" s="37"/>
      <c r="H514" s="70"/>
      <c r="I514" s="70"/>
      <c r="J514" s="37"/>
      <c r="K514" s="70"/>
      <c r="L514" s="70"/>
      <c r="M514" s="70"/>
      <c r="N514" s="70"/>
      <c r="O514" s="70"/>
    </row>
    <row r="515" spans="1:15" x14ac:dyDescent="0.25">
      <c r="A515" s="37"/>
      <c r="B515" s="78"/>
      <c r="C515" s="70"/>
      <c r="D515" s="37"/>
      <c r="E515" s="70"/>
      <c r="F515" s="70"/>
      <c r="G515" s="37"/>
      <c r="H515" s="70"/>
      <c r="I515" s="70"/>
      <c r="J515" s="37"/>
      <c r="K515" s="70"/>
      <c r="L515" s="70"/>
      <c r="M515" s="70"/>
      <c r="N515" s="70"/>
      <c r="O515" s="70"/>
    </row>
    <row r="516" spans="1:15" x14ac:dyDescent="0.25">
      <c r="A516" s="37"/>
      <c r="B516" s="78"/>
      <c r="C516" s="70"/>
      <c r="D516" s="37"/>
      <c r="E516" s="70"/>
      <c r="F516" s="70"/>
      <c r="G516" s="37"/>
      <c r="H516" s="70"/>
      <c r="I516" s="70"/>
      <c r="J516" s="37"/>
      <c r="K516" s="70"/>
      <c r="L516" s="70"/>
      <c r="M516" s="70"/>
      <c r="N516" s="70"/>
      <c r="O516" s="70"/>
    </row>
    <row r="517" spans="1:15" x14ac:dyDescent="0.25">
      <c r="A517" s="37"/>
      <c r="B517" s="78"/>
      <c r="C517" s="70"/>
      <c r="D517" s="37"/>
      <c r="E517" s="70"/>
      <c r="F517" s="70"/>
      <c r="G517" s="37"/>
      <c r="H517" s="70"/>
      <c r="I517" s="70"/>
      <c r="J517" s="37"/>
      <c r="K517" s="70"/>
      <c r="L517" s="70"/>
      <c r="M517" s="70"/>
      <c r="N517" s="70"/>
      <c r="O517" s="70"/>
    </row>
    <row r="518" spans="1:15" x14ac:dyDescent="0.25">
      <c r="A518" s="37"/>
      <c r="B518" s="78"/>
      <c r="C518" s="70"/>
      <c r="D518" s="37"/>
      <c r="E518" s="70"/>
      <c r="F518" s="70"/>
      <c r="G518" s="37"/>
      <c r="H518" s="70"/>
      <c r="I518" s="70"/>
      <c r="J518" s="37"/>
      <c r="K518" s="70"/>
      <c r="L518" s="70"/>
      <c r="M518" s="70"/>
      <c r="N518" s="70"/>
      <c r="O518" s="70"/>
    </row>
    <row r="519" spans="1:15" x14ac:dyDescent="0.25">
      <c r="A519" s="37"/>
      <c r="B519" s="78"/>
      <c r="C519" s="70"/>
      <c r="D519" s="37"/>
      <c r="E519" s="70"/>
      <c r="F519" s="70"/>
      <c r="G519" s="37"/>
      <c r="H519" s="70"/>
      <c r="I519" s="70"/>
      <c r="J519" s="37"/>
      <c r="K519" s="70"/>
      <c r="L519" s="70"/>
      <c r="M519" s="70"/>
      <c r="N519" s="70"/>
      <c r="O519" s="70"/>
    </row>
    <row r="520" spans="1:15" x14ac:dyDescent="0.25">
      <c r="A520" s="37"/>
      <c r="B520" s="78"/>
      <c r="C520" s="70"/>
      <c r="D520" s="37"/>
      <c r="E520" s="70"/>
      <c r="F520" s="70"/>
      <c r="G520" s="37"/>
      <c r="H520" s="70"/>
      <c r="I520" s="70"/>
      <c r="J520" s="37"/>
      <c r="K520" s="70"/>
      <c r="L520" s="70"/>
      <c r="M520" s="70"/>
      <c r="N520" s="70"/>
      <c r="O520" s="70"/>
    </row>
    <row r="521" spans="1:15" x14ac:dyDescent="0.25">
      <c r="A521" s="37"/>
      <c r="B521" s="78"/>
      <c r="C521" s="70"/>
      <c r="D521" s="37"/>
      <c r="E521" s="70"/>
      <c r="F521" s="70"/>
      <c r="G521" s="37"/>
      <c r="H521" s="70"/>
      <c r="I521" s="70"/>
      <c r="J521" s="37"/>
      <c r="K521" s="70"/>
      <c r="L521" s="70"/>
      <c r="M521" s="70"/>
      <c r="N521" s="70"/>
      <c r="O521" s="70"/>
    </row>
    <row r="522" spans="1:15" x14ac:dyDescent="0.25">
      <c r="A522" s="37"/>
      <c r="B522" s="78"/>
      <c r="C522" s="70"/>
      <c r="D522" s="37"/>
      <c r="E522" s="70"/>
      <c r="F522" s="70"/>
      <c r="G522" s="37"/>
      <c r="H522" s="70"/>
      <c r="I522" s="70"/>
      <c r="J522" s="37"/>
      <c r="K522" s="70"/>
      <c r="L522" s="70"/>
      <c r="M522" s="70"/>
      <c r="N522" s="70"/>
      <c r="O522" s="70"/>
    </row>
    <row r="523" spans="1:15" x14ac:dyDescent="0.25">
      <c r="A523" s="37"/>
      <c r="B523" s="78"/>
      <c r="C523" s="70"/>
      <c r="D523" s="37"/>
      <c r="E523" s="70"/>
      <c r="F523" s="70"/>
      <c r="G523" s="37"/>
      <c r="H523" s="70"/>
      <c r="I523" s="70"/>
      <c r="J523" s="37"/>
      <c r="K523" s="70"/>
      <c r="L523" s="70"/>
      <c r="M523" s="70"/>
      <c r="N523" s="70"/>
      <c r="O523" s="70"/>
    </row>
    <row r="524" spans="1:15" x14ac:dyDescent="0.25">
      <c r="A524" s="37"/>
      <c r="B524" s="78"/>
      <c r="C524" s="70"/>
      <c r="D524" s="37"/>
      <c r="E524" s="70"/>
      <c r="F524" s="70"/>
      <c r="G524" s="37"/>
      <c r="H524" s="70"/>
      <c r="I524" s="70"/>
      <c r="J524" s="37"/>
      <c r="K524" s="70"/>
      <c r="L524" s="70"/>
      <c r="M524" s="70"/>
      <c r="N524" s="70"/>
      <c r="O524" s="70"/>
    </row>
    <row r="525" spans="1:15" x14ac:dyDescent="0.25">
      <c r="A525" s="37"/>
      <c r="B525" s="78"/>
      <c r="C525" s="70"/>
      <c r="D525" s="37"/>
      <c r="E525" s="70"/>
      <c r="F525" s="70"/>
      <c r="G525" s="37"/>
      <c r="H525" s="70"/>
      <c r="I525" s="70"/>
      <c r="J525" s="37"/>
      <c r="K525" s="70"/>
      <c r="L525" s="70"/>
      <c r="M525" s="70"/>
      <c r="N525" s="70"/>
      <c r="O525" s="70"/>
    </row>
    <row r="526" spans="1:15" x14ac:dyDescent="0.25">
      <c r="A526" s="37"/>
      <c r="B526" s="78"/>
      <c r="C526" s="70"/>
      <c r="D526" s="37"/>
      <c r="E526" s="70"/>
      <c r="F526" s="70"/>
      <c r="G526" s="37"/>
      <c r="H526" s="70"/>
      <c r="I526" s="70"/>
      <c r="J526" s="37"/>
      <c r="K526" s="70"/>
      <c r="L526" s="70"/>
      <c r="M526" s="70"/>
      <c r="N526" s="70"/>
      <c r="O526" s="70"/>
    </row>
    <row r="527" spans="1:15" x14ac:dyDescent="0.25">
      <c r="A527" s="37"/>
      <c r="B527" s="78"/>
      <c r="C527" s="70"/>
      <c r="D527" s="37"/>
      <c r="E527" s="70"/>
      <c r="F527" s="70"/>
      <c r="G527" s="37"/>
      <c r="H527" s="70"/>
      <c r="I527" s="70"/>
      <c r="J527" s="37"/>
      <c r="K527" s="70"/>
      <c r="L527" s="70"/>
      <c r="M527" s="70"/>
      <c r="N527" s="70"/>
      <c r="O527" s="70"/>
    </row>
    <row r="528" spans="1:15" x14ac:dyDescent="0.25">
      <c r="A528" s="37"/>
      <c r="B528" s="78"/>
      <c r="C528" s="70"/>
      <c r="D528" s="37"/>
      <c r="E528" s="70"/>
      <c r="F528" s="70"/>
      <c r="G528" s="37"/>
      <c r="H528" s="70"/>
      <c r="I528" s="70"/>
      <c r="J528" s="37"/>
      <c r="K528" s="70"/>
      <c r="L528" s="70"/>
      <c r="M528" s="70"/>
      <c r="N528" s="70"/>
      <c r="O528" s="70"/>
    </row>
    <row r="529" spans="1:15" x14ac:dyDescent="0.25">
      <c r="A529" s="37"/>
      <c r="B529" s="78"/>
      <c r="C529" s="70"/>
      <c r="D529" s="37"/>
      <c r="E529" s="70"/>
      <c r="F529" s="70"/>
      <c r="G529" s="37"/>
      <c r="H529" s="70"/>
      <c r="I529" s="70"/>
      <c r="J529" s="37"/>
      <c r="K529" s="70"/>
      <c r="L529" s="70"/>
      <c r="M529" s="70"/>
      <c r="N529" s="70"/>
      <c r="O529" s="70"/>
    </row>
    <row r="530" spans="1:15" x14ac:dyDescent="0.25">
      <c r="A530" s="37"/>
      <c r="B530" s="78"/>
      <c r="C530" s="70"/>
      <c r="D530" s="37"/>
      <c r="E530" s="70"/>
      <c r="F530" s="70"/>
      <c r="G530" s="37"/>
      <c r="H530" s="70"/>
      <c r="I530" s="70"/>
      <c r="J530" s="37"/>
      <c r="K530" s="70"/>
      <c r="L530" s="70"/>
      <c r="M530" s="70"/>
      <c r="N530" s="70"/>
      <c r="O530" s="70"/>
    </row>
    <row r="531" spans="1:15" x14ac:dyDescent="0.25">
      <c r="A531" s="37"/>
      <c r="B531" s="78"/>
      <c r="C531" s="70"/>
      <c r="D531" s="37"/>
      <c r="E531" s="70"/>
      <c r="F531" s="70"/>
      <c r="G531" s="37"/>
      <c r="H531" s="70"/>
      <c r="I531" s="70"/>
      <c r="J531" s="37"/>
      <c r="K531" s="70"/>
      <c r="L531" s="70"/>
      <c r="M531" s="70"/>
      <c r="N531" s="70"/>
      <c r="O531" s="70"/>
    </row>
    <row r="532" spans="1:15" x14ac:dyDescent="0.25">
      <c r="A532" s="37"/>
      <c r="B532" s="78"/>
      <c r="C532" s="70"/>
      <c r="D532" s="37"/>
      <c r="E532" s="70"/>
      <c r="F532" s="70"/>
      <c r="G532" s="37"/>
      <c r="H532" s="70"/>
      <c r="I532" s="70"/>
      <c r="J532" s="37"/>
      <c r="K532" s="70"/>
      <c r="L532" s="70"/>
      <c r="M532" s="70"/>
      <c r="N532" s="70"/>
      <c r="O532" s="70"/>
    </row>
    <row r="533" spans="1:15" x14ac:dyDescent="0.25">
      <c r="A533" s="37"/>
      <c r="B533" s="78"/>
      <c r="C533" s="70"/>
      <c r="D533" s="37"/>
      <c r="E533" s="70"/>
      <c r="F533" s="70"/>
      <c r="G533" s="37"/>
      <c r="H533" s="70"/>
      <c r="I533" s="70"/>
      <c r="J533" s="37"/>
      <c r="K533" s="70"/>
      <c r="L533" s="70"/>
      <c r="M533" s="70"/>
      <c r="N533" s="70"/>
      <c r="O533" s="70"/>
    </row>
    <row r="534" spans="1:15" x14ac:dyDescent="0.25">
      <c r="A534" s="37"/>
      <c r="B534" s="78"/>
      <c r="C534" s="70"/>
      <c r="D534" s="37"/>
      <c r="E534" s="70"/>
      <c r="F534" s="70"/>
      <c r="G534" s="37"/>
      <c r="H534" s="70"/>
      <c r="I534" s="70"/>
      <c r="J534" s="37"/>
      <c r="K534" s="70"/>
      <c r="L534" s="70"/>
      <c r="M534" s="70"/>
      <c r="N534" s="70"/>
      <c r="O534" s="70"/>
    </row>
    <row r="535" spans="1:15" x14ac:dyDescent="0.25">
      <c r="A535" s="37"/>
      <c r="B535" s="78"/>
      <c r="C535" s="70"/>
      <c r="D535" s="37"/>
      <c r="E535" s="70"/>
      <c r="F535" s="70"/>
      <c r="G535" s="37"/>
      <c r="H535" s="70"/>
      <c r="I535" s="70"/>
      <c r="J535" s="37"/>
      <c r="K535" s="70"/>
      <c r="L535" s="70"/>
      <c r="M535" s="70"/>
      <c r="N535" s="70"/>
      <c r="O535" s="70"/>
    </row>
    <row r="536" spans="1:15" x14ac:dyDescent="0.25">
      <c r="J536" s="37"/>
      <c r="K536" s="70"/>
      <c r="L536" s="70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2"/>
  <sheetViews>
    <sheetView topLeftCell="B1" zoomScaleNormal="100" workbookViewId="0">
      <pane ySplit="4" topLeftCell="A40" activePane="bottomLeft" state="frozen"/>
      <selection pane="bottomLeft" activeCell="K40" sqref="K40"/>
    </sheetView>
  </sheetViews>
  <sheetFormatPr baseColWidth="10" defaultRowHeight="15" x14ac:dyDescent="0.25"/>
  <cols>
    <col min="1" max="1" width="7.7109375" style="7" customWidth="1"/>
    <col min="2" max="2" width="8.7109375" style="7" customWidth="1"/>
    <col min="3" max="3" width="23.7109375" customWidth="1"/>
    <col min="4" max="4" width="7.7109375" style="7" customWidth="1"/>
    <col min="5" max="5" width="8.7109375" customWidth="1"/>
    <col min="6" max="6" width="23.7109375" customWidth="1"/>
    <col min="7" max="7" width="7.7109375" style="7" customWidth="1"/>
    <col min="8" max="8" width="8.7109375" customWidth="1"/>
    <col min="9" max="9" width="23.7109375" customWidth="1"/>
    <col min="10" max="10" width="7.7109375" style="7" customWidth="1"/>
    <col min="11" max="11" width="8.7109375" customWidth="1"/>
    <col min="12" max="12" width="23.7109375" customWidth="1"/>
    <col min="13" max="13" width="7.85546875" customWidth="1"/>
    <col min="14" max="14" width="9.855468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08" t="s">
        <v>10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10" t="s">
        <v>15</v>
      </c>
      <c r="M1" s="110"/>
      <c r="N1" s="6">
        <v>2014</v>
      </c>
      <c r="O1" s="5"/>
    </row>
    <row r="2" spans="1:18" x14ac:dyDescent="0.25">
      <c r="A2" s="118" t="s">
        <v>0</v>
      </c>
      <c r="B2" s="118"/>
      <c r="C2" s="118"/>
      <c r="D2" s="119" t="s">
        <v>4</v>
      </c>
      <c r="E2" s="119"/>
      <c r="F2" s="119"/>
      <c r="G2" s="120" t="s">
        <v>5</v>
      </c>
      <c r="H2" s="120"/>
      <c r="I2" s="120"/>
      <c r="J2" s="123" t="s">
        <v>6</v>
      </c>
      <c r="K2" s="123"/>
      <c r="L2" s="123"/>
      <c r="M2" s="122" t="s">
        <v>17</v>
      </c>
      <c r="N2" s="122"/>
      <c r="O2" s="122"/>
      <c r="Q2" s="117" t="s">
        <v>18</v>
      </c>
      <c r="R2" s="117"/>
    </row>
    <row r="3" spans="1:18" x14ac:dyDescent="0.25">
      <c r="A3" s="9">
        <f>SUBTOTAL(3,A5:A118)</f>
        <v>63</v>
      </c>
      <c r="B3" s="9">
        <f>SUBTOTAL(9,B5:B118)</f>
        <v>34645</v>
      </c>
      <c r="C3" s="47">
        <v>42309</v>
      </c>
      <c r="D3" s="9">
        <f>SUBTOTAL(3,D5:D117)</f>
        <v>48</v>
      </c>
      <c r="E3" s="1">
        <f>SUBTOTAL(9,E5:E117)</f>
        <v>25720</v>
      </c>
      <c r="F3" s="50">
        <v>42316</v>
      </c>
      <c r="G3" s="9">
        <f>SUBTOTAL(3,G5:G117)</f>
        <v>46</v>
      </c>
      <c r="H3" s="1">
        <f>SUBTOTAL(9,H5:H117)</f>
        <v>24860</v>
      </c>
      <c r="I3" s="51">
        <v>42323</v>
      </c>
      <c r="J3" s="9">
        <f>SUBTOTAL(3,J5:J107)</f>
        <v>30</v>
      </c>
      <c r="K3" s="1">
        <f>SUBTOTAL(9,K5:K107)</f>
        <v>16280</v>
      </c>
      <c r="L3" s="75">
        <v>42332</v>
      </c>
      <c r="M3" s="1">
        <f>SUBTOTAL(3,M5:M117)</f>
        <v>35</v>
      </c>
      <c r="N3" s="1">
        <f>SUBTOTAL(9,N5:N117)</f>
        <v>27260</v>
      </c>
      <c r="O3" s="97">
        <v>42337</v>
      </c>
      <c r="Q3" s="42">
        <f>+A3+D3+G3+J3+M3</f>
        <v>222</v>
      </c>
      <c r="R3" s="41">
        <f>+B3+E3+H3+K3+N3</f>
        <v>128765</v>
      </c>
    </row>
    <row r="4" spans="1:18" x14ac:dyDescent="0.25">
      <c r="A4" s="58" t="s">
        <v>1</v>
      </c>
      <c r="B4" s="58" t="s">
        <v>3</v>
      </c>
      <c r="C4" s="58" t="s">
        <v>2</v>
      </c>
      <c r="D4" s="59" t="s">
        <v>1</v>
      </c>
      <c r="E4" s="59" t="s">
        <v>3</v>
      </c>
      <c r="F4" s="59" t="s">
        <v>2</v>
      </c>
      <c r="G4" s="60" t="s">
        <v>1</v>
      </c>
      <c r="H4" s="60" t="s">
        <v>3</v>
      </c>
      <c r="I4" s="60" t="s">
        <v>2</v>
      </c>
      <c r="J4" s="72" t="s">
        <v>1</v>
      </c>
      <c r="K4" s="72" t="s">
        <v>3</v>
      </c>
      <c r="L4" s="72" t="s">
        <v>2</v>
      </c>
      <c r="M4" s="53" t="s">
        <v>1</v>
      </c>
      <c r="N4" s="53" t="s">
        <v>3</v>
      </c>
      <c r="O4" s="53" t="s">
        <v>2</v>
      </c>
      <c r="P4" s="39"/>
      <c r="Q4" s="54" t="s">
        <v>9</v>
      </c>
      <c r="R4" s="54" t="s">
        <v>3</v>
      </c>
    </row>
    <row r="5" spans="1:18" x14ac:dyDescent="0.25">
      <c r="A5" s="25">
        <v>10433</v>
      </c>
      <c r="B5" s="61">
        <v>2000</v>
      </c>
      <c r="C5" s="26" t="s">
        <v>356</v>
      </c>
      <c r="D5" s="20">
        <v>10496</v>
      </c>
      <c r="E5" s="82">
        <v>200</v>
      </c>
      <c r="F5" s="21"/>
      <c r="G5" s="17">
        <v>10544</v>
      </c>
      <c r="H5" s="79">
        <v>150</v>
      </c>
      <c r="I5" s="18"/>
      <c r="J5" s="73">
        <v>10590</v>
      </c>
      <c r="K5" s="83">
        <v>400</v>
      </c>
      <c r="L5" s="74"/>
      <c r="M5" s="87">
        <v>10620</v>
      </c>
      <c r="N5" s="85"/>
      <c r="O5" s="23" t="s">
        <v>44</v>
      </c>
      <c r="Q5" s="44"/>
      <c r="R5" s="44"/>
    </row>
    <row r="6" spans="1:18" x14ac:dyDescent="0.25">
      <c r="A6" s="25"/>
      <c r="B6" s="61"/>
      <c r="C6" s="26" t="s">
        <v>25</v>
      </c>
      <c r="D6" s="20">
        <v>10497</v>
      </c>
      <c r="E6" s="82">
        <v>400</v>
      </c>
      <c r="F6" s="21"/>
      <c r="G6" s="17">
        <v>10545</v>
      </c>
      <c r="H6" s="79">
        <v>400</v>
      </c>
      <c r="I6" s="18"/>
      <c r="J6" s="73">
        <v>10591</v>
      </c>
      <c r="K6" s="83">
        <v>150</v>
      </c>
      <c r="L6" s="74"/>
      <c r="M6" s="87">
        <v>10621</v>
      </c>
      <c r="N6" s="85">
        <v>160</v>
      </c>
      <c r="O6" s="23" t="s">
        <v>509</v>
      </c>
    </row>
    <row r="7" spans="1:18" x14ac:dyDescent="0.25">
      <c r="A7" s="25">
        <v>10434</v>
      </c>
      <c r="B7" s="61"/>
      <c r="C7" s="26" t="s">
        <v>44</v>
      </c>
      <c r="D7" s="20">
        <v>10498</v>
      </c>
      <c r="E7" s="82">
        <v>300</v>
      </c>
      <c r="F7" s="21"/>
      <c r="G7" s="17">
        <v>10546</v>
      </c>
      <c r="H7" s="79">
        <v>600</v>
      </c>
      <c r="I7" s="18" t="s">
        <v>403</v>
      </c>
      <c r="J7" s="73">
        <v>10592</v>
      </c>
      <c r="K7" s="83">
        <v>150</v>
      </c>
      <c r="L7" s="74"/>
      <c r="M7" s="87">
        <v>10622</v>
      </c>
      <c r="N7" s="85">
        <v>160</v>
      </c>
      <c r="O7" s="23" t="s">
        <v>49</v>
      </c>
    </row>
    <row r="8" spans="1:18" x14ac:dyDescent="0.25">
      <c r="A8" s="25"/>
      <c r="B8" s="61"/>
      <c r="C8" s="26" t="s">
        <v>471</v>
      </c>
      <c r="D8" s="20">
        <v>10499</v>
      </c>
      <c r="E8" s="82">
        <v>800</v>
      </c>
      <c r="F8" s="21" t="s">
        <v>390</v>
      </c>
      <c r="G8" s="17">
        <v>10547</v>
      </c>
      <c r="H8" s="79">
        <v>600</v>
      </c>
      <c r="I8" s="18" t="s">
        <v>437</v>
      </c>
      <c r="J8" s="73">
        <v>10593</v>
      </c>
      <c r="K8" s="83">
        <v>160</v>
      </c>
      <c r="L8" s="74" t="s">
        <v>500</v>
      </c>
      <c r="M8" s="87">
        <v>10623</v>
      </c>
      <c r="N8" s="85">
        <v>160</v>
      </c>
      <c r="O8" s="23" t="s">
        <v>510</v>
      </c>
    </row>
    <row r="9" spans="1:18" x14ac:dyDescent="0.25">
      <c r="A9" s="25">
        <v>10435</v>
      </c>
      <c r="B9" s="61">
        <v>1200</v>
      </c>
      <c r="C9" s="26" t="s">
        <v>472</v>
      </c>
      <c r="D9" s="20"/>
      <c r="E9" s="82"/>
      <c r="F9" s="21" t="s">
        <v>25</v>
      </c>
      <c r="G9" s="17"/>
      <c r="H9" s="18"/>
      <c r="I9" s="18" t="s">
        <v>33</v>
      </c>
      <c r="J9" s="73">
        <v>10594</v>
      </c>
      <c r="K9" s="83">
        <v>200</v>
      </c>
      <c r="L9" s="74"/>
      <c r="M9" s="87">
        <v>10624</v>
      </c>
      <c r="N9" s="85">
        <v>600</v>
      </c>
      <c r="O9" s="23" t="s">
        <v>149</v>
      </c>
    </row>
    <row r="10" spans="1:18" x14ac:dyDescent="0.25">
      <c r="A10" s="25"/>
      <c r="B10" s="61"/>
      <c r="C10" s="26" t="s">
        <v>33</v>
      </c>
      <c r="D10" s="20">
        <v>10500</v>
      </c>
      <c r="E10" s="82">
        <v>400</v>
      </c>
      <c r="F10" s="21"/>
      <c r="G10" s="17">
        <v>10548</v>
      </c>
      <c r="H10" s="79">
        <v>600</v>
      </c>
      <c r="I10" s="18" t="s">
        <v>149</v>
      </c>
      <c r="J10" s="73">
        <v>10595</v>
      </c>
      <c r="K10" s="83">
        <v>1000</v>
      </c>
      <c r="L10" s="74" t="s">
        <v>501</v>
      </c>
      <c r="M10" s="87"/>
      <c r="N10" s="85"/>
      <c r="O10" s="23" t="s">
        <v>33</v>
      </c>
    </row>
    <row r="11" spans="1:18" x14ac:dyDescent="0.25">
      <c r="A11" s="25">
        <v>10436</v>
      </c>
      <c r="B11" s="61">
        <v>400</v>
      </c>
      <c r="C11" s="26" t="s">
        <v>403</v>
      </c>
      <c r="D11" s="20">
        <v>10501</v>
      </c>
      <c r="E11" s="82">
        <v>300</v>
      </c>
      <c r="F11" s="21"/>
      <c r="G11" s="17">
        <v>10549</v>
      </c>
      <c r="H11" s="79">
        <v>350</v>
      </c>
      <c r="I11" s="18"/>
      <c r="J11" s="73"/>
      <c r="K11" s="83"/>
      <c r="L11" s="74" t="s">
        <v>502</v>
      </c>
      <c r="M11" s="87">
        <v>10625</v>
      </c>
      <c r="N11" s="85">
        <v>1200</v>
      </c>
      <c r="O11" s="43" t="s">
        <v>431</v>
      </c>
    </row>
    <row r="12" spans="1:18" x14ac:dyDescent="0.25">
      <c r="A12" s="25">
        <v>10437</v>
      </c>
      <c r="B12" s="61">
        <v>400</v>
      </c>
      <c r="C12" s="26"/>
      <c r="D12" s="20">
        <v>10502</v>
      </c>
      <c r="E12" s="82">
        <v>1800</v>
      </c>
      <c r="F12" s="21" t="s">
        <v>481</v>
      </c>
      <c r="G12" s="17">
        <v>10550</v>
      </c>
      <c r="H12" s="79">
        <v>470</v>
      </c>
      <c r="I12" s="18" t="s">
        <v>489</v>
      </c>
      <c r="J12" s="73">
        <v>10596</v>
      </c>
      <c r="K12" s="83">
        <v>800</v>
      </c>
      <c r="L12" s="74" t="s">
        <v>503</v>
      </c>
      <c r="M12" s="87"/>
      <c r="N12" s="85"/>
      <c r="O12" s="23" t="s">
        <v>25</v>
      </c>
    </row>
    <row r="13" spans="1:18" x14ac:dyDescent="0.25">
      <c r="A13" s="25">
        <v>10438</v>
      </c>
      <c r="B13" s="61">
        <v>300</v>
      </c>
      <c r="C13" s="26" t="s">
        <v>378</v>
      </c>
      <c r="D13" s="20"/>
      <c r="E13" s="82"/>
      <c r="F13" s="21" t="s">
        <v>33</v>
      </c>
      <c r="G13" s="17"/>
      <c r="H13" s="18"/>
      <c r="I13" s="18" t="s">
        <v>490</v>
      </c>
      <c r="J13" s="73"/>
      <c r="K13" s="83"/>
      <c r="L13" s="74" t="s">
        <v>25</v>
      </c>
      <c r="M13" s="87">
        <v>10626</v>
      </c>
      <c r="N13" s="85">
        <v>400</v>
      </c>
      <c r="O13" s="23"/>
    </row>
    <row r="14" spans="1:18" x14ac:dyDescent="0.25">
      <c r="A14" s="25">
        <v>10439</v>
      </c>
      <c r="B14" s="61">
        <v>1600</v>
      </c>
      <c r="C14" s="26" t="s">
        <v>430</v>
      </c>
      <c r="D14" s="20">
        <v>10503</v>
      </c>
      <c r="E14" s="82">
        <v>1200</v>
      </c>
      <c r="F14" s="21" t="s">
        <v>349</v>
      </c>
      <c r="G14" s="17">
        <v>10551</v>
      </c>
      <c r="H14" s="79">
        <v>200</v>
      </c>
      <c r="I14" s="18"/>
      <c r="J14" s="73">
        <v>10597</v>
      </c>
      <c r="K14" s="83">
        <v>400</v>
      </c>
      <c r="L14" s="74"/>
      <c r="M14" s="87">
        <v>10627</v>
      </c>
      <c r="N14" s="85">
        <v>800</v>
      </c>
      <c r="O14" s="23" t="s">
        <v>149</v>
      </c>
    </row>
    <row r="15" spans="1:18" x14ac:dyDescent="0.25">
      <c r="A15" s="25"/>
      <c r="B15" s="61"/>
      <c r="C15" s="26" t="s">
        <v>25</v>
      </c>
      <c r="D15" s="20"/>
      <c r="E15" s="82"/>
      <c r="F15" s="45" t="s">
        <v>25</v>
      </c>
      <c r="G15" s="17">
        <v>10552</v>
      </c>
      <c r="H15" s="79">
        <v>800</v>
      </c>
      <c r="I15" s="18" t="s">
        <v>149</v>
      </c>
      <c r="J15" s="73">
        <v>10598</v>
      </c>
      <c r="K15" s="83">
        <v>800</v>
      </c>
      <c r="L15" s="74" t="s">
        <v>503</v>
      </c>
      <c r="M15" s="87"/>
      <c r="N15" s="85"/>
      <c r="O15" s="23" t="s">
        <v>25</v>
      </c>
    </row>
    <row r="16" spans="1:18" x14ac:dyDescent="0.25">
      <c r="A16" s="25">
        <v>10440</v>
      </c>
      <c r="B16" s="61">
        <v>400</v>
      </c>
      <c r="C16" s="26"/>
      <c r="D16" s="20">
        <v>10504</v>
      </c>
      <c r="E16" s="82">
        <v>400</v>
      </c>
      <c r="F16" s="21" t="s">
        <v>403</v>
      </c>
      <c r="G16" s="17"/>
      <c r="H16" s="79"/>
      <c r="I16" s="18" t="s">
        <v>491</v>
      </c>
      <c r="J16" s="73"/>
      <c r="K16" s="83"/>
      <c r="L16" s="74" t="s">
        <v>25</v>
      </c>
      <c r="M16" s="87">
        <v>10628</v>
      </c>
      <c r="N16" s="85">
        <v>1600</v>
      </c>
      <c r="O16" s="23" t="s">
        <v>511</v>
      </c>
    </row>
    <row r="17" spans="1:15" x14ac:dyDescent="0.25">
      <c r="A17" s="25">
        <v>10441</v>
      </c>
      <c r="B17" s="61">
        <v>200</v>
      </c>
      <c r="C17" s="26"/>
      <c r="D17" s="20">
        <v>10505</v>
      </c>
      <c r="E17" s="82">
        <v>800</v>
      </c>
      <c r="F17" s="21" t="s">
        <v>437</v>
      </c>
      <c r="G17" s="17">
        <v>10553</v>
      </c>
      <c r="H17" s="79"/>
      <c r="I17" s="18" t="s">
        <v>492</v>
      </c>
      <c r="J17" s="73">
        <v>10599</v>
      </c>
      <c r="K17" s="83">
        <v>400</v>
      </c>
      <c r="L17" s="74"/>
      <c r="M17" s="87"/>
      <c r="N17" s="85"/>
      <c r="O17" s="23" t="s">
        <v>25</v>
      </c>
    </row>
    <row r="18" spans="1:15" x14ac:dyDescent="0.25">
      <c r="A18" s="25">
        <v>10442</v>
      </c>
      <c r="B18" s="61">
        <v>400</v>
      </c>
      <c r="C18" s="26" t="s">
        <v>438</v>
      </c>
      <c r="D18" s="20"/>
      <c r="E18" s="82"/>
      <c r="F18" s="21" t="s">
        <v>25</v>
      </c>
      <c r="G18" s="17">
        <v>10554</v>
      </c>
      <c r="H18" s="79"/>
      <c r="I18" s="18" t="s">
        <v>492</v>
      </c>
      <c r="J18" s="73">
        <v>10600</v>
      </c>
      <c r="K18" s="83">
        <v>400</v>
      </c>
      <c r="L18" s="74" t="s">
        <v>378</v>
      </c>
      <c r="M18" s="87">
        <v>10629</v>
      </c>
      <c r="N18" s="85">
        <v>960</v>
      </c>
      <c r="O18" s="23" t="s">
        <v>515</v>
      </c>
    </row>
    <row r="19" spans="1:15" x14ac:dyDescent="0.25">
      <c r="A19" s="25">
        <v>10443</v>
      </c>
      <c r="B19" s="61">
        <v>160</v>
      </c>
      <c r="C19" s="26" t="s">
        <v>49</v>
      </c>
      <c r="D19" s="20">
        <v>10506</v>
      </c>
      <c r="E19" s="82">
        <v>1200</v>
      </c>
      <c r="F19" s="21" t="s">
        <v>349</v>
      </c>
      <c r="G19" s="17">
        <v>10555</v>
      </c>
      <c r="H19" s="79"/>
      <c r="I19" s="18" t="s">
        <v>492</v>
      </c>
      <c r="J19" s="73">
        <v>10601</v>
      </c>
      <c r="K19" s="83">
        <v>400</v>
      </c>
      <c r="L19" s="74" t="s">
        <v>378</v>
      </c>
      <c r="M19" s="87"/>
      <c r="N19" s="85"/>
      <c r="O19" s="23" t="s">
        <v>516</v>
      </c>
    </row>
    <row r="20" spans="1:15" x14ac:dyDescent="0.25">
      <c r="A20" s="25">
        <v>10444</v>
      </c>
      <c r="B20" s="61">
        <v>160</v>
      </c>
      <c r="C20" s="26" t="s">
        <v>49</v>
      </c>
      <c r="D20" s="20"/>
      <c r="E20" s="82"/>
      <c r="F20" s="21" t="s">
        <v>25</v>
      </c>
      <c r="G20" s="17">
        <v>10556</v>
      </c>
      <c r="H20" s="79"/>
      <c r="I20" s="18" t="s">
        <v>492</v>
      </c>
      <c r="J20" s="73">
        <v>10602</v>
      </c>
      <c r="K20" s="83">
        <v>300</v>
      </c>
      <c r="L20" s="74"/>
      <c r="M20" s="87">
        <v>10630</v>
      </c>
      <c r="N20" s="85">
        <v>400</v>
      </c>
      <c r="O20" s="23" t="s">
        <v>438</v>
      </c>
    </row>
    <row r="21" spans="1:15" x14ac:dyDescent="0.25">
      <c r="A21" s="25">
        <v>10445</v>
      </c>
      <c r="B21" s="61">
        <v>400</v>
      </c>
      <c r="C21" s="26"/>
      <c r="D21" s="20">
        <v>10507</v>
      </c>
      <c r="E21" s="82">
        <v>400</v>
      </c>
      <c r="F21" s="21"/>
      <c r="G21" s="17">
        <v>10557</v>
      </c>
      <c r="H21" s="79">
        <v>800</v>
      </c>
      <c r="I21" s="18" t="s">
        <v>437</v>
      </c>
      <c r="J21" s="73">
        <v>10603</v>
      </c>
      <c r="K21" s="83">
        <v>1200</v>
      </c>
      <c r="L21" s="74" t="s">
        <v>504</v>
      </c>
      <c r="M21" s="87">
        <v>10631</v>
      </c>
      <c r="N21" s="85">
        <v>400</v>
      </c>
      <c r="O21" s="23" t="s">
        <v>149</v>
      </c>
    </row>
    <row r="22" spans="1:15" x14ac:dyDescent="0.25">
      <c r="A22" s="25">
        <v>10446</v>
      </c>
      <c r="B22" s="61">
        <v>800</v>
      </c>
      <c r="C22" s="26" t="s">
        <v>366</v>
      </c>
      <c r="D22" s="20">
        <v>10508</v>
      </c>
      <c r="E22" s="82">
        <v>400</v>
      </c>
      <c r="F22" s="21" t="s">
        <v>149</v>
      </c>
      <c r="G22" s="17"/>
      <c r="H22" s="79"/>
      <c r="I22" s="18" t="s">
        <v>491</v>
      </c>
      <c r="J22" s="73"/>
      <c r="K22" s="83"/>
      <c r="L22" s="74" t="s">
        <v>25</v>
      </c>
      <c r="M22" s="87"/>
      <c r="N22" s="85"/>
      <c r="O22" s="23" t="s">
        <v>27</v>
      </c>
    </row>
    <row r="23" spans="1:15" x14ac:dyDescent="0.25">
      <c r="A23" s="25"/>
      <c r="B23" s="61"/>
      <c r="C23" s="26" t="s">
        <v>25</v>
      </c>
      <c r="D23" s="20"/>
      <c r="E23" s="82"/>
      <c r="F23" s="21" t="s">
        <v>27</v>
      </c>
      <c r="G23" s="17">
        <v>10558</v>
      </c>
      <c r="H23" s="79">
        <v>300</v>
      </c>
      <c r="I23" s="18" t="s">
        <v>438</v>
      </c>
      <c r="J23" s="73">
        <v>10604</v>
      </c>
      <c r="K23" s="83">
        <v>600</v>
      </c>
      <c r="L23" s="74" t="s">
        <v>505</v>
      </c>
      <c r="M23" s="87">
        <v>10632</v>
      </c>
      <c r="N23" s="85">
        <v>600</v>
      </c>
      <c r="O23" s="23" t="s">
        <v>149</v>
      </c>
    </row>
    <row r="24" spans="1:15" x14ac:dyDescent="0.25">
      <c r="A24" s="25">
        <v>10447</v>
      </c>
      <c r="B24" s="61">
        <v>400</v>
      </c>
      <c r="C24" s="26" t="s">
        <v>403</v>
      </c>
      <c r="D24" s="20">
        <v>10509</v>
      </c>
      <c r="E24" s="82">
        <v>300</v>
      </c>
      <c r="F24" s="21"/>
      <c r="G24" s="17">
        <v>10559</v>
      </c>
      <c r="H24" s="79">
        <v>800</v>
      </c>
      <c r="I24" s="18" t="s">
        <v>437</v>
      </c>
      <c r="J24" s="73"/>
      <c r="K24" s="83"/>
      <c r="L24" s="74" t="s">
        <v>33</v>
      </c>
      <c r="M24" s="87"/>
      <c r="N24" s="85"/>
      <c r="O24" s="43" t="s">
        <v>33</v>
      </c>
    </row>
    <row r="25" spans="1:15" x14ac:dyDescent="0.25">
      <c r="A25" s="25">
        <v>10448</v>
      </c>
      <c r="B25" s="61">
        <v>125</v>
      </c>
      <c r="C25" s="26"/>
      <c r="D25" s="20">
        <v>10510</v>
      </c>
      <c r="E25" s="82">
        <v>400</v>
      </c>
      <c r="F25" s="21"/>
      <c r="G25" s="17"/>
      <c r="H25" s="79"/>
      <c r="I25" s="18" t="s">
        <v>491</v>
      </c>
      <c r="J25" s="73">
        <v>10605</v>
      </c>
      <c r="K25" s="83">
        <v>1200</v>
      </c>
      <c r="L25" s="74" t="s">
        <v>344</v>
      </c>
      <c r="M25" s="87">
        <v>10633</v>
      </c>
      <c r="N25" s="85">
        <v>800</v>
      </c>
      <c r="O25" s="23" t="s">
        <v>149</v>
      </c>
    </row>
    <row r="26" spans="1:15" x14ac:dyDescent="0.25">
      <c r="A26" s="25">
        <v>10449</v>
      </c>
      <c r="B26" s="61">
        <v>300</v>
      </c>
      <c r="C26" s="26" t="s">
        <v>403</v>
      </c>
      <c r="D26" s="20">
        <v>10511</v>
      </c>
      <c r="E26" s="82">
        <v>160</v>
      </c>
      <c r="F26" s="21" t="s">
        <v>23</v>
      </c>
      <c r="G26" s="17">
        <v>10560</v>
      </c>
      <c r="H26" s="79">
        <v>400</v>
      </c>
      <c r="I26" s="18"/>
      <c r="J26" s="73"/>
      <c r="K26" s="83"/>
      <c r="L26" s="74" t="s">
        <v>25</v>
      </c>
      <c r="M26" s="87"/>
      <c r="N26" s="85"/>
      <c r="O26" s="23" t="s">
        <v>25</v>
      </c>
    </row>
    <row r="27" spans="1:15" x14ac:dyDescent="0.25">
      <c r="A27" s="25">
        <v>10450</v>
      </c>
      <c r="B27" s="61">
        <v>400</v>
      </c>
      <c r="C27" s="26"/>
      <c r="D27" s="20"/>
      <c r="E27" s="82"/>
      <c r="F27" s="21" t="s">
        <v>482</v>
      </c>
      <c r="G27" s="17">
        <v>10561</v>
      </c>
      <c r="H27" s="79">
        <v>3200</v>
      </c>
      <c r="I27" s="18" t="s">
        <v>493</v>
      </c>
      <c r="J27" s="73">
        <v>10606</v>
      </c>
      <c r="K27" s="83">
        <v>400</v>
      </c>
      <c r="L27" s="74"/>
      <c r="M27" s="87">
        <v>10634</v>
      </c>
      <c r="N27" s="85">
        <v>600</v>
      </c>
      <c r="O27" s="23" t="s">
        <v>437</v>
      </c>
    </row>
    <row r="28" spans="1:15" x14ac:dyDescent="0.25">
      <c r="A28" s="25">
        <v>10451</v>
      </c>
      <c r="B28" s="61">
        <v>800</v>
      </c>
      <c r="C28" s="26" t="s">
        <v>353</v>
      </c>
      <c r="D28" s="20">
        <v>10512</v>
      </c>
      <c r="E28" s="82">
        <v>160</v>
      </c>
      <c r="F28" s="21" t="s">
        <v>23</v>
      </c>
      <c r="G28" s="17"/>
      <c r="H28" s="79"/>
      <c r="I28" s="18" t="s">
        <v>494</v>
      </c>
      <c r="J28" s="73">
        <v>10607</v>
      </c>
      <c r="K28" s="83">
        <v>700</v>
      </c>
      <c r="L28" s="74" t="s">
        <v>506</v>
      </c>
      <c r="M28" s="87"/>
      <c r="N28" s="85"/>
      <c r="O28" s="23" t="s">
        <v>33</v>
      </c>
    </row>
    <row r="29" spans="1:15" x14ac:dyDescent="0.25">
      <c r="A29" s="25"/>
      <c r="B29" s="61"/>
      <c r="C29" s="26" t="s">
        <v>25</v>
      </c>
      <c r="D29" s="20"/>
      <c r="E29" s="82"/>
      <c r="F29" s="21" t="s">
        <v>483</v>
      </c>
      <c r="G29" s="17">
        <v>10562</v>
      </c>
      <c r="H29" s="79">
        <v>800</v>
      </c>
      <c r="I29" s="18" t="s">
        <v>149</v>
      </c>
      <c r="J29" s="73"/>
      <c r="K29" s="83"/>
      <c r="L29" s="74" t="s">
        <v>161</v>
      </c>
      <c r="M29" s="87">
        <v>10635</v>
      </c>
      <c r="N29" s="85">
        <v>400</v>
      </c>
      <c r="O29" s="23"/>
    </row>
    <row r="30" spans="1:15" x14ac:dyDescent="0.25">
      <c r="A30" s="25">
        <v>10452</v>
      </c>
      <c r="B30" s="61">
        <v>400</v>
      </c>
      <c r="C30" s="26"/>
      <c r="D30" s="20">
        <v>10513</v>
      </c>
      <c r="E30" s="82">
        <v>800</v>
      </c>
      <c r="F30" s="21" t="s">
        <v>437</v>
      </c>
      <c r="G30" s="17"/>
      <c r="H30" s="79"/>
      <c r="I30" s="18" t="s">
        <v>491</v>
      </c>
      <c r="J30" s="73">
        <v>10608</v>
      </c>
      <c r="K30" s="83">
        <v>400</v>
      </c>
      <c r="L30" s="74" t="s">
        <v>403</v>
      </c>
      <c r="M30" s="87">
        <v>10636</v>
      </c>
      <c r="N30" s="85">
        <v>300</v>
      </c>
      <c r="O30" s="23"/>
    </row>
    <row r="31" spans="1:15" x14ac:dyDescent="0.25">
      <c r="A31" s="25">
        <v>10453</v>
      </c>
      <c r="B31" s="61">
        <v>400</v>
      </c>
      <c r="C31" s="26" t="s">
        <v>403</v>
      </c>
      <c r="D31" s="20"/>
      <c r="E31" s="82"/>
      <c r="F31" s="21" t="s">
        <v>25</v>
      </c>
      <c r="G31" s="17">
        <v>10563</v>
      </c>
      <c r="H31" s="79">
        <v>560</v>
      </c>
      <c r="I31" s="18" t="s">
        <v>495</v>
      </c>
      <c r="J31" s="73">
        <v>10609</v>
      </c>
      <c r="K31" s="83">
        <v>1200</v>
      </c>
      <c r="L31" s="74" t="s">
        <v>291</v>
      </c>
      <c r="M31" s="87">
        <v>10637</v>
      </c>
      <c r="N31" s="85">
        <v>600</v>
      </c>
      <c r="O31" s="43" t="s">
        <v>149</v>
      </c>
    </row>
    <row r="32" spans="1:15" x14ac:dyDescent="0.25">
      <c r="A32" s="25">
        <v>10454</v>
      </c>
      <c r="B32" s="61">
        <v>400</v>
      </c>
      <c r="C32" s="26"/>
      <c r="D32" s="20">
        <v>10514</v>
      </c>
      <c r="E32" s="82">
        <v>300</v>
      </c>
      <c r="F32" s="21"/>
      <c r="G32" s="17">
        <v>10564</v>
      </c>
      <c r="H32" s="79">
        <v>2400</v>
      </c>
      <c r="I32" s="18" t="s">
        <v>496</v>
      </c>
      <c r="J32" s="73"/>
      <c r="K32" s="83"/>
      <c r="L32" s="74" t="s">
        <v>507</v>
      </c>
      <c r="M32" s="87"/>
      <c r="N32" s="85"/>
      <c r="O32" s="23" t="s">
        <v>33</v>
      </c>
    </row>
    <row r="33" spans="1:15" x14ac:dyDescent="0.25">
      <c r="A33" s="25">
        <v>10455</v>
      </c>
      <c r="B33" s="61">
        <v>160</v>
      </c>
      <c r="C33" s="26" t="s">
        <v>49</v>
      </c>
      <c r="D33" s="20">
        <v>10515</v>
      </c>
      <c r="E33" s="82">
        <v>300</v>
      </c>
      <c r="F33" s="21"/>
      <c r="G33" s="17"/>
      <c r="H33" s="79"/>
      <c r="I33" s="18" t="s">
        <v>497</v>
      </c>
      <c r="J33" s="73">
        <v>10610</v>
      </c>
      <c r="K33" s="83">
        <v>800</v>
      </c>
      <c r="L33" s="74" t="s">
        <v>503</v>
      </c>
      <c r="M33" s="87">
        <v>10638</v>
      </c>
      <c r="N33" s="85"/>
      <c r="O33" s="23" t="s">
        <v>44</v>
      </c>
    </row>
    <row r="34" spans="1:15" x14ac:dyDescent="0.25">
      <c r="A34" s="25">
        <v>10456</v>
      </c>
      <c r="B34" s="61">
        <v>400</v>
      </c>
      <c r="C34" s="26"/>
      <c r="D34" s="20">
        <v>10516</v>
      </c>
      <c r="E34" s="82">
        <v>400</v>
      </c>
      <c r="F34" s="21"/>
      <c r="G34" s="17">
        <v>10565</v>
      </c>
      <c r="H34" s="79"/>
      <c r="I34" s="18" t="s">
        <v>44</v>
      </c>
      <c r="J34" s="73"/>
      <c r="K34" s="83"/>
      <c r="L34" s="74" t="s">
        <v>25</v>
      </c>
      <c r="M34" s="87">
        <v>10639</v>
      </c>
      <c r="N34" s="85">
        <v>160</v>
      </c>
      <c r="O34" s="23" t="s">
        <v>49</v>
      </c>
    </row>
    <row r="35" spans="1:15" x14ac:dyDescent="0.25">
      <c r="A35" s="25">
        <v>10457</v>
      </c>
      <c r="B35" s="61">
        <v>400</v>
      </c>
      <c r="C35" s="26"/>
      <c r="D35" s="20">
        <v>10517</v>
      </c>
      <c r="E35" s="82">
        <v>400</v>
      </c>
      <c r="F35" s="21"/>
      <c r="G35" s="17">
        <v>10566</v>
      </c>
      <c r="H35" s="79">
        <v>160</v>
      </c>
      <c r="I35" s="18" t="s">
        <v>49</v>
      </c>
      <c r="J35" s="73">
        <v>10611</v>
      </c>
      <c r="K35" s="83">
        <v>400</v>
      </c>
      <c r="L35" s="74"/>
      <c r="M35" s="87">
        <v>10640</v>
      </c>
      <c r="N35" s="85">
        <v>800</v>
      </c>
      <c r="O35" s="23" t="s">
        <v>437</v>
      </c>
    </row>
    <row r="36" spans="1:15" x14ac:dyDescent="0.25">
      <c r="A36" s="25">
        <v>10458</v>
      </c>
      <c r="B36" s="61">
        <v>400</v>
      </c>
      <c r="C36" s="26" t="s">
        <v>354</v>
      </c>
      <c r="D36" s="20">
        <v>10518</v>
      </c>
      <c r="E36" s="82">
        <v>300</v>
      </c>
      <c r="F36" s="21"/>
      <c r="G36" s="17">
        <v>10567</v>
      </c>
      <c r="H36" s="79">
        <v>400</v>
      </c>
      <c r="I36" s="18"/>
      <c r="J36" s="73">
        <v>10612</v>
      </c>
      <c r="K36" s="83">
        <v>200</v>
      </c>
      <c r="L36" s="74"/>
      <c r="M36" s="87">
        <v>10641</v>
      </c>
      <c r="N36" s="85">
        <v>400</v>
      </c>
      <c r="O36" s="23" t="s">
        <v>512</v>
      </c>
    </row>
    <row r="37" spans="1:15" x14ac:dyDescent="0.25">
      <c r="A37" s="25">
        <v>10459</v>
      </c>
      <c r="B37" s="61">
        <v>300</v>
      </c>
      <c r="C37" s="26" t="s">
        <v>403</v>
      </c>
      <c r="D37" s="20">
        <v>10519</v>
      </c>
      <c r="E37" s="82">
        <v>400</v>
      </c>
      <c r="F37" s="21"/>
      <c r="G37" s="17">
        <v>10568</v>
      </c>
      <c r="H37" s="79">
        <v>800</v>
      </c>
      <c r="I37" s="18" t="s">
        <v>149</v>
      </c>
      <c r="J37" s="73">
        <v>10613</v>
      </c>
      <c r="K37" s="83">
        <v>400</v>
      </c>
      <c r="L37" s="74"/>
      <c r="M37" s="87">
        <v>10642</v>
      </c>
      <c r="N37" s="85">
        <v>600</v>
      </c>
      <c r="O37" s="23" t="s">
        <v>390</v>
      </c>
    </row>
    <row r="38" spans="1:15" x14ac:dyDescent="0.25">
      <c r="A38" s="25">
        <v>10460</v>
      </c>
      <c r="B38" s="61">
        <v>400</v>
      </c>
      <c r="C38" s="26"/>
      <c r="D38" s="20">
        <v>10520</v>
      </c>
      <c r="E38" s="82">
        <v>400</v>
      </c>
      <c r="F38" s="21"/>
      <c r="G38" s="17"/>
      <c r="H38" s="79"/>
      <c r="I38" s="18" t="s">
        <v>491</v>
      </c>
      <c r="J38" s="73">
        <v>10614</v>
      </c>
      <c r="K38" s="83">
        <v>600</v>
      </c>
      <c r="L38" s="74" t="s">
        <v>503</v>
      </c>
      <c r="M38" s="87"/>
      <c r="N38" s="85"/>
      <c r="O38" s="23" t="s">
        <v>513</v>
      </c>
    </row>
    <row r="39" spans="1:15" x14ac:dyDescent="0.25">
      <c r="A39" s="25">
        <v>10461</v>
      </c>
      <c r="B39" s="61">
        <v>400</v>
      </c>
      <c r="C39" s="26"/>
      <c r="D39" s="20">
        <v>10521</v>
      </c>
      <c r="E39" s="82">
        <v>160</v>
      </c>
      <c r="F39" s="21" t="s">
        <v>49</v>
      </c>
      <c r="G39" s="17">
        <v>10569</v>
      </c>
      <c r="H39" s="79">
        <v>300</v>
      </c>
      <c r="I39" s="18"/>
      <c r="J39" s="73"/>
      <c r="K39" s="83"/>
      <c r="L39" s="74" t="s">
        <v>33</v>
      </c>
      <c r="M39" s="87">
        <v>10643</v>
      </c>
      <c r="N39" s="85">
        <v>800</v>
      </c>
      <c r="O39" s="23" t="s">
        <v>149</v>
      </c>
    </row>
    <row r="40" spans="1:15" x14ac:dyDescent="0.25">
      <c r="A40" s="25">
        <v>10462</v>
      </c>
      <c r="B40" s="61">
        <v>4400</v>
      </c>
      <c r="C40" s="26" t="s">
        <v>473</v>
      </c>
      <c r="D40" s="20">
        <v>10522</v>
      </c>
      <c r="E40" s="82">
        <v>400</v>
      </c>
      <c r="F40" s="21"/>
      <c r="G40" s="17">
        <v>10570</v>
      </c>
      <c r="H40" s="79">
        <v>400</v>
      </c>
      <c r="I40" s="18" t="s">
        <v>403</v>
      </c>
      <c r="J40" s="73">
        <v>10615</v>
      </c>
      <c r="K40" s="83">
        <v>200</v>
      </c>
      <c r="L40" s="74" t="s">
        <v>403</v>
      </c>
      <c r="M40" s="87"/>
      <c r="N40" s="85"/>
      <c r="O40" s="23" t="s">
        <v>25</v>
      </c>
    </row>
    <row r="41" spans="1:15" x14ac:dyDescent="0.25">
      <c r="A41" s="25"/>
      <c r="B41" s="61"/>
      <c r="C41" s="26" t="s">
        <v>474</v>
      </c>
      <c r="D41" s="20">
        <v>10523</v>
      </c>
      <c r="E41" s="82">
        <v>200</v>
      </c>
      <c r="F41" s="21"/>
      <c r="G41" s="17">
        <v>10571</v>
      </c>
      <c r="H41" s="79">
        <v>800</v>
      </c>
      <c r="I41" s="18" t="s">
        <v>390</v>
      </c>
      <c r="J41" s="73">
        <v>10616</v>
      </c>
      <c r="K41" s="83">
        <v>800</v>
      </c>
      <c r="L41" s="74" t="s">
        <v>503</v>
      </c>
      <c r="M41" s="87">
        <v>10644</v>
      </c>
      <c r="N41" s="85">
        <v>300</v>
      </c>
      <c r="O41" s="23" t="s">
        <v>438</v>
      </c>
    </row>
    <row r="42" spans="1:15" x14ac:dyDescent="0.25">
      <c r="A42" s="25">
        <v>10463</v>
      </c>
      <c r="B42" s="61">
        <v>160</v>
      </c>
      <c r="C42" s="26" t="s">
        <v>23</v>
      </c>
      <c r="D42" s="20">
        <v>10524</v>
      </c>
      <c r="E42" s="82">
        <v>400</v>
      </c>
      <c r="F42" s="21"/>
      <c r="G42" s="17"/>
      <c r="H42" s="79"/>
      <c r="I42" s="18" t="s">
        <v>491</v>
      </c>
      <c r="J42" s="73"/>
      <c r="K42" s="83"/>
      <c r="L42" s="74" t="s">
        <v>25</v>
      </c>
      <c r="M42" s="87">
        <v>10645</v>
      </c>
      <c r="N42" s="85">
        <v>300</v>
      </c>
      <c r="O42" s="23" t="s">
        <v>438</v>
      </c>
    </row>
    <row r="43" spans="1:15" x14ac:dyDescent="0.25">
      <c r="A43" s="25">
        <v>10464</v>
      </c>
      <c r="B43" s="61">
        <v>400</v>
      </c>
      <c r="C43" s="26"/>
      <c r="D43" s="20">
        <v>10525</v>
      </c>
      <c r="E43" s="82">
        <v>800</v>
      </c>
      <c r="F43" s="21" t="s">
        <v>437</v>
      </c>
      <c r="G43" s="17"/>
      <c r="H43" s="79"/>
      <c r="I43" s="18" t="s">
        <v>498</v>
      </c>
      <c r="J43" s="73">
        <v>10617</v>
      </c>
      <c r="K43" s="83">
        <v>500</v>
      </c>
      <c r="L43" s="74" t="s">
        <v>437</v>
      </c>
      <c r="M43" s="87">
        <v>10646</v>
      </c>
      <c r="N43" s="85">
        <v>200</v>
      </c>
      <c r="O43" s="23" t="s">
        <v>438</v>
      </c>
    </row>
    <row r="44" spans="1:15" x14ac:dyDescent="0.25">
      <c r="A44" s="25">
        <v>10465</v>
      </c>
      <c r="B44" s="61">
        <v>250</v>
      </c>
      <c r="C44" s="26" t="s">
        <v>403</v>
      </c>
      <c r="D44" s="20"/>
      <c r="E44" s="82"/>
      <c r="F44" s="21" t="s">
        <v>25</v>
      </c>
      <c r="G44" s="17">
        <v>10572</v>
      </c>
      <c r="H44" s="79">
        <v>300</v>
      </c>
      <c r="I44" s="18"/>
      <c r="J44" s="73"/>
      <c r="K44" s="83"/>
      <c r="L44" s="74" t="s">
        <v>81</v>
      </c>
      <c r="M44" s="87">
        <v>10647</v>
      </c>
      <c r="N44" s="85">
        <v>500</v>
      </c>
      <c r="O44" s="23" t="s">
        <v>501</v>
      </c>
    </row>
    <row r="45" spans="1:15" x14ac:dyDescent="0.25">
      <c r="A45" s="25">
        <v>10466</v>
      </c>
      <c r="B45" s="61">
        <v>900</v>
      </c>
      <c r="C45" s="26" t="s">
        <v>291</v>
      </c>
      <c r="D45" s="20">
        <v>10526</v>
      </c>
      <c r="E45" s="82">
        <v>350</v>
      </c>
      <c r="F45" s="21"/>
      <c r="G45" s="17">
        <v>10573</v>
      </c>
      <c r="H45" s="79">
        <v>800</v>
      </c>
      <c r="I45" s="18" t="s">
        <v>390</v>
      </c>
      <c r="J45" s="73">
        <v>10618</v>
      </c>
      <c r="K45" s="83">
        <v>800</v>
      </c>
      <c r="L45" s="74" t="s">
        <v>503</v>
      </c>
      <c r="M45" s="87"/>
      <c r="N45" s="85"/>
      <c r="O45" s="23" t="s">
        <v>86</v>
      </c>
    </row>
    <row r="46" spans="1:15" x14ac:dyDescent="0.25">
      <c r="A46" s="25">
        <v>10467</v>
      </c>
      <c r="B46" s="61">
        <v>600</v>
      </c>
      <c r="C46" s="26" t="s">
        <v>475</v>
      </c>
      <c r="D46" s="20">
        <v>10527</v>
      </c>
      <c r="E46" s="82">
        <v>1200</v>
      </c>
      <c r="F46" s="21" t="s">
        <v>431</v>
      </c>
      <c r="G46" s="17"/>
      <c r="H46" s="79"/>
      <c r="I46" s="18" t="s">
        <v>491</v>
      </c>
      <c r="J46" s="73"/>
      <c r="K46" s="83"/>
      <c r="L46" s="74" t="s">
        <v>25</v>
      </c>
      <c r="M46" s="87">
        <v>10648</v>
      </c>
      <c r="N46" s="85">
        <v>400</v>
      </c>
      <c r="O46" s="23" t="s">
        <v>438</v>
      </c>
    </row>
    <row r="47" spans="1:15" x14ac:dyDescent="0.25">
      <c r="A47" s="25"/>
      <c r="B47" s="61"/>
      <c r="C47" s="26" t="s">
        <v>33</v>
      </c>
      <c r="D47" s="20"/>
      <c r="E47" s="82"/>
      <c r="F47" s="21" t="s">
        <v>25</v>
      </c>
      <c r="G47" s="17">
        <v>10574</v>
      </c>
      <c r="H47" s="79">
        <v>400</v>
      </c>
      <c r="I47" s="18" t="s">
        <v>437</v>
      </c>
      <c r="J47" s="73">
        <v>10619</v>
      </c>
      <c r="K47" s="83">
        <v>320</v>
      </c>
      <c r="L47" s="74" t="s">
        <v>508</v>
      </c>
      <c r="M47" s="87">
        <v>10649</v>
      </c>
      <c r="N47" s="85">
        <v>160</v>
      </c>
      <c r="O47" s="23" t="s">
        <v>514</v>
      </c>
    </row>
    <row r="48" spans="1:15" x14ac:dyDescent="0.25">
      <c r="A48" s="25">
        <v>10468</v>
      </c>
      <c r="B48" s="61">
        <v>160</v>
      </c>
      <c r="C48" s="26" t="s">
        <v>23</v>
      </c>
      <c r="D48" s="20">
        <v>10528</v>
      </c>
      <c r="E48" s="82">
        <v>600</v>
      </c>
      <c r="F48" s="21" t="s">
        <v>149</v>
      </c>
      <c r="G48" s="17"/>
      <c r="H48" s="79"/>
      <c r="I48" s="18" t="s">
        <v>27</v>
      </c>
      <c r="J48" s="73"/>
      <c r="K48" s="83"/>
      <c r="L48" s="74"/>
      <c r="M48" s="87">
        <v>10650</v>
      </c>
      <c r="N48" s="85">
        <v>400</v>
      </c>
      <c r="O48" s="23" t="s">
        <v>437</v>
      </c>
    </row>
    <row r="49" spans="1:15" x14ac:dyDescent="0.25">
      <c r="A49" s="25">
        <v>10469</v>
      </c>
      <c r="B49" s="61">
        <v>750</v>
      </c>
      <c r="C49" s="26" t="s">
        <v>444</v>
      </c>
      <c r="D49" s="20"/>
      <c r="E49" s="82"/>
      <c r="F49" s="21" t="s">
        <v>33</v>
      </c>
      <c r="G49" s="17">
        <v>10575</v>
      </c>
      <c r="H49" s="79">
        <v>200</v>
      </c>
      <c r="I49" s="18"/>
      <c r="J49" s="73"/>
      <c r="K49" s="83"/>
      <c r="L49" s="74"/>
      <c r="M49" s="87"/>
      <c r="N49" s="85"/>
      <c r="O49" s="23" t="s">
        <v>27</v>
      </c>
    </row>
    <row r="50" spans="1:15" x14ac:dyDescent="0.25">
      <c r="A50" s="25"/>
      <c r="B50" s="61"/>
      <c r="C50" s="26" t="s">
        <v>476</v>
      </c>
      <c r="D50" s="20">
        <v>10529</v>
      </c>
      <c r="E50" s="82">
        <v>400</v>
      </c>
      <c r="F50" s="21"/>
      <c r="G50" s="17">
        <v>10576</v>
      </c>
      <c r="H50" s="79">
        <v>900</v>
      </c>
      <c r="I50" s="18" t="s">
        <v>344</v>
      </c>
      <c r="J50" s="73"/>
      <c r="K50" s="83"/>
      <c r="L50" s="74"/>
      <c r="M50" s="87">
        <v>10651</v>
      </c>
      <c r="N50" s="85">
        <v>200</v>
      </c>
      <c r="O50" s="23" t="s">
        <v>438</v>
      </c>
    </row>
    <row r="51" spans="1:15" x14ac:dyDescent="0.25">
      <c r="A51" s="25">
        <v>10470</v>
      </c>
      <c r="B51" s="61">
        <v>600</v>
      </c>
      <c r="C51" s="26" t="s">
        <v>390</v>
      </c>
      <c r="D51" s="20">
        <v>10530</v>
      </c>
      <c r="E51" s="82">
        <v>300</v>
      </c>
      <c r="F51" s="21"/>
      <c r="G51" s="17"/>
      <c r="H51" s="79"/>
      <c r="I51" s="18" t="s">
        <v>33</v>
      </c>
      <c r="J51" s="73"/>
      <c r="K51" s="83"/>
      <c r="L51" s="74"/>
      <c r="M51" s="107">
        <v>10724</v>
      </c>
      <c r="N51" s="85">
        <v>200</v>
      </c>
      <c r="O51" s="23" t="s">
        <v>569</v>
      </c>
    </row>
    <row r="52" spans="1:15" x14ac:dyDescent="0.25">
      <c r="A52" s="25"/>
      <c r="B52" s="61"/>
      <c r="C52" s="26" t="s">
        <v>33</v>
      </c>
      <c r="D52" s="20">
        <v>10531</v>
      </c>
      <c r="E52" s="82">
        <v>1200</v>
      </c>
      <c r="F52" s="21" t="s">
        <v>484</v>
      </c>
      <c r="G52" s="17">
        <v>10577</v>
      </c>
      <c r="H52" s="79">
        <v>800</v>
      </c>
      <c r="I52" s="18" t="s">
        <v>149</v>
      </c>
      <c r="J52" s="73"/>
      <c r="K52" s="83"/>
      <c r="L52" s="74"/>
      <c r="M52" s="107">
        <v>10725</v>
      </c>
      <c r="N52" s="85">
        <v>400</v>
      </c>
      <c r="O52" s="23" t="s">
        <v>568</v>
      </c>
    </row>
    <row r="53" spans="1:15" x14ac:dyDescent="0.25">
      <c r="A53" s="25">
        <v>10471</v>
      </c>
      <c r="B53" s="61">
        <v>400</v>
      </c>
      <c r="C53" s="26" t="s">
        <v>403</v>
      </c>
      <c r="D53" s="20"/>
      <c r="E53" s="82"/>
      <c r="F53" s="21" t="s">
        <v>25</v>
      </c>
      <c r="G53" s="17"/>
      <c r="H53" s="79"/>
      <c r="I53" s="18" t="s">
        <v>491</v>
      </c>
      <c r="J53" s="73"/>
      <c r="K53" s="83"/>
      <c r="L53" s="74"/>
      <c r="M53" s="107">
        <v>10726</v>
      </c>
      <c r="N53" s="85">
        <v>300</v>
      </c>
      <c r="O53" s="23" t="s">
        <v>568</v>
      </c>
    </row>
    <row r="54" spans="1:15" x14ac:dyDescent="0.25">
      <c r="A54" s="25">
        <v>10472</v>
      </c>
      <c r="B54" s="61">
        <v>160</v>
      </c>
      <c r="C54" s="26" t="s">
        <v>23</v>
      </c>
      <c r="D54" s="20">
        <v>10532</v>
      </c>
      <c r="E54" s="82">
        <v>150</v>
      </c>
      <c r="F54" s="21"/>
      <c r="G54" s="17">
        <v>10578</v>
      </c>
      <c r="H54" s="79">
        <v>400</v>
      </c>
      <c r="I54" s="18"/>
      <c r="J54" s="73"/>
      <c r="K54" s="83"/>
      <c r="L54" s="74"/>
      <c r="M54" s="107"/>
      <c r="N54" s="85">
        <v>11000</v>
      </c>
      <c r="O54" s="23" t="s">
        <v>570</v>
      </c>
    </row>
    <row r="55" spans="1:15" x14ac:dyDescent="0.25">
      <c r="A55" s="25">
        <v>10473</v>
      </c>
      <c r="B55" s="61">
        <v>200</v>
      </c>
      <c r="C55" s="26"/>
      <c r="D55" s="20">
        <v>10533</v>
      </c>
      <c r="E55" s="82">
        <v>1200</v>
      </c>
      <c r="F55" s="21" t="s">
        <v>344</v>
      </c>
      <c r="G55" s="17">
        <v>10579</v>
      </c>
      <c r="H55" s="79">
        <v>400</v>
      </c>
      <c r="I55" s="18" t="s">
        <v>403</v>
      </c>
      <c r="J55" s="73"/>
      <c r="K55" s="83"/>
      <c r="L55" s="74"/>
      <c r="M55" s="107"/>
      <c r="N55" s="85"/>
      <c r="O55" s="23"/>
    </row>
    <row r="56" spans="1:15" x14ac:dyDescent="0.25">
      <c r="A56" s="25">
        <v>10474</v>
      </c>
      <c r="B56" s="61">
        <v>1800</v>
      </c>
      <c r="C56" s="26" t="s">
        <v>477</v>
      </c>
      <c r="D56" s="20"/>
      <c r="E56" s="82"/>
      <c r="F56" s="21" t="s">
        <v>25</v>
      </c>
      <c r="G56" s="17">
        <v>10580</v>
      </c>
      <c r="H56" s="79">
        <v>800</v>
      </c>
      <c r="I56" s="18" t="s">
        <v>149</v>
      </c>
      <c r="J56" s="73"/>
      <c r="K56" s="83"/>
      <c r="L56" s="74"/>
      <c r="M56" s="87"/>
      <c r="N56" s="85"/>
      <c r="O56" s="23"/>
    </row>
    <row r="57" spans="1:15" x14ac:dyDescent="0.25">
      <c r="A57" s="25"/>
      <c r="B57" s="61"/>
      <c r="C57" s="26" t="s">
        <v>478</v>
      </c>
      <c r="D57" s="20">
        <v>10534</v>
      </c>
      <c r="E57" s="82">
        <v>1200</v>
      </c>
      <c r="F57" s="21" t="s">
        <v>484</v>
      </c>
      <c r="G57" s="17"/>
      <c r="H57" s="79"/>
      <c r="I57" s="18" t="s">
        <v>491</v>
      </c>
      <c r="J57" s="73"/>
      <c r="K57" s="83"/>
      <c r="L57" s="74"/>
      <c r="M57" s="87"/>
      <c r="N57" s="85"/>
      <c r="O57" s="23"/>
    </row>
    <row r="58" spans="1:15" x14ac:dyDescent="0.25">
      <c r="A58" s="25"/>
      <c r="B58" s="61"/>
      <c r="C58" s="26" t="s">
        <v>27</v>
      </c>
      <c r="D58" s="20"/>
      <c r="E58" s="82"/>
      <c r="F58" s="21" t="s">
        <v>25</v>
      </c>
      <c r="G58" s="17">
        <v>10581</v>
      </c>
      <c r="H58" s="79">
        <v>400</v>
      </c>
      <c r="I58" s="18"/>
      <c r="J58" s="73"/>
      <c r="K58" s="83"/>
      <c r="L58" s="74"/>
      <c r="M58" s="87"/>
      <c r="N58" s="85"/>
      <c r="O58" s="23"/>
    </row>
    <row r="59" spans="1:15" x14ac:dyDescent="0.25">
      <c r="A59" s="25">
        <v>10475</v>
      </c>
      <c r="B59" s="61">
        <v>300</v>
      </c>
      <c r="C59" s="26"/>
      <c r="D59" s="20">
        <v>10535</v>
      </c>
      <c r="E59" s="82">
        <v>160</v>
      </c>
      <c r="F59" s="21" t="s">
        <v>23</v>
      </c>
      <c r="G59" s="17">
        <v>10582</v>
      </c>
      <c r="H59" s="79">
        <v>400</v>
      </c>
      <c r="I59" s="18"/>
      <c r="J59" s="73"/>
      <c r="K59" s="83"/>
      <c r="L59" s="74"/>
      <c r="M59" s="87"/>
      <c r="N59" s="85"/>
      <c r="O59" s="23"/>
    </row>
    <row r="60" spans="1:15" x14ac:dyDescent="0.25">
      <c r="A60" s="25">
        <v>10476</v>
      </c>
      <c r="B60" s="61">
        <v>400</v>
      </c>
      <c r="C60" s="26"/>
      <c r="D60" s="20"/>
      <c r="E60" s="82"/>
      <c r="F60" s="21" t="s">
        <v>485</v>
      </c>
      <c r="G60" s="17">
        <v>10583</v>
      </c>
      <c r="H60" s="79">
        <v>800</v>
      </c>
      <c r="I60" s="18" t="s">
        <v>437</v>
      </c>
      <c r="J60" s="73"/>
      <c r="K60" s="83"/>
      <c r="L60" s="74"/>
      <c r="M60" s="87"/>
      <c r="N60" s="85"/>
      <c r="O60" s="23"/>
    </row>
    <row r="61" spans="1:15" x14ac:dyDescent="0.25">
      <c r="A61" s="25">
        <v>10477</v>
      </c>
      <c r="B61" s="61">
        <v>400</v>
      </c>
      <c r="C61" s="26"/>
      <c r="D61" s="20">
        <v>10536</v>
      </c>
      <c r="E61" s="82">
        <v>200</v>
      </c>
      <c r="F61" s="21"/>
      <c r="G61" s="17"/>
      <c r="H61" s="79"/>
      <c r="I61" s="18" t="s">
        <v>491</v>
      </c>
      <c r="J61" s="73"/>
      <c r="K61" s="83"/>
      <c r="L61" s="74"/>
      <c r="M61" s="87"/>
      <c r="N61" s="85"/>
      <c r="O61" s="23"/>
    </row>
    <row r="62" spans="1:15" x14ac:dyDescent="0.25">
      <c r="A62" s="25">
        <v>10478</v>
      </c>
      <c r="B62" s="61">
        <v>400</v>
      </c>
      <c r="C62" s="26"/>
      <c r="D62" s="20">
        <v>10537</v>
      </c>
      <c r="E62" s="82">
        <v>1200</v>
      </c>
      <c r="F62" s="21" t="s">
        <v>486</v>
      </c>
      <c r="G62" s="17">
        <v>10584</v>
      </c>
      <c r="H62" s="79">
        <v>160</v>
      </c>
      <c r="I62" s="18" t="s">
        <v>49</v>
      </c>
      <c r="J62" s="73"/>
      <c r="K62" s="83"/>
      <c r="L62" s="74"/>
      <c r="M62" s="87"/>
      <c r="N62" s="85"/>
      <c r="O62" s="23"/>
    </row>
    <row r="63" spans="1:15" x14ac:dyDescent="0.25">
      <c r="A63" s="25">
        <v>10479</v>
      </c>
      <c r="B63" s="61">
        <v>400</v>
      </c>
      <c r="C63" s="26" t="s">
        <v>403</v>
      </c>
      <c r="D63" s="20"/>
      <c r="E63" s="82"/>
      <c r="F63" s="21" t="s">
        <v>25</v>
      </c>
      <c r="G63" s="17">
        <v>10585</v>
      </c>
      <c r="H63" s="79">
        <v>400</v>
      </c>
      <c r="I63" s="18"/>
      <c r="J63" s="73"/>
      <c r="K63" s="83"/>
      <c r="L63" s="74"/>
      <c r="M63" s="87"/>
      <c r="N63" s="85"/>
      <c r="O63" s="23"/>
    </row>
    <row r="64" spans="1:15" x14ac:dyDescent="0.25">
      <c r="A64" s="25">
        <v>10480</v>
      </c>
      <c r="B64" s="61">
        <v>300</v>
      </c>
      <c r="C64" s="26"/>
      <c r="D64" s="20">
        <v>10538</v>
      </c>
      <c r="E64" s="82">
        <v>160</v>
      </c>
      <c r="F64" s="21" t="s">
        <v>49</v>
      </c>
      <c r="G64" s="17">
        <v>10586</v>
      </c>
      <c r="H64" s="79">
        <v>400</v>
      </c>
      <c r="I64" s="18"/>
      <c r="J64" s="73"/>
      <c r="K64" s="83"/>
      <c r="L64" s="74"/>
      <c r="M64" s="87"/>
      <c r="N64" s="85"/>
      <c r="O64" s="23"/>
    </row>
    <row r="65" spans="1:15" x14ac:dyDescent="0.25">
      <c r="A65" s="25">
        <v>10481</v>
      </c>
      <c r="B65" s="61">
        <v>800</v>
      </c>
      <c r="C65" s="26" t="s">
        <v>437</v>
      </c>
      <c r="D65" s="20">
        <v>10539</v>
      </c>
      <c r="E65" s="82">
        <v>300</v>
      </c>
      <c r="F65" s="21"/>
      <c r="G65" s="17">
        <v>10587</v>
      </c>
      <c r="H65" s="79">
        <v>360</v>
      </c>
      <c r="I65" s="18" t="s">
        <v>499</v>
      </c>
      <c r="J65" s="73"/>
      <c r="K65" s="83"/>
      <c r="L65" s="74"/>
      <c r="M65" s="87"/>
      <c r="N65" s="85"/>
      <c r="O65" s="23"/>
    </row>
    <row r="66" spans="1:15" x14ac:dyDescent="0.25">
      <c r="A66" s="25"/>
      <c r="B66" s="61"/>
      <c r="C66" s="26" t="s">
        <v>25</v>
      </c>
      <c r="D66" s="20">
        <v>10540</v>
      </c>
      <c r="E66" s="82">
        <v>1200</v>
      </c>
      <c r="F66" s="21" t="s">
        <v>431</v>
      </c>
      <c r="G66" s="17">
        <v>10588</v>
      </c>
      <c r="H66" s="79">
        <v>400</v>
      </c>
      <c r="I66" s="18"/>
      <c r="J66" s="73"/>
      <c r="K66" s="83"/>
      <c r="L66" s="74"/>
      <c r="M66" s="87"/>
      <c r="N66" s="85"/>
      <c r="O66" s="23"/>
    </row>
    <row r="67" spans="1:15" x14ac:dyDescent="0.25">
      <c r="A67" s="25">
        <v>10482</v>
      </c>
      <c r="B67" s="61">
        <v>300</v>
      </c>
      <c r="C67" s="26" t="s">
        <v>274</v>
      </c>
      <c r="D67" s="20"/>
      <c r="E67" s="82"/>
      <c r="F67" s="21" t="s">
        <v>25</v>
      </c>
      <c r="G67" s="17">
        <v>10589</v>
      </c>
      <c r="H67" s="79">
        <v>250</v>
      </c>
      <c r="I67" s="18"/>
      <c r="J67" s="73"/>
      <c r="K67" s="83"/>
      <c r="L67" s="74"/>
      <c r="M67" s="87"/>
      <c r="N67" s="85"/>
      <c r="O67" s="23"/>
    </row>
    <row r="68" spans="1:15" x14ac:dyDescent="0.25">
      <c r="A68" s="25">
        <v>10483</v>
      </c>
      <c r="B68" s="61">
        <v>560</v>
      </c>
      <c r="C68" s="26" t="s">
        <v>479</v>
      </c>
      <c r="D68" s="20">
        <v>10541</v>
      </c>
      <c r="E68" s="82">
        <v>400</v>
      </c>
      <c r="F68" s="21"/>
      <c r="G68" s="17"/>
      <c r="H68" s="79"/>
      <c r="I68" s="18"/>
      <c r="J68" s="73"/>
      <c r="K68" s="83"/>
      <c r="L68" s="74"/>
      <c r="M68" s="87"/>
      <c r="N68" s="85"/>
      <c r="O68" s="23"/>
    </row>
    <row r="69" spans="1:15" x14ac:dyDescent="0.25">
      <c r="A69" s="25"/>
      <c r="B69" s="61"/>
      <c r="C69" s="26" t="s">
        <v>480</v>
      </c>
      <c r="D69" s="20">
        <v>10542</v>
      </c>
      <c r="E69" s="82">
        <v>300</v>
      </c>
      <c r="F69" s="21"/>
      <c r="G69" s="17"/>
      <c r="H69" s="79"/>
      <c r="I69" s="18"/>
      <c r="J69" s="73"/>
      <c r="K69" s="83"/>
      <c r="L69" s="74"/>
      <c r="M69" s="87"/>
      <c r="N69" s="85"/>
      <c r="O69" s="23"/>
    </row>
    <row r="70" spans="1:15" x14ac:dyDescent="0.25">
      <c r="A70" s="25">
        <v>10484</v>
      </c>
      <c r="B70" s="61">
        <v>400</v>
      </c>
      <c r="C70" s="26"/>
      <c r="D70" s="20">
        <v>10543</v>
      </c>
      <c r="E70" s="82">
        <v>320</v>
      </c>
      <c r="F70" s="21" t="s">
        <v>487</v>
      </c>
      <c r="G70" s="17"/>
      <c r="H70" s="79"/>
      <c r="I70" s="18"/>
      <c r="J70" s="73"/>
      <c r="K70" s="83"/>
      <c r="L70" s="74"/>
      <c r="M70" s="87"/>
      <c r="N70" s="85"/>
      <c r="O70" s="23"/>
    </row>
    <row r="71" spans="1:15" x14ac:dyDescent="0.25">
      <c r="A71" s="25">
        <v>10485</v>
      </c>
      <c r="B71" s="61">
        <v>800</v>
      </c>
      <c r="C71" s="26" t="s">
        <v>149</v>
      </c>
      <c r="D71" s="20"/>
      <c r="E71" s="82"/>
      <c r="F71" s="21" t="s">
        <v>488</v>
      </c>
      <c r="G71" s="17"/>
      <c r="H71" s="79"/>
      <c r="I71" s="18"/>
      <c r="J71" s="73"/>
      <c r="K71" s="83"/>
      <c r="L71" s="74"/>
      <c r="M71" s="87"/>
      <c r="N71" s="85"/>
      <c r="O71" s="23"/>
    </row>
    <row r="72" spans="1:15" x14ac:dyDescent="0.25">
      <c r="A72" s="25"/>
      <c r="B72" s="61"/>
      <c r="C72" s="26" t="s">
        <v>25</v>
      </c>
      <c r="D72" s="20"/>
      <c r="E72" s="82"/>
      <c r="F72" s="21"/>
      <c r="G72" s="17"/>
      <c r="H72" s="79"/>
      <c r="I72" s="18"/>
      <c r="J72" s="73"/>
      <c r="K72" s="83"/>
      <c r="L72" s="74"/>
      <c r="M72" s="87"/>
      <c r="N72" s="85"/>
      <c r="O72" s="23"/>
    </row>
    <row r="73" spans="1:15" x14ac:dyDescent="0.25">
      <c r="A73" s="25">
        <v>10486</v>
      </c>
      <c r="B73" s="61">
        <v>750</v>
      </c>
      <c r="C73" s="26" t="s">
        <v>344</v>
      </c>
      <c r="D73" s="20"/>
      <c r="E73" s="82"/>
      <c r="F73" s="21"/>
      <c r="G73" s="17"/>
      <c r="H73" s="79"/>
      <c r="I73" s="18"/>
      <c r="J73" s="73"/>
      <c r="K73" s="83"/>
      <c r="L73" s="74"/>
      <c r="M73" s="87"/>
      <c r="N73" s="85"/>
      <c r="O73" s="23"/>
    </row>
    <row r="74" spans="1:15" x14ac:dyDescent="0.25">
      <c r="A74" s="25"/>
      <c r="B74" s="61"/>
      <c r="C74" s="26" t="s">
        <v>81</v>
      </c>
      <c r="D74" s="20"/>
      <c r="E74" s="82"/>
      <c r="F74" s="21"/>
      <c r="G74" s="17"/>
      <c r="H74" s="79"/>
      <c r="I74" s="18"/>
      <c r="J74" s="73"/>
      <c r="K74" s="83"/>
      <c r="L74" s="74"/>
      <c r="M74" s="87"/>
      <c r="N74" s="85"/>
      <c r="O74" s="23"/>
    </row>
    <row r="75" spans="1:15" x14ac:dyDescent="0.25">
      <c r="A75" s="25">
        <v>10487</v>
      </c>
      <c r="B75" s="61">
        <v>800</v>
      </c>
      <c r="C75" s="26" t="s">
        <v>437</v>
      </c>
      <c r="D75" s="20"/>
      <c r="E75" s="82"/>
      <c r="F75" s="21"/>
      <c r="G75" s="17"/>
      <c r="H75" s="79"/>
      <c r="I75" s="18"/>
      <c r="J75" s="73"/>
      <c r="K75" s="83"/>
      <c r="L75" s="74"/>
      <c r="M75" s="87"/>
      <c r="N75" s="85"/>
      <c r="O75" s="23"/>
    </row>
    <row r="76" spans="1:15" x14ac:dyDescent="0.25">
      <c r="A76" s="25"/>
      <c r="B76" s="61"/>
      <c r="C76" s="26" t="s">
        <v>25</v>
      </c>
      <c r="D76" s="20"/>
      <c r="E76" s="82"/>
      <c r="F76" s="21"/>
      <c r="G76" s="17"/>
      <c r="H76" s="79"/>
      <c r="I76" s="18"/>
      <c r="J76" s="73"/>
      <c r="K76" s="83"/>
      <c r="L76" s="74"/>
      <c r="M76" s="87"/>
      <c r="N76" s="85"/>
      <c r="O76" s="23"/>
    </row>
    <row r="77" spans="1:15" x14ac:dyDescent="0.25">
      <c r="A77" s="25">
        <v>10488</v>
      </c>
      <c r="B77" s="61">
        <v>300</v>
      </c>
      <c r="C77" s="26" t="s">
        <v>403</v>
      </c>
      <c r="D77" s="20"/>
      <c r="E77" s="82"/>
      <c r="F77" s="21"/>
      <c r="G77" s="17"/>
      <c r="H77" s="79"/>
      <c r="I77" s="18"/>
      <c r="J77" s="73"/>
      <c r="K77" s="83"/>
      <c r="L77" s="74"/>
      <c r="M77" s="87"/>
      <c r="N77" s="85"/>
      <c r="O77" s="23"/>
    </row>
    <row r="78" spans="1:15" x14ac:dyDescent="0.25">
      <c r="A78" s="25">
        <v>10489</v>
      </c>
      <c r="B78" s="61">
        <v>400</v>
      </c>
      <c r="C78" s="26"/>
      <c r="D78" s="20"/>
      <c r="E78" s="82"/>
      <c r="F78" s="21"/>
      <c r="G78" s="17"/>
      <c r="H78" s="79"/>
      <c r="I78" s="18"/>
      <c r="J78" s="73"/>
      <c r="K78" s="83"/>
      <c r="L78" s="74"/>
      <c r="M78" s="87"/>
      <c r="N78" s="85"/>
      <c r="O78" s="23"/>
    </row>
    <row r="79" spans="1:15" x14ac:dyDescent="0.25">
      <c r="A79" s="25">
        <v>10490</v>
      </c>
      <c r="B79" s="61">
        <v>150</v>
      </c>
      <c r="C79" s="26"/>
      <c r="D79" s="20"/>
      <c r="E79" s="82"/>
      <c r="F79" s="21"/>
      <c r="G79" s="17"/>
      <c r="H79" s="79"/>
      <c r="I79" s="18"/>
      <c r="J79" s="73"/>
      <c r="K79" s="83"/>
      <c r="L79" s="74"/>
      <c r="M79" s="87"/>
      <c r="N79" s="85"/>
      <c r="O79" s="23"/>
    </row>
    <row r="80" spans="1:15" x14ac:dyDescent="0.25">
      <c r="A80" s="25">
        <v>10491</v>
      </c>
      <c r="B80" s="61">
        <v>600</v>
      </c>
      <c r="C80" s="26" t="s">
        <v>366</v>
      </c>
      <c r="D80" s="20"/>
      <c r="E80" s="82"/>
      <c r="F80" s="21"/>
      <c r="G80" s="17"/>
      <c r="H80" s="79"/>
      <c r="I80" s="18"/>
      <c r="J80" s="73"/>
      <c r="K80" s="83"/>
      <c r="L80" s="74"/>
      <c r="M80" s="87"/>
      <c r="N80" s="85"/>
      <c r="O80" s="23"/>
    </row>
    <row r="81" spans="1:15" x14ac:dyDescent="0.25">
      <c r="A81" s="25"/>
      <c r="B81" s="61"/>
      <c r="C81" s="26" t="s">
        <v>33</v>
      </c>
      <c r="D81" s="20"/>
      <c r="E81" s="82"/>
      <c r="F81" s="21"/>
      <c r="G81" s="17"/>
      <c r="H81" s="79"/>
      <c r="I81" s="18"/>
      <c r="J81" s="73"/>
      <c r="K81" s="83"/>
      <c r="L81" s="74"/>
      <c r="M81" s="87"/>
      <c r="N81" s="85"/>
      <c r="O81" s="23"/>
    </row>
    <row r="82" spans="1:15" x14ac:dyDescent="0.25">
      <c r="A82" s="25">
        <v>10492</v>
      </c>
      <c r="B82" s="61">
        <v>800</v>
      </c>
      <c r="C82" s="26" t="s">
        <v>149</v>
      </c>
      <c r="D82" s="20"/>
      <c r="E82" s="82"/>
      <c r="F82" s="21"/>
      <c r="G82" s="17"/>
      <c r="H82" s="79"/>
      <c r="I82" s="18"/>
      <c r="J82" s="73"/>
      <c r="K82" s="83"/>
      <c r="L82" s="74"/>
      <c r="M82" s="87"/>
      <c r="N82" s="85"/>
      <c r="O82" s="23"/>
    </row>
    <row r="83" spans="1:15" x14ac:dyDescent="0.25">
      <c r="A83" s="25"/>
      <c r="B83" s="61"/>
      <c r="C83" s="26" t="s">
        <v>25</v>
      </c>
      <c r="D83" s="20"/>
      <c r="E83" s="82"/>
      <c r="F83" s="21"/>
      <c r="G83" s="17"/>
      <c r="H83" s="79"/>
      <c r="I83" s="18"/>
      <c r="J83" s="73"/>
      <c r="K83" s="83"/>
      <c r="L83" s="74"/>
      <c r="M83" s="87"/>
      <c r="N83" s="85"/>
      <c r="O83" s="23"/>
    </row>
    <row r="84" spans="1:15" x14ac:dyDescent="0.25">
      <c r="A84" s="25">
        <v>10493</v>
      </c>
      <c r="B84" s="61">
        <v>200</v>
      </c>
      <c r="C84" s="26" t="s">
        <v>403</v>
      </c>
      <c r="D84" s="20"/>
      <c r="E84" s="82"/>
      <c r="F84" s="21"/>
      <c r="G84" s="17"/>
      <c r="H84" s="79"/>
      <c r="I84" s="18"/>
      <c r="J84" s="73"/>
      <c r="K84" s="83"/>
      <c r="L84" s="74"/>
      <c r="M84" s="87"/>
      <c r="N84" s="85"/>
      <c r="O84" s="23"/>
    </row>
    <row r="85" spans="1:15" x14ac:dyDescent="0.25">
      <c r="A85" s="25">
        <v>10494</v>
      </c>
      <c r="B85" s="61">
        <v>400</v>
      </c>
      <c r="C85" s="26"/>
      <c r="D85" s="20"/>
      <c r="E85" s="82"/>
      <c r="F85" s="21"/>
      <c r="G85" s="17"/>
      <c r="H85" s="79"/>
      <c r="I85" s="18"/>
      <c r="J85" s="73"/>
      <c r="K85" s="83"/>
      <c r="L85" s="74"/>
      <c r="M85" s="87"/>
      <c r="N85" s="85"/>
      <c r="O85" s="23"/>
    </row>
    <row r="86" spans="1:15" x14ac:dyDescent="0.25">
      <c r="A86" s="25">
        <v>10495</v>
      </c>
      <c r="B86" s="61">
        <v>300</v>
      </c>
      <c r="C86" s="26" t="s">
        <v>403</v>
      </c>
      <c r="D86" s="20"/>
      <c r="E86" s="82"/>
      <c r="F86" s="21"/>
      <c r="G86" s="17"/>
      <c r="H86" s="79"/>
      <c r="I86" s="18"/>
      <c r="J86" s="73"/>
      <c r="K86" s="83"/>
      <c r="L86" s="74"/>
      <c r="M86" s="87"/>
      <c r="N86" s="85"/>
      <c r="O86" s="23"/>
    </row>
    <row r="87" spans="1:15" x14ac:dyDescent="0.25">
      <c r="A87" s="25"/>
      <c r="B87" s="61"/>
      <c r="C87" s="26"/>
      <c r="D87" s="20"/>
      <c r="E87" s="82"/>
      <c r="F87" s="21"/>
      <c r="G87" s="17"/>
      <c r="H87" s="79"/>
      <c r="I87" s="18"/>
      <c r="J87" s="73"/>
      <c r="K87" s="83"/>
      <c r="L87" s="74"/>
      <c r="M87" s="87"/>
      <c r="N87" s="85"/>
      <c r="O87" s="23"/>
    </row>
    <row r="88" spans="1:15" x14ac:dyDescent="0.25">
      <c r="A88" s="25"/>
      <c r="B88" s="61"/>
      <c r="C88" s="26"/>
      <c r="D88" s="20"/>
      <c r="E88" s="82"/>
      <c r="F88" s="21"/>
      <c r="G88" s="17"/>
      <c r="H88" s="79"/>
      <c r="I88" s="18"/>
      <c r="J88" s="73"/>
      <c r="K88" s="83"/>
      <c r="L88" s="74"/>
      <c r="M88" s="87"/>
      <c r="N88" s="85"/>
      <c r="O88" s="23"/>
    </row>
    <row r="89" spans="1:15" x14ac:dyDescent="0.25">
      <c r="A89" s="25"/>
      <c r="B89" s="61"/>
      <c r="C89" s="26"/>
      <c r="D89" s="20"/>
      <c r="E89" s="82"/>
      <c r="F89" s="21"/>
      <c r="G89" s="17"/>
      <c r="H89" s="79"/>
      <c r="I89" s="18"/>
      <c r="J89" s="73"/>
      <c r="K89" s="83"/>
      <c r="L89" s="74"/>
      <c r="M89" s="87"/>
      <c r="N89" s="85"/>
      <c r="O89" s="23"/>
    </row>
    <row r="90" spans="1:15" x14ac:dyDescent="0.25">
      <c r="A90" s="25"/>
      <c r="B90" s="61"/>
      <c r="C90" s="26"/>
      <c r="D90" s="20"/>
      <c r="E90" s="82"/>
      <c r="F90" s="21"/>
      <c r="G90" s="17"/>
      <c r="H90" s="79"/>
      <c r="I90" s="18"/>
      <c r="J90" s="73"/>
      <c r="K90" s="83"/>
      <c r="L90" s="74"/>
      <c r="M90" s="87"/>
      <c r="N90" s="85"/>
      <c r="O90" s="23"/>
    </row>
    <row r="91" spans="1:15" x14ac:dyDescent="0.25">
      <c r="A91" s="25"/>
      <c r="B91" s="61"/>
      <c r="C91" s="26"/>
      <c r="D91" s="20"/>
      <c r="E91" s="82"/>
      <c r="F91" s="21"/>
      <c r="G91" s="17"/>
      <c r="H91" s="79"/>
      <c r="I91" s="18"/>
      <c r="J91" s="73"/>
      <c r="K91" s="83"/>
      <c r="L91" s="74"/>
      <c r="M91" s="87"/>
      <c r="N91" s="85"/>
      <c r="O91" s="23"/>
    </row>
    <row r="92" spans="1:15" x14ac:dyDescent="0.25">
      <c r="A92" s="37"/>
      <c r="B92" s="78"/>
      <c r="C92" s="70"/>
      <c r="D92" s="37"/>
      <c r="E92" s="70"/>
      <c r="F92" s="70"/>
      <c r="G92" s="37"/>
      <c r="H92" s="86"/>
      <c r="I92" s="70"/>
      <c r="J92" s="37"/>
      <c r="K92" s="70"/>
      <c r="L92" s="70"/>
      <c r="M92" s="70"/>
      <c r="N92" s="70"/>
      <c r="O92" s="70"/>
    </row>
    <row r="93" spans="1:15" x14ac:dyDescent="0.25">
      <c r="A93" s="37"/>
      <c r="B93" s="78"/>
      <c r="C93" s="70"/>
      <c r="D93" s="37"/>
      <c r="E93" s="70"/>
      <c r="F93" s="70"/>
      <c r="G93" s="37"/>
      <c r="H93" s="86"/>
      <c r="I93" s="70"/>
      <c r="J93" s="37"/>
      <c r="K93" s="70"/>
      <c r="L93" s="70"/>
      <c r="M93" s="70"/>
      <c r="N93" s="70"/>
      <c r="O93" s="70"/>
    </row>
    <row r="94" spans="1:15" x14ac:dyDescent="0.25">
      <c r="A94" s="37"/>
      <c r="B94" s="78"/>
      <c r="C94" s="70"/>
      <c r="D94" s="37"/>
      <c r="E94" s="70"/>
      <c r="F94" s="70"/>
      <c r="G94" s="37"/>
      <c r="H94" s="86"/>
      <c r="I94" s="70"/>
      <c r="J94" s="37"/>
      <c r="K94" s="70"/>
      <c r="L94" s="70"/>
      <c r="M94" s="70"/>
      <c r="N94" s="70"/>
      <c r="O94" s="70"/>
    </row>
    <row r="95" spans="1:15" x14ac:dyDescent="0.25">
      <c r="A95" s="37"/>
      <c r="B95" s="78"/>
      <c r="C95" s="70"/>
      <c r="D95" s="37"/>
      <c r="E95" s="70"/>
      <c r="F95" s="70"/>
      <c r="G95" s="37"/>
      <c r="H95" s="86"/>
      <c r="I95" s="70"/>
      <c r="J95" s="37"/>
      <c r="K95" s="70"/>
      <c r="L95" s="70"/>
      <c r="M95" s="70"/>
      <c r="N95" s="70"/>
      <c r="O95" s="70"/>
    </row>
    <row r="96" spans="1:15" x14ac:dyDescent="0.25">
      <c r="A96" s="37"/>
      <c r="B96" s="78"/>
      <c r="C96" s="70"/>
      <c r="D96" s="37"/>
      <c r="E96" s="70"/>
      <c r="F96" s="70"/>
      <c r="G96" s="37"/>
      <c r="H96" s="86"/>
      <c r="I96" s="70"/>
      <c r="J96" s="37"/>
      <c r="K96" s="70"/>
      <c r="L96" s="70"/>
      <c r="M96" s="70"/>
      <c r="N96" s="70"/>
      <c r="O96" s="70"/>
    </row>
    <row r="97" spans="1:15" x14ac:dyDescent="0.25">
      <c r="A97" s="37"/>
      <c r="B97" s="78"/>
      <c r="C97" s="70"/>
      <c r="D97" s="37"/>
      <c r="E97" s="70"/>
      <c r="F97" s="70"/>
      <c r="G97" s="37"/>
      <c r="H97" s="86"/>
      <c r="I97" s="70"/>
      <c r="J97" s="37"/>
      <c r="K97" s="70"/>
      <c r="L97" s="70"/>
      <c r="M97" s="70"/>
      <c r="N97" s="70"/>
      <c r="O97" s="70"/>
    </row>
    <row r="98" spans="1:15" x14ac:dyDescent="0.25">
      <c r="A98" s="37"/>
      <c r="B98" s="78"/>
      <c r="C98" s="70"/>
      <c r="D98" s="37"/>
      <c r="E98" s="70"/>
      <c r="F98" s="70"/>
      <c r="G98" s="37"/>
      <c r="H98" s="86"/>
      <c r="I98" s="70"/>
      <c r="J98" s="37"/>
      <c r="K98" s="70"/>
      <c r="L98" s="70"/>
      <c r="M98" s="70"/>
      <c r="N98" s="70"/>
      <c r="O98" s="70"/>
    </row>
    <row r="99" spans="1:15" x14ac:dyDescent="0.25">
      <c r="A99" s="37"/>
      <c r="B99" s="78"/>
      <c r="C99" s="70"/>
      <c r="D99" s="37"/>
      <c r="E99" s="70"/>
      <c r="F99" s="70"/>
      <c r="G99" s="37"/>
      <c r="H99" s="86"/>
      <c r="I99" s="70"/>
      <c r="J99" s="37"/>
      <c r="K99" s="70"/>
      <c r="L99" s="70"/>
      <c r="M99" s="70"/>
      <c r="N99" s="70"/>
      <c r="O99" s="70"/>
    </row>
    <row r="100" spans="1:15" x14ac:dyDescent="0.25">
      <c r="A100" s="37"/>
      <c r="B100" s="78"/>
      <c r="C100" s="70"/>
      <c r="D100" s="37"/>
      <c r="E100" s="70"/>
      <c r="F100" s="70"/>
      <c r="G100" s="37"/>
      <c r="H100" s="86"/>
      <c r="I100" s="70"/>
      <c r="J100" s="37"/>
      <c r="K100" s="70"/>
      <c r="L100" s="70"/>
      <c r="M100" s="70"/>
      <c r="N100" s="70"/>
      <c r="O100" s="70"/>
    </row>
    <row r="101" spans="1:15" x14ac:dyDescent="0.25">
      <c r="A101" s="37"/>
      <c r="B101" s="78"/>
      <c r="C101" s="70"/>
      <c r="D101" s="37"/>
      <c r="E101" s="70"/>
      <c r="F101" s="70"/>
      <c r="G101" s="37"/>
      <c r="H101" s="86"/>
      <c r="I101" s="70"/>
      <c r="J101" s="37"/>
      <c r="K101" s="70"/>
      <c r="L101" s="70"/>
      <c r="M101" s="70"/>
      <c r="N101" s="70"/>
      <c r="O101" s="70"/>
    </row>
    <row r="102" spans="1:15" x14ac:dyDescent="0.25">
      <c r="A102" s="37"/>
      <c r="B102" s="78"/>
      <c r="C102" s="70"/>
      <c r="D102" s="37"/>
      <c r="E102" s="70"/>
      <c r="F102" s="70"/>
      <c r="G102" s="37"/>
      <c r="H102" s="86"/>
      <c r="I102" s="70"/>
      <c r="J102" s="37"/>
      <c r="K102" s="70"/>
      <c r="L102" s="70"/>
      <c r="M102" s="70"/>
      <c r="N102" s="70"/>
      <c r="O102" s="70"/>
    </row>
    <row r="103" spans="1:15" x14ac:dyDescent="0.25">
      <c r="A103" s="37"/>
      <c r="B103" s="78"/>
      <c r="C103" s="70"/>
      <c r="D103" s="37"/>
      <c r="E103" s="70"/>
      <c r="F103" s="70"/>
      <c r="G103" s="37"/>
      <c r="H103" s="86"/>
      <c r="I103" s="70"/>
      <c r="J103" s="37"/>
      <c r="K103" s="70"/>
      <c r="L103" s="70"/>
      <c r="M103" s="70"/>
      <c r="N103" s="70"/>
      <c r="O103" s="70"/>
    </row>
    <row r="104" spans="1:15" x14ac:dyDescent="0.25">
      <c r="A104" s="37"/>
      <c r="B104" s="78"/>
      <c r="C104" s="70"/>
      <c r="D104" s="37"/>
      <c r="E104" s="70"/>
      <c r="F104" s="70"/>
      <c r="G104" s="37"/>
      <c r="H104" s="86"/>
      <c r="I104" s="70"/>
      <c r="J104" s="37"/>
      <c r="K104" s="70"/>
      <c r="L104" s="70"/>
      <c r="M104" s="70"/>
      <c r="N104" s="70"/>
      <c r="O104" s="70"/>
    </row>
    <row r="105" spans="1:15" x14ac:dyDescent="0.25">
      <c r="A105" s="37"/>
      <c r="B105" s="78"/>
      <c r="C105" s="70"/>
      <c r="D105" s="37"/>
      <c r="E105" s="70"/>
      <c r="F105" s="70"/>
      <c r="G105" s="37"/>
      <c r="H105" s="86"/>
      <c r="I105" s="70"/>
      <c r="J105" s="37"/>
      <c r="K105" s="70"/>
      <c r="L105" s="70"/>
      <c r="M105" s="70"/>
      <c r="N105" s="70"/>
      <c r="O105" s="70"/>
    </row>
    <row r="106" spans="1:15" x14ac:dyDescent="0.25">
      <c r="A106" s="37"/>
      <c r="B106" s="78"/>
      <c r="C106" s="70"/>
      <c r="D106" s="37"/>
      <c r="E106" s="70"/>
      <c r="F106" s="70"/>
      <c r="G106" s="37"/>
      <c r="H106" s="86"/>
      <c r="I106" s="70"/>
      <c r="J106" s="37"/>
      <c r="K106" s="70"/>
      <c r="L106" s="70"/>
      <c r="M106" s="70"/>
      <c r="N106" s="70"/>
      <c r="O106" s="70"/>
    </row>
    <row r="107" spans="1:15" x14ac:dyDescent="0.25">
      <c r="A107" s="37"/>
      <c r="B107" s="78"/>
      <c r="C107" s="70"/>
      <c r="D107" s="37"/>
      <c r="E107" s="70"/>
      <c r="F107" s="70"/>
      <c r="G107" s="37"/>
      <c r="H107" s="86"/>
      <c r="I107" s="70"/>
      <c r="J107" s="37"/>
      <c r="K107" s="70"/>
      <c r="L107" s="70"/>
      <c r="M107" s="70"/>
      <c r="N107" s="70"/>
      <c r="O107" s="70"/>
    </row>
    <row r="108" spans="1:15" x14ac:dyDescent="0.25">
      <c r="A108" s="37"/>
      <c r="B108" s="78"/>
      <c r="C108" s="70"/>
      <c r="D108" s="37"/>
      <c r="E108" s="70"/>
      <c r="F108" s="70"/>
      <c r="G108" s="37"/>
      <c r="H108" s="86"/>
      <c r="I108" s="70"/>
      <c r="J108" s="37"/>
      <c r="K108" s="70"/>
      <c r="L108" s="70"/>
      <c r="M108" s="70"/>
      <c r="N108" s="70"/>
      <c r="O108" s="70"/>
    </row>
    <row r="109" spans="1:15" x14ac:dyDescent="0.25">
      <c r="A109" s="37"/>
      <c r="B109" s="78"/>
      <c r="C109" s="70"/>
      <c r="D109" s="37"/>
      <c r="E109" s="70"/>
      <c r="F109" s="70"/>
      <c r="G109" s="37"/>
      <c r="H109" s="86"/>
      <c r="I109" s="70"/>
      <c r="J109" s="37"/>
      <c r="K109" s="70"/>
      <c r="L109" s="70"/>
      <c r="M109" s="70"/>
      <c r="N109" s="70"/>
      <c r="O109" s="70"/>
    </row>
    <row r="110" spans="1:15" x14ac:dyDescent="0.25">
      <c r="A110" s="37"/>
      <c r="B110" s="78"/>
      <c r="C110" s="70"/>
      <c r="D110" s="37"/>
      <c r="E110" s="70"/>
      <c r="F110" s="70"/>
      <c r="G110" s="37"/>
      <c r="H110" s="86"/>
      <c r="I110" s="70"/>
      <c r="J110" s="37"/>
      <c r="K110" s="70"/>
      <c r="L110" s="70"/>
      <c r="M110" s="70"/>
      <c r="N110" s="70"/>
      <c r="O110" s="70"/>
    </row>
    <row r="111" spans="1:15" x14ac:dyDescent="0.25">
      <c r="A111" s="37"/>
      <c r="B111" s="78"/>
      <c r="C111" s="70"/>
      <c r="D111" s="37"/>
      <c r="E111" s="70"/>
      <c r="F111" s="70"/>
      <c r="G111" s="37"/>
      <c r="H111" s="86"/>
      <c r="I111" s="70"/>
      <c r="J111" s="37"/>
      <c r="K111" s="70"/>
      <c r="L111" s="70"/>
      <c r="M111" s="70"/>
      <c r="N111" s="70"/>
      <c r="O111" s="70"/>
    </row>
    <row r="112" spans="1:15" x14ac:dyDescent="0.25">
      <c r="A112" s="37"/>
      <c r="B112" s="78"/>
      <c r="C112" s="70"/>
      <c r="D112" s="37"/>
      <c r="E112" s="70"/>
      <c r="F112" s="70"/>
      <c r="G112" s="37"/>
      <c r="H112" s="86"/>
      <c r="I112" s="70"/>
      <c r="J112" s="37"/>
      <c r="K112" s="70"/>
      <c r="L112" s="70"/>
      <c r="M112" s="70"/>
      <c r="N112" s="70"/>
      <c r="O112" s="70"/>
    </row>
    <row r="113" spans="1:15" x14ac:dyDescent="0.25">
      <c r="A113" s="37"/>
      <c r="B113" s="78"/>
      <c r="C113" s="70"/>
      <c r="D113" s="37"/>
      <c r="E113" s="70"/>
      <c r="F113" s="70"/>
      <c r="G113" s="37"/>
      <c r="H113" s="86"/>
      <c r="I113" s="70"/>
      <c r="J113" s="37"/>
      <c r="K113" s="70"/>
      <c r="L113" s="70"/>
      <c r="M113" s="70"/>
      <c r="N113" s="70"/>
      <c r="O113" s="70"/>
    </row>
    <row r="114" spans="1:15" x14ac:dyDescent="0.25">
      <c r="A114" s="37"/>
      <c r="B114" s="78"/>
      <c r="C114" s="70"/>
      <c r="D114" s="37"/>
      <c r="E114" s="70"/>
      <c r="F114" s="70"/>
      <c r="G114" s="37"/>
      <c r="H114" s="86"/>
      <c r="I114" s="70"/>
      <c r="J114" s="37"/>
      <c r="K114" s="70"/>
      <c r="L114" s="70"/>
      <c r="M114" s="70"/>
      <c r="N114" s="70"/>
      <c r="O114" s="70"/>
    </row>
    <row r="115" spans="1:15" x14ac:dyDescent="0.25">
      <c r="A115" s="37"/>
      <c r="B115" s="78"/>
      <c r="C115" s="70"/>
      <c r="D115" s="37"/>
      <c r="E115" s="70"/>
      <c r="F115" s="70"/>
      <c r="G115" s="37"/>
      <c r="H115" s="86"/>
      <c r="I115" s="70"/>
      <c r="J115" s="37"/>
      <c r="K115" s="70"/>
      <c r="L115" s="70"/>
      <c r="M115" s="70"/>
      <c r="N115" s="70"/>
      <c r="O115" s="70"/>
    </row>
    <row r="116" spans="1:15" x14ac:dyDescent="0.25">
      <c r="A116" s="37"/>
      <c r="B116" s="78"/>
      <c r="C116" s="70"/>
      <c r="D116" s="37"/>
      <c r="E116" s="70"/>
      <c r="F116" s="70"/>
      <c r="G116" s="37"/>
      <c r="H116" s="86"/>
      <c r="I116" s="70"/>
      <c r="J116" s="37"/>
      <c r="K116" s="70"/>
      <c r="L116" s="70"/>
      <c r="M116" s="70"/>
      <c r="N116" s="70"/>
      <c r="O116" s="70"/>
    </row>
    <row r="117" spans="1:15" x14ac:dyDescent="0.25">
      <c r="A117" s="37"/>
      <c r="B117" s="78"/>
      <c r="C117" s="70"/>
      <c r="D117" s="37"/>
      <c r="E117" s="70"/>
      <c r="F117" s="70"/>
      <c r="G117" s="37"/>
      <c r="H117" s="86"/>
      <c r="I117" s="70"/>
      <c r="J117" s="37"/>
      <c r="K117" s="70"/>
      <c r="L117" s="70"/>
      <c r="M117" s="70"/>
      <c r="N117" s="70"/>
      <c r="O117" s="70"/>
    </row>
    <row r="118" spans="1:15" x14ac:dyDescent="0.25">
      <c r="A118" s="37"/>
      <c r="B118" s="78"/>
      <c r="C118" s="70"/>
      <c r="D118" s="37"/>
      <c r="E118" s="70"/>
      <c r="F118" s="70"/>
      <c r="G118" s="37"/>
      <c r="H118" s="86"/>
      <c r="I118" s="70"/>
      <c r="J118" s="37"/>
      <c r="K118" s="70"/>
      <c r="L118" s="70"/>
      <c r="M118" s="70"/>
      <c r="N118" s="70"/>
      <c r="O118" s="70"/>
    </row>
    <row r="119" spans="1:15" x14ac:dyDescent="0.25">
      <c r="A119" s="37"/>
      <c r="B119" s="78"/>
      <c r="C119" s="70"/>
      <c r="D119" s="37"/>
      <c r="E119" s="70"/>
      <c r="F119" s="70"/>
      <c r="G119" s="37"/>
      <c r="H119" s="86"/>
      <c r="I119" s="70"/>
      <c r="J119" s="37"/>
      <c r="K119" s="70"/>
      <c r="L119" s="70"/>
      <c r="M119" s="70"/>
      <c r="N119" s="70"/>
      <c r="O119" s="70"/>
    </row>
    <row r="120" spans="1:15" x14ac:dyDescent="0.25">
      <c r="A120" s="37"/>
      <c r="B120" s="78"/>
      <c r="C120" s="70"/>
      <c r="D120" s="37"/>
      <c r="E120" s="70"/>
      <c r="F120" s="70"/>
      <c r="G120" s="37"/>
      <c r="H120" s="86"/>
      <c r="I120" s="70"/>
      <c r="J120" s="37"/>
      <c r="K120" s="70"/>
      <c r="L120" s="70"/>
      <c r="M120" s="70"/>
      <c r="N120" s="70"/>
      <c r="O120" s="70"/>
    </row>
    <row r="121" spans="1:15" x14ac:dyDescent="0.25">
      <c r="A121" s="37"/>
      <c r="B121" s="78"/>
      <c r="C121" s="70"/>
      <c r="D121" s="37"/>
      <c r="E121" s="70"/>
      <c r="F121" s="70"/>
      <c r="G121" s="37"/>
      <c r="H121" s="86"/>
      <c r="I121" s="70"/>
      <c r="J121" s="37"/>
      <c r="K121" s="70"/>
      <c r="L121" s="70"/>
      <c r="M121" s="70"/>
      <c r="N121" s="70"/>
      <c r="O121" s="70"/>
    </row>
    <row r="122" spans="1:15" x14ac:dyDescent="0.25">
      <c r="A122" s="37"/>
      <c r="B122" s="78"/>
      <c r="C122" s="70"/>
      <c r="D122" s="37"/>
      <c r="E122" s="70"/>
      <c r="F122" s="70"/>
      <c r="G122" s="37"/>
      <c r="H122" s="86"/>
      <c r="I122" s="70"/>
      <c r="J122" s="37"/>
      <c r="K122" s="70"/>
      <c r="L122" s="70"/>
      <c r="M122" s="70"/>
      <c r="N122" s="70"/>
      <c r="O122" s="70"/>
    </row>
    <row r="123" spans="1:15" x14ac:dyDescent="0.25">
      <c r="A123" s="37"/>
      <c r="B123" s="78"/>
      <c r="C123" s="70"/>
      <c r="D123" s="37"/>
      <c r="E123" s="70"/>
      <c r="F123" s="70"/>
      <c r="G123" s="37"/>
      <c r="H123" s="70"/>
      <c r="I123" s="70"/>
      <c r="J123" s="37"/>
      <c r="K123" s="70"/>
      <c r="L123" s="70"/>
      <c r="M123" s="70"/>
      <c r="N123" s="70"/>
      <c r="O123" s="70"/>
    </row>
    <row r="124" spans="1:15" x14ac:dyDescent="0.25">
      <c r="A124" s="37"/>
      <c r="B124" s="78"/>
      <c r="C124" s="70"/>
      <c r="D124" s="37"/>
      <c r="E124" s="70"/>
      <c r="F124" s="70"/>
      <c r="G124" s="37"/>
      <c r="H124" s="70"/>
      <c r="I124" s="70"/>
      <c r="J124" s="37"/>
      <c r="K124" s="70"/>
      <c r="L124" s="70"/>
      <c r="M124" s="70"/>
      <c r="N124" s="70"/>
      <c r="O124" s="70"/>
    </row>
    <row r="125" spans="1:15" x14ac:dyDescent="0.25">
      <c r="A125" s="37"/>
      <c r="B125" s="78"/>
      <c r="C125" s="70"/>
      <c r="D125" s="37"/>
      <c r="E125" s="70"/>
      <c r="F125" s="70"/>
      <c r="G125" s="37"/>
      <c r="H125" s="70"/>
      <c r="I125" s="70"/>
      <c r="J125" s="37"/>
      <c r="K125" s="70"/>
      <c r="L125" s="70"/>
      <c r="M125" s="70"/>
      <c r="N125" s="70"/>
      <c r="O125" s="70"/>
    </row>
    <row r="126" spans="1:15" x14ac:dyDescent="0.25">
      <c r="A126" s="37"/>
      <c r="B126" s="78"/>
      <c r="C126" s="70"/>
      <c r="D126" s="37"/>
      <c r="E126" s="70"/>
      <c r="F126" s="70"/>
      <c r="G126" s="37"/>
      <c r="H126" s="70"/>
      <c r="I126" s="70"/>
      <c r="J126" s="37"/>
      <c r="K126" s="70"/>
      <c r="L126" s="70"/>
      <c r="M126" s="70"/>
      <c r="N126" s="70"/>
      <c r="O126" s="70"/>
    </row>
    <row r="127" spans="1:15" x14ac:dyDescent="0.25">
      <c r="A127" s="37"/>
      <c r="B127" s="78"/>
      <c r="C127" s="70"/>
      <c r="D127" s="37"/>
      <c r="E127" s="70"/>
      <c r="F127" s="70"/>
      <c r="G127" s="37"/>
      <c r="H127" s="70"/>
      <c r="I127" s="70"/>
      <c r="J127" s="37"/>
      <c r="K127" s="70"/>
      <c r="L127" s="70"/>
      <c r="M127" s="70"/>
      <c r="N127" s="70"/>
      <c r="O127" s="70"/>
    </row>
    <row r="128" spans="1:15" x14ac:dyDescent="0.25">
      <c r="A128" s="37"/>
      <c r="B128" s="78"/>
      <c r="C128" s="70"/>
      <c r="D128" s="37"/>
      <c r="E128" s="70"/>
      <c r="F128" s="70"/>
      <c r="G128" s="37"/>
      <c r="H128" s="70"/>
      <c r="I128" s="70"/>
      <c r="J128" s="37"/>
      <c r="K128" s="70"/>
      <c r="L128" s="70"/>
      <c r="M128" s="70"/>
      <c r="N128" s="70"/>
      <c r="O128" s="70"/>
    </row>
    <row r="129" spans="1:15" x14ac:dyDescent="0.25">
      <c r="A129" s="37"/>
      <c r="B129" s="78"/>
      <c r="C129" s="70"/>
      <c r="D129" s="37"/>
      <c r="E129" s="70"/>
      <c r="F129" s="70"/>
      <c r="G129" s="37"/>
      <c r="H129" s="70"/>
      <c r="I129" s="70"/>
      <c r="J129" s="37"/>
      <c r="K129" s="70"/>
      <c r="L129" s="70"/>
      <c r="M129" s="70"/>
      <c r="N129" s="70"/>
      <c r="O129" s="70"/>
    </row>
    <row r="130" spans="1:15" x14ac:dyDescent="0.25">
      <c r="A130" s="37"/>
      <c r="B130" s="78"/>
      <c r="C130" s="70"/>
      <c r="D130" s="37"/>
      <c r="E130" s="70"/>
      <c r="F130" s="70"/>
      <c r="G130" s="37"/>
      <c r="H130" s="70"/>
      <c r="I130" s="70"/>
      <c r="J130" s="37"/>
      <c r="K130" s="70"/>
      <c r="L130" s="70"/>
      <c r="M130" s="70"/>
      <c r="N130" s="70"/>
      <c r="O130" s="70"/>
    </row>
    <row r="131" spans="1:15" x14ac:dyDescent="0.25">
      <c r="A131" s="37"/>
      <c r="B131" s="78"/>
      <c r="C131" s="70"/>
      <c r="D131" s="37"/>
      <c r="E131" s="70"/>
      <c r="F131" s="70"/>
      <c r="G131" s="37"/>
      <c r="H131" s="70"/>
      <c r="I131" s="70"/>
      <c r="J131" s="37"/>
      <c r="K131" s="70"/>
      <c r="L131" s="70"/>
      <c r="M131" s="70"/>
      <c r="N131" s="70"/>
      <c r="O131" s="70"/>
    </row>
    <row r="132" spans="1:15" x14ac:dyDescent="0.25">
      <c r="A132" s="37"/>
      <c r="B132" s="78"/>
      <c r="C132" s="70"/>
      <c r="D132" s="37"/>
      <c r="E132" s="70"/>
      <c r="F132" s="70"/>
      <c r="G132" s="37"/>
      <c r="H132" s="70"/>
      <c r="I132" s="70"/>
      <c r="J132" s="37"/>
      <c r="K132" s="70"/>
      <c r="L132" s="70"/>
      <c r="M132" s="70"/>
      <c r="N132" s="70"/>
      <c r="O132" s="70"/>
    </row>
    <row r="133" spans="1:15" x14ac:dyDescent="0.25">
      <c r="A133" s="37"/>
      <c r="B133" s="78"/>
      <c r="C133" s="70"/>
      <c r="D133" s="37"/>
      <c r="E133" s="70"/>
      <c r="F133" s="70"/>
      <c r="G133" s="37"/>
      <c r="H133" s="70"/>
      <c r="I133" s="70"/>
      <c r="J133" s="37"/>
      <c r="K133" s="70"/>
      <c r="L133" s="70"/>
      <c r="M133" s="70"/>
      <c r="N133" s="70"/>
      <c r="O133" s="70"/>
    </row>
    <row r="134" spans="1:15" x14ac:dyDescent="0.25">
      <c r="A134" s="37"/>
      <c r="B134" s="78"/>
      <c r="C134" s="70"/>
      <c r="D134" s="37"/>
      <c r="E134" s="70"/>
      <c r="F134" s="70"/>
      <c r="G134" s="37"/>
      <c r="H134" s="70"/>
      <c r="I134" s="70"/>
      <c r="J134" s="37"/>
      <c r="K134" s="70"/>
      <c r="L134" s="70"/>
      <c r="M134" s="70"/>
      <c r="N134" s="70"/>
      <c r="O134" s="70"/>
    </row>
    <row r="135" spans="1:15" x14ac:dyDescent="0.25">
      <c r="A135" s="37"/>
      <c r="B135" s="78"/>
      <c r="C135" s="70"/>
      <c r="D135" s="37"/>
      <c r="E135" s="70"/>
      <c r="F135" s="70"/>
      <c r="G135" s="37"/>
      <c r="H135" s="70"/>
      <c r="I135" s="70"/>
      <c r="J135" s="37"/>
      <c r="K135" s="70"/>
      <c r="L135" s="70"/>
      <c r="M135" s="70"/>
      <c r="N135" s="70"/>
      <c r="O135" s="70"/>
    </row>
    <row r="136" spans="1:15" x14ac:dyDescent="0.25">
      <c r="A136" s="37"/>
      <c r="B136" s="78"/>
      <c r="C136" s="70"/>
      <c r="D136" s="37"/>
      <c r="E136" s="70"/>
      <c r="F136" s="70"/>
      <c r="G136" s="37"/>
      <c r="H136" s="70"/>
      <c r="I136" s="70"/>
      <c r="J136" s="37"/>
      <c r="K136" s="70"/>
      <c r="L136" s="70"/>
      <c r="M136" s="70"/>
      <c r="N136" s="70"/>
      <c r="O136" s="70"/>
    </row>
    <row r="137" spans="1:15" x14ac:dyDescent="0.25">
      <c r="A137" s="37"/>
      <c r="B137" s="78"/>
      <c r="C137" s="70"/>
      <c r="D137" s="37"/>
      <c r="E137" s="70"/>
      <c r="F137" s="70"/>
      <c r="G137" s="37"/>
      <c r="H137" s="70"/>
      <c r="I137" s="70"/>
      <c r="J137" s="37"/>
      <c r="K137" s="70"/>
      <c r="L137" s="70"/>
      <c r="M137" s="70"/>
      <c r="N137" s="70"/>
      <c r="O137" s="70"/>
    </row>
    <row r="138" spans="1:15" x14ac:dyDescent="0.25">
      <c r="A138" s="37"/>
      <c r="B138" s="78"/>
      <c r="C138" s="70"/>
      <c r="D138" s="37"/>
      <c r="E138" s="70"/>
      <c r="F138" s="70"/>
      <c r="G138" s="37"/>
      <c r="H138" s="70"/>
      <c r="I138" s="70"/>
      <c r="J138" s="37"/>
      <c r="K138" s="70"/>
      <c r="L138" s="70"/>
      <c r="M138" s="70"/>
      <c r="N138" s="70"/>
      <c r="O138" s="70"/>
    </row>
    <row r="139" spans="1:15" x14ac:dyDescent="0.25">
      <c r="A139" s="37"/>
      <c r="B139" s="78"/>
      <c r="C139" s="70"/>
      <c r="D139" s="37"/>
      <c r="E139" s="70"/>
      <c r="F139" s="70"/>
      <c r="G139" s="37"/>
      <c r="H139" s="70"/>
      <c r="I139" s="70"/>
      <c r="J139" s="37"/>
      <c r="K139" s="70"/>
      <c r="L139" s="70"/>
      <c r="M139" s="70"/>
      <c r="N139" s="70"/>
      <c r="O139" s="70"/>
    </row>
    <row r="140" spans="1:15" x14ac:dyDescent="0.25">
      <c r="A140" s="37"/>
      <c r="B140" s="78"/>
      <c r="C140" s="70"/>
      <c r="D140" s="37"/>
      <c r="E140" s="70"/>
      <c r="F140" s="70"/>
      <c r="G140" s="37"/>
      <c r="H140" s="70"/>
      <c r="I140" s="70"/>
      <c r="J140" s="37"/>
      <c r="K140" s="70"/>
      <c r="L140" s="70"/>
      <c r="M140" s="70"/>
      <c r="N140" s="70"/>
      <c r="O140" s="70"/>
    </row>
    <row r="141" spans="1:15" x14ac:dyDescent="0.25">
      <c r="A141" s="37"/>
      <c r="B141" s="78"/>
      <c r="C141" s="70"/>
      <c r="D141" s="37"/>
      <c r="E141" s="70"/>
      <c r="F141" s="70"/>
      <c r="G141" s="37"/>
      <c r="H141" s="70"/>
      <c r="I141" s="70"/>
      <c r="J141" s="37"/>
      <c r="K141" s="70"/>
      <c r="L141" s="70"/>
      <c r="M141" s="70"/>
      <c r="N141" s="70"/>
      <c r="O141" s="70"/>
    </row>
    <row r="142" spans="1:15" x14ac:dyDescent="0.25">
      <c r="A142" s="37"/>
      <c r="B142" s="78"/>
      <c r="C142" s="70"/>
      <c r="D142" s="37"/>
      <c r="E142" s="70"/>
      <c r="F142" s="70"/>
      <c r="G142" s="37"/>
      <c r="H142" s="70"/>
      <c r="I142" s="70"/>
      <c r="J142" s="37"/>
      <c r="K142" s="70"/>
      <c r="L142" s="70"/>
      <c r="M142" s="70"/>
      <c r="N142" s="70"/>
      <c r="O142" s="70"/>
    </row>
    <row r="143" spans="1:15" x14ac:dyDescent="0.25">
      <c r="A143" s="37"/>
      <c r="B143" s="78"/>
      <c r="C143" s="70"/>
      <c r="D143" s="37"/>
      <c r="E143" s="70"/>
      <c r="F143" s="70"/>
      <c r="G143" s="37"/>
      <c r="H143" s="70"/>
      <c r="I143" s="70"/>
      <c r="J143" s="37"/>
      <c r="K143" s="70"/>
      <c r="L143" s="70"/>
      <c r="M143" s="70"/>
      <c r="N143" s="70"/>
      <c r="O143" s="70"/>
    </row>
    <row r="144" spans="1:15" x14ac:dyDescent="0.25">
      <c r="A144" s="37"/>
      <c r="B144" s="78"/>
      <c r="C144" s="70"/>
      <c r="D144" s="37"/>
      <c r="E144" s="70"/>
      <c r="F144" s="70"/>
      <c r="G144" s="37"/>
      <c r="H144" s="70"/>
      <c r="I144" s="70"/>
      <c r="J144" s="37"/>
      <c r="K144" s="70"/>
      <c r="L144" s="70"/>
      <c r="M144" s="70"/>
      <c r="N144" s="70"/>
      <c r="O144" s="70"/>
    </row>
    <row r="145" spans="1:15" x14ac:dyDescent="0.25">
      <c r="A145" s="37"/>
      <c r="B145" s="78"/>
      <c r="C145" s="70"/>
      <c r="D145" s="37"/>
      <c r="E145" s="70"/>
      <c r="F145" s="70"/>
      <c r="G145" s="37"/>
      <c r="H145" s="70"/>
      <c r="I145" s="70"/>
      <c r="J145" s="37"/>
      <c r="K145" s="70"/>
      <c r="L145" s="70"/>
      <c r="M145" s="70"/>
      <c r="N145" s="70"/>
      <c r="O145" s="70"/>
    </row>
    <row r="146" spans="1:15" x14ac:dyDescent="0.25">
      <c r="A146" s="37"/>
      <c r="B146" s="78"/>
      <c r="C146" s="70"/>
      <c r="D146" s="37"/>
      <c r="E146" s="70"/>
      <c r="F146" s="70"/>
      <c r="G146" s="37"/>
      <c r="H146" s="70"/>
      <c r="I146" s="70"/>
      <c r="J146" s="37"/>
      <c r="K146" s="70"/>
      <c r="L146" s="70"/>
      <c r="M146" s="70"/>
      <c r="N146" s="70"/>
      <c r="O146" s="70"/>
    </row>
    <row r="147" spans="1:15" x14ac:dyDescent="0.25">
      <c r="A147" s="37"/>
      <c r="B147" s="78"/>
      <c r="C147" s="70"/>
      <c r="D147" s="37"/>
      <c r="E147" s="70"/>
      <c r="F147" s="70"/>
      <c r="G147" s="37"/>
      <c r="H147" s="70"/>
      <c r="I147" s="70"/>
      <c r="J147" s="37"/>
      <c r="K147" s="70"/>
      <c r="L147" s="70"/>
      <c r="M147" s="70"/>
      <c r="N147" s="70"/>
      <c r="O147" s="70"/>
    </row>
    <row r="148" spans="1:15" x14ac:dyDescent="0.25">
      <c r="A148" s="37"/>
      <c r="B148" s="78"/>
      <c r="C148" s="70"/>
      <c r="D148" s="37"/>
      <c r="E148" s="70"/>
      <c r="F148" s="70"/>
      <c r="G148" s="37"/>
      <c r="H148" s="70"/>
      <c r="I148" s="70"/>
      <c r="J148" s="37"/>
      <c r="K148" s="70"/>
      <c r="L148" s="70"/>
      <c r="M148" s="70"/>
      <c r="N148" s="70"/>
      <c r="O148" s="70"/>
    </row>
    <row r="149" spans="1:15" x14ac:dyDescent="0.25">
      <c r="A149" s="37"/>
      <c r="B149" s="78"/>
      <c r="C149" s="70"/>
      <c r="D149" s="37"/>
      <c r="E149" s="70"/>
      <c r="F149" s="70"/>
      <c r="G149" s="37"/>
      <c r="H149" s="70"/>
      <c r="I149" s="70"/>
      <c r="J149" s="37"/>
      <c r="K149" s="70"/>
      <c r="L149" s="70"/>
      <c r="M149" s="70"/>
      <c r="N149" s="70"/>
      <c r="O149" s="70"/>
    </row>
    <row r="150" spans="1:15" x14ac:dyDescent="0.25">
      <c r="A150" s="37"/>
      <c r="B150" s="78"/>
      <c r="C150" s="70"/>
      <c r="D150" s="37"/>
      <c r="E150" s="70"/>
      <c r="F150" s="70"/>
      <c r="G150" s="37"/>
      <c r="H150" s="70"/>
      <c r="I150" s="70"/>
      <c r="J150" s="37"/>
      <c r="K150" s="70"/>
      <c r="L150" s="70"/>
      <c r="M150" s="70"/>
      <c r="N150" s="70"/>
      <c r="O150" s="70"/>
    </row>
    <row r="151" spans="1:15" x14ac:dyDescent="0.25">
      <c r="A151" s="37"/>
      <c r="B151" s="78"/>
      <c r="C151" s="70"/>
      <c r="D151" s="37"/>
      <c r="E151" s="70"/>
      <c r="F151" s="70"/>
      <c r="G151" s="37"/>
      <c r="H151" s="70"/>
      <c r="I151" s="70"/>
      <c r="J151" s="37"/>
      <c r="K151" s="70"/>
      <c r="L151" s="70"/>
      <c r="M151" s="70"/>
      <c r="N151" s="70"/>
      <c r="O151" s="70"/>
    </row>
    <row r="152" spans="1:15" x14ac:dyDescent="0.25">
      <c r="A152" s="37"/>
      <c r="B152" s="78"/>
      <c r="C152" s="70"/>
      <c r="D152" s="37"/>
      <c r="E152" s="70"/>
      <c r="F152" s="70"/>
      <c r="G152" s="37"/>
      <c r="H152" s="70"/>
      <c r="I152" s="70"/>
      <c r="J152" s="37"/>
      <c r="K152" s="70"/>
      <c r="L152" s="70"/>
      <c r="M152" s="70"/>
      <c r="N152" s="70"/>
      <c r="O152" s="70"/>
    </row>
    <row r="153" spans="1:15" x14ac:dyDescent="0.25">
      <c r="A153" s="37"/>
      <c r="B153" s="78"/>
      <c r="C153" s="70"/>
      <c r="D153" s="37"/>
      <c r="E153" s="70"/>
      <c r="F153" s="70"/>
      <c r="G153" s="37"/>
      <c r="H153" s="70"/>
      <c r="I153" s="70"/>
      <c r="J153" s="37"/>
      <c r="K153" s="70"/>
      <c r="L153" s="70"/>
      <c r="M153" s="70"/>
      <c r="N153" s="70"/>
      <c r="O153" s="70"/>
    </row>
    <row r="154" spans="1:15" x14ac:dyDescent="0.25">
      <c r="A154" s="37"/>
      <c r="B154" s="78"/>
      <c r="C154" s="70"/>
      <c r="D154" s="37"/>
      <c r="E154" s="70"/>
      <c r="F154" s="70"/>
      <c r="G154" s="37"/>
      <c r="H154" s="70"/>
      <c r="I154" s="70"/>
      <c r="J154" s="37"/>
      <c r="K154" s="70"/>
      <c r="L154" s="70"/>
      <c r="M154" s="70"/>
      <c r="N154" s="70"/>
      <c r="O154" s="70"/>
    </row>
    <row r="155" spans="1:15" x14ac:dyDescent="0.25">
      <c r="A155" s="37"/>
      <c r="B155" s="78"/>
      <c r="C155" s="70"/>
      <c r="D155" s="37"/>
      <c r="E155" s="70"/>
      <c r="F155" s="70"/>
      <c r="G155" s="37"/>
      <c r="H155" s="70"/>
      <c r="I155" s="70"/>
      <c r="J155" s="37"/>
      <c r="K155" s="70"/>
      <c r="L155" s="70"/>
      <c r="M155" s="70"/>
      <c r="N155" s="70"/>
      <c r="O155" s="70"/>
    </row>
    <row r="156" spans="1:15" x14ac:dyDescent="0.25">
      <c r="A156" s="37"/>
      <c r="B156" s="78"/>
      <c r="C156" s="70"/>
      <c r="D156" s="37"/>
      <c r="E156" s="70"/>
      <c r="F156" s="70"/>
      <c r="G156" s="37"/>
      <c r="H156" s="70"/>
      <c r="I156" s="70"/>
      <c r="J156" s="37"/>
      <c r="K156" s="70"/>
      <c r="L156" s="70"/>
      <c r="M156" s="70"/>
      <c r="N156" s="70"/>
      <c r="O156" s="70"/>
    </row>
    <row r="157" spans="1:15" x14ac:dyDescent="0.25">
      <c r="A157" s="37"/>
      <c r="B157" s="78"/>
      <c r="C157" s="70"/>
      <c r="D157" s="37"/>
      <c r="E157" s="70"/>
      <c r="F157" s="70"/>
      <c r="G157" s="37"/>
      <c r="H157" s="70"/>
      <c r="I157" s="70"/>
      <c r="J157" s="37"/>
      <c r="K157" s="70"/>
      <c r="L157" s="70"/>
      <c r="M157" s="70"/>
      <c r="N157" s="70"/>
      <c r="O157" s="70"/>
    </row>
    <row r="158" spans="1:15" x14ac:dyDescent="0.25">
      <c r="A158" s="37"/>
      <c r="B158" s="78"/>
      <c r="C158" s="70"/>
      <c r="D158" s="37"/>
      <c r="E158" s="70"/>
      <c r="F158" s="70"/>
      <c r="G158" s="37"/>
      <c r="H158" s="70"/>
      <c r="I158" s="70"/>
      <c r="J158" s="37"/>
      <c r="K158" s="70"/>
      <c r="L158" s="70"/>
      <c r="M158" s="70"/>
      <c r="N158" s="70"/>
      <c r="O158" s="70"/>
    </row>
    <row r="159" spans="1:15" x14ac:dyDescent="0.25">
      <c r="A159" s="37"/>
      <c r="B159" s="78"/>
      <c r="C159" s="70"/>
      <c r="D159" s="37"/>
      <c r="E159" s="70"/>
      <c r="F159" s="70"/>
      <c r="G159" s="37"/>
      <c r="H159" s="70"/>
      <c r="I159" s="70"/>
      <c r="J159" s="37"/>
      <c r="K159" s="70"/>
      <c r="L159" s="70"/>
      <c r="M159" s="70"/>
      <c r="N159" s="70"/>
      <c r="O159" s="70"/>
    </row>
    <row r="160" spans="1:15" x14ac:dyDescent="0.25">
      <c r="A160" s="37"/>
      <c r="B160" s="78"/>
      <c r="C160" s="70"/>
      <c r="D160" s="37"/>
      <c r="E160" s="70"/>
      <c r="F160" s="70"/>
      <c r="G160" s="37"/>
      <c r="H160" s="70"/>
      <c r="I160" s="70"/>
      <c r="J160" s="37"/>
      <c r="K160" s="70"/>
      <c r="L160" s="70"/>
      <c r="M160" s="70"/>
      <c r="N160" s="70"/>
      <c r="O160" s="70"/>
    </row>
    <row r="161" spans="1:15" x14ac:dyDescent="0.25">
      <c r="A161" s="37"/>
      <c r="B161" s="78"/>
      <c r="C161" s="70"/>
      <c r="D161" s="37"/>
      <c r="E161" s="70"/>
      <c r="F161" s="70"/>
      <c r="G161" s="37"/>
      <c r="H161" s="70"/>
      <c r="I161" s="70"/>
      <c r="J161" s="37"/>
      <c r="K161" s="70"/>
      <c r="L161" s="70"/>
      <c r="M161" s="70"/>
      <c r="N161" s="70"/>
      <c r="O161" s="70"/>
    </row>
    <row r="162" spans="1:15" x14ac:dyDescent="0.25">
      <c r="A162" s="37"/>
      <c r="B162" s="78"/>
      <c r="C162" s="70"/>
      <c r="D162" s="37"/>
      <c r="E162" s="70"/>
      <c r="F162" s="70"/>
      <c r="G162" s="37"/>
      <c r="H162" s="70"/>
      <c r="I162" s="70"/>
      <c r="J162" s="37"/>
      <c r="K162" s="70"/>
      <c r="L162" s="70"/>
      <c r="M162" s="70"/>
      <c r="N162" s="70"/>
      <c r="O162" s="70"/>
    </row>
    <row r="163" spans="1:15" x14ac:dyDescent="0.25">
      <c r="A163" s="37"/>
      <c r="B163" s="78"/>
      <c r="C163" s="70"/>
      <c r="D163" s="37"/>
      <c r="E163" s="70"/>
      <c r="F163" s="70"/>
      <c r="G163" s="37"/>
      <c r="H163" s="70"/>
      <c r="I163" s="70"/>
      <c r="J163" s="37"/>
      <c r="K163" s="70"/>
      <c r="L163" s="70"/>
      <c r="M163" s="70"/>
      <c r="N163" s="70"/>
      <c r="O163" s="70"/>
    </row>
    <row r="164" spans="1:15" x14ac:dyDescent="0.25">
      <c r="A164" s="37"/>
      <c r="B164" s="78"/>
      <c r="C164" s="70"/>
      <c r="D164" s="37"/>
      <c r="E164" s="70"/>
      <c r="F164" s="70"/>
      <c r="G164" s="37"/>
      <c r="H164" s="70"/>
      <c r="I164" s="70"/>
      <c r="J164" s="37"/>
      <c r="K164" s="70"/>
      <c r="L164" s="70"/>
      <c r="M164" s="70"/>
      <c r="N164" s="70"/>
      <c r="O164" s="70"/>
    </row>
    <row r="165" spans="1:15" x14ac:dyDescent="0.25">
      <c r="A165" s="37"/>
      <c r="B165" s="78"/>
      <c r="C165" s="70"/>
      <c r="D165" s="37"/>
      <c r="E165" s="70"/>
      <c r="F165" s="70"/>
      <c r="G165" s="37"/>
      <c r="H165" s="70"/>
      <c r="I165" s="70"/>
      <c r="J165" s="37"/>
      <c r="K165" s="70"/>
      <c r="L165" s="70"/>
      <c r="M165" s="70"/>
      <c r="N165" s="70"/>
      <c r="O165" s="70"/>
    </row>
    <row r="166" spans="1:15" x14ac:dyDescent="0.25">
      <c r="A166" s="37"/>
      <c r="B166" s="78"/>
      <c r="C166" s="70"/>
      <c r="D166" s="37"/>
      <c r="E166" s="70"/>
      <c r="F166" s="70"/>
      <c r="G166" s="37"/>
      <c r="H166" s="70"/>
      <c r="I166" s="70"/>
      <c r="J166" s="37"/>
      <c r="K166" s="70"/>
      <c r="L166" s="70"/>
      <c r="M166" s="70"/>
      <c r="N166" s="70"/>
      <c r="O166" s="70"/>
    </row>
    <row r="167" spans="1:15" x14ac:dyDescent="0.25">
      <c r="A167" s="37"/>
      <c r="B167" s="78"/>
      <c r="C167" s="70"/>
      <c r="D167" s="37"/>
      <c r="E167" s="70"/>
      <c r="F167" s="70"/>
      <c r="G167" s="37"/>
      <c r="H167" s="70"/>
      <c r="I167" s="70"/>
      <c r="J167" s="37"/>
      <c r="K167" s="70"/>
      <c r="L167" s="70"/>
      <c r="M167" s="70"/>
      <c r="N167" s="70"/>
      <c r="O167" s="70"/>
    </row>
    <row r="168" spans="1:15" x14ac:dyDescent="0.25">
      <c r="A168" s="37"/>
      <c r="B168" s="78"/>
      <c r="C168" s="70"/>
      <c r="D168" s="37"/>
      <c r="E168" s="70"/>
      <c r="F168" s="70"/>
      <c r="G168" s="37"/>
      <c r="H168" s="70"/>
      <c r="I168" s="70"/>
      <c r="J168" s="37"/>
      <c r="K168" s="70"/>
      <c r="L168" s="70"/>
      <c r="M168" s="70"/>
      <c r="N168" s="70"/>
      <c r="O168" s="70"/>
    </row>
    <row r="169" spans="1:15" x14ac:dyDescent="0.25">
      <c r="A169" s="37"/>
      <c r="B169" s="78"/>
      <c r="C169" s="70"/>
      <c r="D169" s="37"/>
      <c r="E169" s="70"/>
      <c r="F169" s="70"/>
      <c r="G169" s="37"/>
      <c r="H169" s="70"/>
      <c r="I169" s="70"/>
      <c r="J169" s="37"/>
      <c r="K169" s="70"/>
      <c r="L169" s="70"/>
      <c r="M169" s="70"/>
      <c r="N169" s="70"/>
      <c r="O169" s="70"/>
    </row>
    <row r="170" spans="1:15" x14ac:dyDescent="0.25">
      <c r="A170" s="37"/>
      <c r="B170" s="78"/>
      <c r="C170" s="70"/>
      <c r="D170" s="37"/>
      <c r="E170" s="70"/>
      <c r="F170" s="70"/>
      <c r="G170" s="37"/>
      <c r="H170" s="70"/>
      <c r="I170" s="70"/>
      <c r="J170" s="37"/>
      <c r="K170" s="70"/>
      <c r="L170" s="70"/>
      <c r="M170" s="70"/>
      <c r="N170" s="70"/>
      <c r="O170" s="70"/>
    </row>
    <row r="171" spans="1:15" x14ac:dyDescent="0.25">
      <c r="A171" s="37"/>
      <c r="B171" s="78"/>
      <c r="C171" s="70"/>
      <c r="D171" s="37"/>
      <c r="E171" s="70"/>
      <c r="F171" s="70"/>
      <c r="G171" s="37"/>
      <c r="H171" s="70"/>
      <c r="I171" s="70"/>
      <c r="J171" s="37"/>
      <c r="K171" s="70"/>
      <c r="L171" s="70"/>
      <c r="M171" s="70"/>
      <c r="N171" s="70"/>
      <c r="O171" s="70"/>
    </row>
    <row r="172" spans="1:15" x14ac:dyDescent="0.25">
      <c r="A172" s="37"/>
      <c r="B172" s="78"/>
      <c r="C172" s="70"/>
      <c r="D172" s="37"/>
      <c r="E172" s="70"/>
      <c r="F172" s="70"/>
      <c r="G172" s="37"/>
      <c r="H172" s="70"/>
      <c r="I172" s="70"/>
      <c r="J172" s="37"/>
      <c r="K172" s="70"/>
      <c r="L172" s="70"/>
      <c r="M172" s="70"/>
      <c r="N172" s="70"/>
      <c r="O172" s="70"/>
    </row>
    <row r="173" spans="1:15" x14ac:dyDescent="0.25">
      <c r="A173" s="37"/>
      <c r="B173" s="78"/>
      <c r="C173" s="70"/>
      <c r="D173" s="37"/>
      <c r="E173" s="70"/>
      <c r="F173" s="70"/>
      <c r="G173" s="37"/>
      <c r="H173" s="70"/>
      <c r="I173" s="70"/>
      <c r="J173" s="37"/>
      <c r="K173" s="70"/>
      <c r="L173" s="70"/>
      <c r="M173" s="70"/>
      <c r="N173" s="70"/>
      <c r="O173" s="70"/>
    </row>
    <row r="174" spans="1:15" x14ac:dyDescent="0.25">
      <c r="A174" s="37"/>
      <c r="B174" s="78"/>
      <c r="C174" s="70"/>
      <c r="D174" s="37"/>
      <c r="E174" s="70"/>
      <c r="F174" s="70"/>
      <c r="G174" s="37"/>
      <c r="H174" s="70"/>
      <c r="I174" s="70"/>
      <c r="J174" s="37"/>
      <c r="K174" s="70"/>
      <c r="L174" s="70"/>
      <c r="M174" s="70"/>
      <c r="N174" s="70"/>
      <c r="O174" s="70"/>
    </row>
    <row r="175" spans="1:15" x14ac:dyDescent="0.25">
      <c r="A175" s="37"/>
      <c r="B175" s="78"/>
      <c r="C175" s="70"/>
      <c r="D175" s="37"/>
      <c r="E175" s="70"/>
      <c r="F175" s="70"/>
      <c r="G175" s="37"/>
      <c r="H175" s="70"/>
      <c r="I175" s="70"/>
      <c r="J175" s="37"/>
      <c r="K175" s="70"/>
      <c r="L175" s="70"/>
      <c r="M175" s="70"/>
      <c r="N175" s="70"/>
      <c r="O175" s="70"/>
    </row>
    <row r="176" spans="1:15" x14ac:dyDescent="0.25">
      <c r="A176" s="37"/>
      <c r="B176" s="78"/>
      <c r="C176" s="70"/>
      <c r="D176" s="37"/>
      <c r="E176" s="70"/>
      <c r="F176" s="70"/>
      <c r="G176" s="37"/>
      <c r="H176" s="70"/>
      <c r="I176" s="70"/>
      <c r="J176" s="37"/>
      <c r="K176" s="70"/>
      <c r="L176" s="70"/>
      <c r="M176" s="70"/>
      <c r="N176" s="70"/>
      <c r="O176" s="70"/>
    </row>
    <row r="177" spans="1:15" x14ac:dyDescent="0.25">
      <c r="A177" s="37"/>
      <c r="B177" s="78"/>
      <c r="C177" s="70"/>
      <c r="D177" s="37"/>
      <c r="E177" s="70"/>
      <c r="F177" s="70"/>
      <c r="G177" s="37"/>
      <c r="H177" s="70"/>
      <c r="I177" s="70"/>
      <c r="J177" s="37"/>
      <c r="K177" s="70"/>
      <c r="L177" s="70"/>
      <c r="M177" s="70"/>
      <c r="N177" s="70"/>
      <c r="O177" s="70"/>
    </row>
    <row r="178" spans="1:15" x14ac:dyDescent="0.25">
      <c r="A178" s="37"/>
      <c r="B178" s="78"/>
      <c r="C178" s="70"/>
      <c r="D178" s="37"/>
      <c r="E178" s="70"/>
      <c r="F178" s="70"/>
      <c r="G178" s="37"/>
      <c r="H178" s="70"/>
      <c r="I178" s="70"/>
      <c r="J178" s="37"/>
      <c r="K178" s="70"/>
      <c r="L178" s="70"/>
      <c r="M178" s="70"/>
      <c r="N178" s="70"/>
      <c r="O178" s="70"/>
    </row>
    <row r="179" spans="1:15" x14ac:dyDescent="0.25">
      <c r="A179" s="37"/>
      <c r="B179" s="78"/>
      <c r="C179" s="70"/>
      <c r="D179" s="37"/>
      <c r="E179" s="70"/>
      <c r="F179" s="70"/>
      <c r="G179" s="37"/>
      <c r="H179" s="70"/>
      <c r="I179" s="70"/>
      <c r="J179" s="37"/>
      <c r="K179" s="70"/>
      <c r="L179" s="70"/>
      <c r="M179" s="70"/>
      <c r="N179" s="70"/>
      <c r="O179" s="70"/>
    </row>
    <row r="180" spans="1:15" x14ac:dyDescent="0.25">
      <c r="A180" s="37"/>
      <c r="B180" s="78"/>
      <c r="C180" s="70"/>
      <c r="D180" s="37"/>
      <c r="E180" s="70"/>
      <c r="F180" s="70"/>
      <c r="G180" s="37"/>
      <c r="H180" s="70"/>
      <c r="I180" s="70"/>
      <c r="J180" s="37"/>
      <c r="K180" s="70"/>
      <c r="L180" s="70"/>
      <c r="M180" s="70"/>
      <c r="N180" s="70"/>
      <c r="O180" s="70"/>
    </row>
    <row r="181" spans="1:15" x14ac:dyDescent="0.25">
      <c r="A181" s="37"/>
      <c r="B181" s="78"/>
      <c r="C181" s="70"/>
      <c r="D181" s="37"/>
      <c r="E181" s="70"/>
      <c r="F181" s="70"/>
      <c r="G181" s="37"/>
      <c r="H181" s="70"/>
      <c r="I181" s="70"/>
      <c r="J181" s="37"/>
      <c r="K181" s="70"/>
      <c r="L181" s="70"/>
      <c r="M181" s="70"/>
      <c r="N181" s="70"/>
      <c r="O181" s="70"/>
    </row>
    <row r="182" spans="1:15" x14ac:dyDescent="0.25">
      <c r="A182" s="37"/>
      <c r="B182" s="78"/>
      <c r="C182" s="70"/>
      <c r="D182" s="37"/>
      <c r="E182" s="70"/>
      <c r="F182" s="70"/>
      <c r="G182" s="37"/>
      <c r="H182" s="70"/>
      <c r="I182" s="70"/>
      <c r="J182" s="37"/>
      <c r="K182" s="70"/>
      <c r="L182" s="70"/>
      <c r="M182" s="70"/>
      <c r="N182" s="70"/>
      <c r="O182" s="70"/>
    </row>
    <row r="183" spans="1:15" x14ac:dyDescent="0.25">
      <c r="A183" s="37"/>
      <c r="B183" s="78"/>
      <c r="C183" s="70"/>
      <c r="D183" s="37"/>
      <c r="E183" s="70"/>
      <c r="F183" s="70"/>
      <c r="G183" s="37"/>
      <c r="H183" s="70"/>
      <c r="I183" s="70"/>
      <c r="J183" s="37"/>
      <c r="K183" s="70"/>
      <c r="L183" s="70"/>
      <c r="M183" s="70"/>
      <c r="N183" s="70"/>
      <c r="O183" s="70"/>
    </row>
    <row r="184" spans="1:15" x14ac:dyDescent="0.25">
      <c r="A184" s="37"/>
      <c r="B184" s="78"/>
      <c r="C184" s="70"/>
      <c r="D184" s="37"/>
      <c r="E184" s="70"/>
      <c r="F184" s="70"/>
      <c r="G184" s="37"/>
      <c r="H184" s="70"/>
      <c r="I184" s="70"/>
      <c r="J184" s="37"/>
      <c r="K184" s="70"/>
      <c r="L184" s="70"/>
      <c r="M184" s="70"/>
      <c r="N184" s="70"/>
      <c r="O184" s="70"/>
    </row>
    <row r="185" spans="1:15" x14ac:dyDescent="0.25">
      <c r="A185" s="37"/>
      <c r="B185" s="78"/>
      <c r="C185" s="70"/>
      <c r="D185" s="37"/>
      <c r="E185" s="70"/>
      <c r="F185" s="70"/>
      <c r="G185" s="37"/>
      <c r="H185" s="70"/>
      <c r="I185" s="70"/>
      <c r="J185" s="37"/>
      <c r="K185" s="70"/>
      <c r="L185" s="70"/>
      <c r="M185" s="70"/>
      <c r="N185" s="70"/>
      <c r="O185" s="70"/>
    </row>
    <row r="186" spans="1:15" x14ac:dyDescent="0.25">
      <c r="A186" s="37"/>
      <c r="B186" s="78"/>
      <c r="C186" s="70"/>
      <c r="D186" s="37"/>
      <c r="E186" s="70"/>
      <c r="F186" s="70"/>
      <c r="G186" s="37"/>
      <c r="H186" s="70"/>
      <c r="I186" s="70"/>
      <c r="J186" s="37"/>
      <c r="K186" s="70"/>
      <c r="L186" s="70"/>
      <c r="M186" s="70"/>
      <c r="N186" s="70"/>
      <c r="O186" s="70"/>
    </row>
    <row r="187" spans="1:15" x14ac:dyDescent="0.25">
      <c r="A187" s="37"/>
      <c r="B187" s="78"/>
      <c r="C187" s="70"/>
      <c r="D187" s="37"/>
      <c r="E187" s="70"/>
      <c r="F187" s="70"/>
      <c r="G187" s="37"/>
      <c r="H187" s="70"/>
      <c r="I187" s="70"/>
      <c r="J187" s="37"/>
      <c r="K187" s="70"/>
      <c r="L187" s="70"/>
      <c r="M187" s="70"/>
      <c r="N187" s="70"/>
      <c r="O187" s="70"/>
    </row>
    <row r="188" spans="1:15" x14ac:dyDescent="0.25">
      <c r="A188" s="37"/>
      <c r="B188" s="78"/>
      <c r="C188" s="70"/>
      <c r="D188" s="37"/>
      <c r="E188" s="70"/>
      <c r="F188" s="70"/>
      <c r="G188" s="37"/>
      <c r="H188" s="70"/>
      <c r="I188" s="70"/>
      <c r="J188" s="37"/>
      <c r="K188" s="70"/>
      <c r="L188" s="70"/>
      <c r="M188" s="70"/>
      <c r="N188" s="70"/>
      <c r="O188" s="70"/>
    </row>
    <row r="189" spans="1:15" x14ac:dyDescent="0.25">
      <c r="A189" s="37"/>
      <c r="B189" s="78"/>
      <c r="C189" s="70"/>
      <c r="D189" s="37"/>
      <c r="E189" s="70"/>
      <c r="F189" s="70"/>
      <c r="G189" s="37"/>
      <c r="H189" s="70"/>
      <c r="I189" s="70"/>
      <c r="J189" s="37"/>
      <c r="K189" s="70"/>
      <c r="L189" s="70"/>
      <c r="M189" s="70"/>
      <c r="N189" s="70"/>
      <c r="O189" s="70"/>
    </row>
    <row r="190" spans="1:15" x14ac:dyDescent="0.25">
      <c r="A190" s="37"/>
      <c r="B190" s="78"/>
      <c r="C190" s="70"/>
      <c r="D190" s="37"/>
      <c r="E190" s="70"/>
      <c r="F190" s="70"/>
      <c r="G190" s="37"/>
      <c r="H190" s="70"/>
      <c r="I190" s="70"/>
      <c r="J190" s="37"/>
      <c r="K190" s="70"/>
      <c r="L190" s="70"/>
      <c r="M190" s="70"/>
      <c r="N190" s="70"/>
      <c r="O190" s="70"/>
    </row>
    <row r="191" spans="1:15" x14ac:dyDescent="0.25">
      <c r="A191" s="37"/>
      <c r="B191" s="78"/>
      <c r="C191" s="70"/>
      <c r="D191" s="37"/>
      <c r="E191" s="70"/>
      <c r="F191" s="70"/>
      <c r="G191" s="37"/>
      <c r="H191" s="70"/>
      <c r="I191" s="70"/>
      <c r="J191" s="37"/>
      <c r="K191" s="70"/>
      <c r="L191" s="70"/>
      <c r="M191" s="70"/>
      <c r="N191" s="70"/>
      <c r="O191" s="70"/>
    </row>
    <row r="192" spans="1:15" x14ac:dyDescent="0.25">
      <c r="A192" s="37"/>
      <c r="B192" s="78"/>
      <c r="C192" s="70"/>
      <c r="D192" s="37"/>
      <c r="E192" s="70"/>
      <c r="F192" s="70"/>
      <c r="G192" s="37"/>
      <c r="H192" s="70"/>
      <c r="I192" s="70"/>
      <c r="J192" s="37"/>
      <c r="K192" s="70"/>
      <c r="L192" s="70"/>
      <c r="M192" s="70"/>
      <c r="N192" s="70"/>
      <c r="O192" s="70"/>
    </row>
    <row r="193" spans="1:15" x14ac:dyDescent="0.25">
      <c r="A193" s="37"/>
      <c r="B193" s="78"/>
      <c r="C193" s="70"/>
      <c r="D193" s="37"/>
      <c r="E193" s="70"/>
      <c r="F193" s="70"/>
      <c r="G193" s="37"/>
      <c r="H193" s="70"/>
      <c r="I193" s="70"/>
      <c r="J193" s="37"/>
      <c r="K193" s="70"/>
      <c r="L193" s="70"/>
      <c r="M193" s="70"/>
      <c r="N193" s="70"/>
      <c r="O193" s="70"/>
    </row>
    <row r="194" spans="1:15" x14ac:dyDescent="0.25">
      <c r="A194" s="37"/>
      <c r="B194" s="78"/>
      <c r="C194" s="70"/>
      <c r="D194" s="37"/>
      <c r="E194" s="70"/>
      <c r="F194" s="70"/>
      <c r="G194" s="37"/>
      <c r="H194" s="70"/>
      <c r="I194" s="70"/>
      <c r="J194" s="37"/>
      <c r="K194" s="70"/>
      <c r="L194" s="70"/>
      <c r="M194" s="70"/>
      <c r="N194" s="70"/>
      <c r="O194" s="70"/>
    </row>
    <row r="195" spans="1:15" x14ac:dyDescent="0.25">
      <c r="A195" s="37"/>
      <c r="B195" s="78"/>
      <c r="C195" s="70"/>
      <c r="D195" s="37"/>
      <c r="E195" s="70"/>
      <c r="F195" s="70"/>
      <c r="G195" s="37"/>
      <c r="H195" s="70"/>
      <c r="I195" s="70"/>
      <c r="J195" s="37"/>
      <c r="K195" s="70"/>
      <c r="L195" s="70"/>
      <c r="M195" s="70"/>
      <c r="N195" s="70"/>
      <c r="O195" s="70"/>
    </row>
    <row r="196" spans="1:15" x14ac:dyDescent="0.25">
      <c r="A196" s="37"/>
      <c r="B196" s="78"/>
      <c r="C196" s="70"/>
      <c r="D196" s="37"/>
      <c r="E196" s="70"/>
      <c r="F196" s="70"/>
      <c r="G196" s="37"/>
      <c r="H196" s="70"/>
      <c r="I196" s="70"/>
      <c r="J196" s="37"/>
      <c r="K196" s="70"/>
      <c r="L196" s="70"/>
      <c r="M196" s="70"/>
      <c r="N196" s="70"/>
      <c r="O196" s="70"/>
    </row>
    <row r="197" spans="1:15" x14ac:dyDescent="0.25">
      <c r="A197" s="37"/>
      <c r="B197" s="78"/>
      <c r="C197" s="70"/>
      <c r="D197" s="37"/>
      <c r="E197" s="70"/>
      <c r="F197" s="70"/>
      <c r="G197" s="37"/>
      <c r="H197" s="70"/>
      <c r="I197" s="70"/>
      <c r="J197" s="37"/>
      <c r="K197" s="70"/>
      <c r="L197" s="70"/>
      <c r="M197" s="70"/>
      <c r="N197" s="70"/>
      <c r="O197" s="70"/>
    </row>
    <row r="198" spans="1:15" x14ac:dyDescent="0.25">
      <c r="A198" s="37"/>
      <c r="B198" s="78"/>
      <c r="C198" s="70"/>
      <c r="D198" s="37"/>
      <c r="E198" s="70"/>
      <c r="F198" s="70"/>
      <c r="G198" s="37"/>
      <c r="H198" s="70"/>
      <c r="I198" s="70"/>
      <c r="J198" s="37"/>
      <c r="K198" s="70"/>
      <c r="L198" s="70"/>
      <c r="M198" s="70"/>
      <c r="N198" s="70"/>
      <c r="O198" s="70"/>
    </row>
    <row r="199" spans="1:15" x14ac:dyDescent="0.25">
      <c r="A199" s="37"/>
      <c r="B199" s="78"/>
      <c r="C199" s="70"/>
      <c r="D199" s="37"/>
      <c r="E199" s="70"/>
      <c r="F199" s="70"/>
      <c r="G199" s="37"/>
      <c r="H199" s="70"/>
      <c r="I199" s="70"/>
      <c r="J199" s="37"/>
      <c r="K199" s="70"/>
      <c r="L199" s="70"/>
      <c r="M199" s="70"/>
      <c r="N199" s="70"/>
      <c r="O199" s="70"/>
    </row>
    <row r="200" spans="1:15" x14ac:dyDescent="0.25">
      <c r="A200" s="37"/>
      <c r="B200" s="78"/>
      <c r="C200" s="70"/>
      <c r="D200" s="37"/>
      <c r="E200" s="70"/>
      <c r="F200" s="70"/>
      <c r="G200" s="37"/>
      <c r="H200" s="70"/>
      <c r="I200" s="70"/>
      <c r="J200" s="37"/>
      <c r="K200" s="70"/>
      <c r="L200" s="70"/>
      <c r="M200" s="70"/>
      <c r="N200" s="70"/>
      <c r="O200" s="70"/>
    </row>
    <row r="201" spans="1:15" x14ac:dyDescent="0.25">
      <c r="A201" s="37"/>
      <c r="B201" s="78"/>
      <c r="C201" s="70"/>
      <c r="D201" s="37"/>
      <c r="E201" s="70"/>
      <c r="F201" s="70"/>
      <c r="G201" s="37"/>
      <c r="H201" s="70"/>
      <c r="I201" s="70"/>
      <c r="J201" s="37"/>
      <c r="K201" s="70"/>
      <c r="L201" s="70"/>
      <c r="M201" s="70"/>
      <c r="N201" s="70"/>
      <c r="O201" s="70"/>
    </row>
    <row r="202" spans="1:15" x14ac:dyDescent="0.25">
      <c r="A202" s="37"/>
      <c r="B202" s="78"/>
      <c r="C202" s="70"/>
      <c r="D202" s="37"/>
      <c r="E202" s="70"/>
      <c r="F202" s="70"/>
      <c r="G202" s="37"/>
      <c r="H202" s="70"/>
      <c r="I202" s="70"/>
      <c r="J202" s="37"/>
      <c r="K202" s="70"/>
      <c r="L202" s="70"/>
      <c r="M202" s="70"/>
      <c r="N202" s="70"/>
      <c r="O202" s="70"/>
    </row>
    <row r="203" spans="1:15" x14ac:dyDescent="0.25">
      <c r="A203" s="37"/>
      <c r="B203" s="78"/>
      <c r="C203" s="70"/>
      <c r="D203" s="37"/>
      <c r="E203" s="70"/>
      <c r="F203" s="70"/>
      <c r="G203" s="37"/>
      <c r="H203" s="70"/>
      <c r="I203" s="70"/>
      <c r="J203" s="37"/>
      <c r="K203" s="70"/>
      <c r="L203" s="70"/>
      <c r="M203" s="70"/>
      <c r="N203" s="70"/>
      <c r="O203" s="70"/>
    </row>
    <row r="204" spans="1:15" x14ac:dyDescent="0.25">
      <c r="A204" s="37"/>
      <c r="B204" s="78"/>
      <c r="C204" s="70"/>
      <c r="D204" s="37"/>
      <c r="E204" s="70"/>
      <c r="F204" s="70"/>
      <c r="G204" s="37"/>
      <c r="H204" s="70"/>
      <c r="I204" s="70"/>
      <c r="J204" s="37"/>
      <c r="K204" s="70"/>
      <c r="L204" s="70"/>
      <c r="M204" s="70"/>
      <c r="N204" s="70"/>
      <c r="O204" s="70"/>
    </row>
    <row r="205" spans="1:15" x14ac:dyDescent="0.25">
      <c r="A205" s="37"/>
      <c r="B205" s="78"/>
      <c r="C205" s="70"/>
      <c r="D205" s="37"/>
      <c r="E205" s="70"/>
      <c r="F205" s="70"/>
      <c r="G205" s="37"/>
      <c r="H205" s="70"/>
      <c r="I205" s="70"/>
      <c r="J205" s="37"/>
      <c r="K205" s="70"/>
      <c r="L205" s="70"/>
      <c r="M205" s="70"/>
      <c r="N205" s="70"/>
      <c r="O205" s="70"/>
    </row>
    <row r="206" spans="1:15" x14ac:dyDescent="0.25">
      <c r="A206" s="37"/>
      <c r="B206" s="78"/>
      <c r="C206" s="70"/>
      <c r="D206" s="37"/>
      <c r="E206" s="70"/>
      <c r="F206" s="70"/>
      <c r="G206" s="37"/>
      <c r="H206" s="70"/>
      <c r="I206" s="70"/>
      <c r="J206" s="37"/>
      <c r="K206" s="70"/>
      <c r="L206" s="70"/>
      <c r="M206" s="70"/>
      <c r="N206" s="70"/>
      <c r="O206" s="70"/>
    </row>
    <row r="207" spans="1:15" x14ac:dyDescent="0.25">
      <c r="A207" s="37"/>
      <c r="B207" s="78"/>
      <c r="C207" s="70"/>
      <c r="D207" s="37"/>
      <c r="E207" s="70"/>
      <c r="F207" s="70"/>
      <c r="G207" s="37"/>
      <c r="H207" s="70"/>
      <c r="I207" s="70"/>
      <c r="J207" s="37"/>
      <c r="K207" s="70"/>
      <c r="L207" s="70"/>
      <c r="M207" s="70"/>
      <c r="N207" s="70"/>
      <c r="O207" s="70"/>
    </row>
    <row r="208" spans="1:15" x14ac:dyDescent="0.25">
      <c r="A208" s="37"/>
      <c r="B208" s="78"/>
      <c r="C208" s="70"/>
      <c r="D208" s="37"/>
      <c r="E208" s="70"/>
      <c r="F208" s="70"/>
      <c r="G208" s="37"/>
      <c r="H208" s="70"/>
      <c r="I208" s="70"/>
      <c r="J208" s="37"/>
      <c r="K208" s="70"/>
      <c r="L208" s="70"/>
      <c r="M208" s="70"/>
      <c r="N208" s="70"/>
      <c r="O208" s="70"/>
    </row>
    <row r="209" spans="1:15" x14ac:dyDescent="0.25">
      <c r="A209" s="37"/>
      <c r="B209" s="78"/>
      <c r="C209" s="70"/>
      <c r="D209" s="37"/>
      <c r="E209" s="70"/>
      <c r="F209" s="70"/>
      <c r="G209" s="37"/>
      <c r="H209" s="70"/>
      <c r="I209" s="70"/>
      <c r="J209" s="37"/>
      <c r="K209" s="70"/>
      <c r="L209" s="70"/>
      <c r="M209" s="70"/>
      <c r="N209" s="70"/>
      <c r="O209" s="70"/>
    </row>
    <row r="210" spans="1:15" x14ac:dyDescent="0.25">
      <c r="A210" s="37"/>
      <c r="B210" s="78"/>
      <c r="C210" s="70"/>
      <c r="D210" s="37"/>
      <c r="E210" s="70"/>
      <c r="F210" s="70"/>
      <c r="G210" s="37"/>
      <c r="H210" s="70"/>
      <c r="I210" s="70"/>
      <c r="J210" s="37"/>
      <c r="K210" s="70"/>
      <c r="L210" s="70"/>
      <c r="M210" s="70"/>
      <c r="N210" s="70"/>
      <c r="O210" s="70"/>
    </row>
    <row r="211" spans="1:15" x14ac:dyDescent="0.25">
      <c r="A211" s="37"/>
      <c r="B211" s="78"/>
      <c r="C211" s="70"/>
      <c r="D211" s="37"/>
      <c r="E211" s="70"/>
      <c r="F211" s="70"/>
      <c r="G211" s="37"/>
      <c r="H211" s="70"/>
      <c r="I211" s="70"/>
      <c r="J211" s="37"/>
      <c r="K211" s="70"/>
      <c r="L211" s="70"/>
      <c r="M211" s="70"/>
      <c r="N211" s="70"/>
      <c r="O211" s="70"/>
    </row>
    <row r="212" spans="1:15" x14ac:dyDescent="0.25">
      <c r="A212" s="37"/>
      <c r="B212" s="78"/>
      <c r="C212" s="70"/>
      <c r="D212" s="37"/>
      <c r="E212" s="70"/>
      <c r="F212" s="70"/>
      <c r="G212" s="37"/>
      <c r="H212" s="70"/>
      <c r="I212" s="70"/>
      <c r="J212" s="37"/>
      <c r="K212" s="70"/>
      <c r="L212" s="70"/>
      <c r="M212" s="70"/>
      <c r="N212" s="70"/>
      <c r="O212" s="70"/>
    </row>
    <row r="213" spans="1:15" x14ac:dyDescent="0.25">
      <c r="A213" s="37"/>
      <c r="B213" s="78"/>
      <c r="C213" s="70"/>
      <c r="D213" s="37"/>
      <c r="E213" s="70"/>
      <c r="F213" s="70"/>
      <c r="G213" s="37"/>
      <c r="H213" s="70"/>
      <c r="I213" s="70"/>
      <c r="J213" s="37"/>
      <c r="K213" s="70"/>
      <c r="L213" s="70"/>
      <c r="M213" s="70"/>
      <c r="N213" s="70"/>
      <c r="O213" s="70"/>
    </row>
    <row r="214" spans="1:15" x14ac:dyDescent="0.25">
      <c r="A214" s="37"/>
      <c r="B214" s="78"/>
      <c r="C214" s="70"/>
      <c r="D214" s="37"/>
      <c r="E214" s="70"/>
      <c r="F214" s="70"/>
      <c r="G214" s="37"/>
      <c r="H214" s="70"/>
      <c r="I214" s="70"/>
      <c r="J214" s="37"/>
      <c r="K214" s="70"/>
      <c r="L214" s="70"/>
      <c r="M214" s="70"/>
      <c r="N214" s="70"/>
      <c r="O214" s="70"/>
    </row>
    <row r="215" spans="1:15" x14ac:dyDescent="0.25">
      <c r="A215" s="37"/>
      <c r="B215" s="78"/>
      <c r="C215" s="70"/>
      <c r="D215" s="37"/>
      <c r="E215" s="70"/>
      <c r="F215" s="70"/>
      <c r="G215" s="37"/>
      <c r="H215" s="70"/>
      <c r="I215" s="70"/>
      <c r="J215" s="37"/>
      <c r="K215" s="70"/>
      <c r="L215" s="70"/>
      <c r="M215" s="70"/>
      <c r="N215" s="70"/>
      <c r="O215" s="70"/>
    </row>
    <row r="216" spans="1:15" x14ac:dyDescent="0.25">
      <c r="A216" s="37"/>
      <c r="B216" s="78"/>
      <c r="C216" s="70"/>
      <c r="D216" s="37"/>
      <c r="E216" s="70"/>
      <c r="F216" s="70"/>
      <c r="G216" s="37"/>
      <c r="H216" s="70"/>
      <c r="I216" s="70"/>
      <c r="J216" s="37"/>
      <c r="K216" s="70"/>
      <c r="L216" s="70"/>
      <c r="M216" s="70"/>
      <c r="N216" s="70"/>
      <c r="O216" s="70"/>
    </row>
    <row r="217" spans="1:15" x14ac:dyDescent="0.25">
      <c r="A217" s="37"/>
      <c r="B217" s="78"/>
      <c r="C217" s="70"/>
      <c r="D217" s="37"/>
      <c r="E217" s="70"/>
      <c r="F217" s="70"/>
      <c r="G217" s="37"/>
      <c r="H217" s="70"/>
      <c r="I217" s="70"/>
      <c r="J217" s="37"/>
      <c r="K217" s="70"/>
      <c r="L217" s="70"/>
      <c r="M217" s="70"/>
      <c r="N217" s="70"/>
      <c r="O217" s="70"/>
    </row>
    <row r="218" spans="1:15" x14ac:dyDescent="0.25">
      <c r="A218" s="37"/>
      <c r="B218" s="78"/>
      <c r="C218" s="70"/>
      <c r="D218" s="37"/>
      <c r="E218" s="70"/>
      <c r="F218" s="70"/>
      <c r="G218" s="37"/>
      <c r="H218" s="70"/>
      <c r="I218" s="70"/>
      <c r="J218" s="37"/>
      <c r="K218" s="70"/>
      <c r="L218" s="70"/>
      <c r="M218" s="70"/>
      <c r="N218" s="70"/>
      <c r="O218" s="70"/>
    </row>
    <row r="219" spans="1:15" x14ac:dyDescent="0.25">
      <c r="A219" s="37"/>
      <c r="B219" s="78"/>
      <c r="C219" s="70"/>
      <c r="D219" s="37"/>
      <c r="E219" s="70"/>
      <c r="F219" s="70"/>
      <c r="G219" s="37"/>
      <c r="H219" s="70"/>
      <c r="I219" s="70"/>
      <c r="J219" s="37"/>
      <c r="K219" s="70"/>
      <c r="L219" s="70"/>
      <c r="M219" s="70"/>
      <c r="N219" s="70"/>
      <c r="O219" s="70"/>
    </row>
    <row r="220" spans="1:15" x14ac:dyDescent="0.25">
      <c r="A220" s="37"/>
      <c r="B220" s="78"/>
      <c r="C220" s="70"/>
      <c r="D220" s="37"/>
      <c r="E220" s="70"/>
      <c r="F220" s="70"/>
      <c r="G220" s="37"/>
      <c r="H220" s="70"/>
      <c r="I220" s="70"/>
      <c r="J220" s="37"/>
      <c r="K220" s="70"/>
      <c r="L220" s="70"/>
      <c r="M220" s="70"/>
      <c r="N220" s="70"/>
      <c r="O220" s="70"/>
    </row>
    <row r="221" spans="1:15" x14ac:dyDescent="0.25">
      <c r="A221" s="37"/>
      <c r="B221" s="78"/>
      <c r="C221" s="70"/>
      <c r="D221" s="37"/>
      <c r="E221" s="70"/>
      <c r="F221" s="70"/>
      <c r="G221" s="37"/>
      <c r="H221" s="70"/>
      <c r="I221" s="70"/>
      <c r="J221" s="37"/>
      <c r="K221" s="70"/>
      <c r="L221" s="70"/>
      <c r="M221" s="70"/>
      <c r="N221" s="70"/>
      <c r="O221" s="70"/>
    </row>
    <row r="222" spans="1:15" x14ac:dyDescent="0.25">
      <c r="A222" s="37"/>
      <c r="B222" s="78"/>
      <c r="C222" s="70"/>
      <c r="D222" s="37"/>
      <c r="E222" s="70"/>
      <c r="F222" s="70"/>
      <c r="G222" s="37"/>
      <c r="H222" s="70"/>
      <c r="I222" s="70"/>
      <c r="J222" s="37"/>
      <c r="K222" s="70"/>
      <c r="L222" s="70"/>
      <c r="M222" s="70"/>
      <c r="N222" s="70"/>
      <c r="O222" s="70"/>
    </row>
    <row r="223" spans="1:15" x14ac:dyDescent="0.25">
      <c r="A223" s="37"/>
      <c r="B223" s="78"/>
      <c r="C223" s="70"/>
      <c r="D223" s="37"/>
      <c r="E223" s="70"/>
      <c r="F223" s="70"/>
      <c r="G223" s="37"/>
      <c r="H223" s="70"/>
      <c r="I223" s="70"/>
      <c r="J223" s="37"/>
      <c r="K223" s="70"/>
      <c r="L223" s="70"/>
      <c r="M223" s="70"/>
      <c r="N223" s="70"/>
      <c r="O223" s="70"/>
    </row>
    <row r="224" spans="1:15" x14ac:dyDescent="0.25">
      <c r="A224" s="37"/>
      <c r="B224" s="78"/>
      <c r="C224" s="70"/>
      <c r="D224" s="37"/>
      <c r="E224" s="70"/>
      <c r="F224" s="70"/>
      <c r="G224" s="37"/>
      <c r="H224" s="70"/>
      <c r="I224" s="70"/>
      <c r="J224" s="37"/>
      <c r="K224" s="70"/>
      <c r="L224" s="70"/>
      <c r="M224" s="70"/>
      <c r="N224" s="70"/>
      <c r="O224" s="70"/>
    </row>
    <row r="225" spans="1:15" x14ac:dyDescent="0.25">
      <c r="A225" s="37"/>
      <c r="B225" s="78"/>
      <c r="C225" s="70"/>
      <c r="D225" s="37"/>
      <c r="E225" s="70"/>
      <c r="F225" s="70"/>
      <c r="G225" s="37"/>
      <c r="H225" s="70"/>
      <c r="I225" s="70"/>
      <c r="J225" s="37"/>
      <c r="K225" s="70"/>
      <c r="L225" s="70"/>
      <c r="M225" s="70"/>
      <c r="N225" s="70"/>
      <c r="O225" s="70"/>
    </row>
    <row r="226" spans="1:15" x14ac:dyDescent="0.25">
      <c r="A226" s="37"/>
      <c r="B226" s="78"/>
      <c r="C226" s="70"/>
      <c r="D226" s="37"/>
      <c r="E226" s="70"/>
      <c r="F226" s="70"/>
      <c r="G226" s="37"/>
      <c r="H226" s="70"/>
      <c r="I226" s="70"/>
      <c r="J226" s="37"/>
      <c r="K226" s="70"/>
      <c r="L226" s="70"/>
      <c r="M226" s="70"/>
      <c r="N226" s="70"/>
      <c r="O226" s="70"/>
    </row>
    <row r="227" spans="1:15" x14ac:dyDescent="0.25">
      <c r="A227" s="37"/>
      <c r="B227" s="78"/>
      <c r="C227" s="70"/>
      <c r="D227" s="37"/>
      <c r="E227" s="70"/>
      <c r="F227" s="70"/>
      <c r="G227" s="37"/>
      <c r="H227" s="70"/>
      <c r="I227" s="70"/>
      <c r="J227" s="37"/>
      <c r="K227" s="70"/>
      <c r="L227" s="70"/>
      <c r="M227" s="70"/>
      <c r="N227" s="70"/>
      <c r="O227" s="70"/>
    </row>
    <row r="228" spans="1:15" x14ac:dyDescent="0.25">
      <c r="A228" s="37"/>
      <c r="B228" s="78"/>
      <c r="C228" s="70"/>
      <c r="D228" s="37"/>
      <c r="E228" s="70"/>
      <c r="F228" s="70"/>
      <c r="G228" s="37"/>
      <c r="H228" s="70"/>
      <c r="I228" s="70"/>
      <c r="J228" s="37"/>
      <c r="K228" s="70"/>
      <c r="L228" s="70"/>
      <c r="M228" s="70"/>
      <c r="N228" s="70"/>
      <c r="O228" s="70"/>
    </row>
    <row r="229" spans="1:15" x14ac:dyDescent="0.25">
      <c r="A229" s="37"/>
      <c r="B229" s="78"/>
      <c r="C229" s="70"/>
      <c r="D229" s="37"/>
      <c r="E229" s="70"/>
      <c r="F229" s="70"/>
      <c r="G229" s="37"/>
      <c r="H229" s="70"/>
      <c r="I229" s="70"/>
      <c r="J229" s="37"/>
      <c r="K229" s="70"/>
      <c r="L229" s="70"/>
      <c r="M229" s="70"/>
      <c r="N229" s="70"/>
      <c r="O229" s="70"/>
    </row>
    <row r="230" spans="1:15" x14ac:dyDescent="0.25">
      <c r="A230" s="37"/>
      <c r="B230" s="78"/>
      <c r="C230" s="70"/>
      <c r="D230" s="37"/>
      <c r="E230" s="70"/>
      <c r="F230" s="70"/>
      <c r="G230" s="37"/>
      <c r="H230" s="70"/>
      <c r="I230" s="70"/>
      <c r="J230" s="37"/>
      <c r="K230" s="70"/>
      <c r="L230" s="70"/>
      <c r="M230" s="70"/>
      <c r="N230" s="70"/>
      <c r="O230" s="70"/>
    </row>
    <row r="231" spans="1:15" x14ac:dyDescent="0.25">
      <c r="A231" s="37"/>
      <c r="B231" s="78"/>
      <c r="C231" s="70"/>
      <c r="D231" s="37"/>
      <c r="E231" s="70"/>
      <c r="F231" s="70"/>
      <c r="G231" s="37"/>
      <c r="H231" s="70"/>
      <c r="I231" s="70"/>
      <c r="J231" s="37"/>
      <c r="K231" s="70"/>
      <c r="L231" s="70"/>
      <c r="M231" s="70"/>
      <c r="N231" s="70"/>
      <c r="O231" s="70"/>
    </row>
    <row r="232" spans="1:15" x14ac:dyDescent="0.25">
      <c r="A232" s="37"/>
      <c r="B232" s="78"/>
      <c r="C232" s="70"/>
      <c r="D232" s="37"/>
      <c r="E232" s="70"/>
      <c r="F232" s="70"/>
      <c r="G232" s="37"/>
      <c r="H232" s="70"/>
      <c r="I232" s="70"/>
      <c r="J232" s="37"/>
      <c r="K232" s="70"/>
      <c r="L232" s="70"/>
      <c r="M232" s="70"/>
      <c r="N232" s="70"/>
      <c r="O232" s="70"/>
    </row>
    <row r="233" spans="1:15" x14ac:dyDescent="0.25">
      <c r="A233" s="37"/>
      <c r="B233" s="78"/>
      <c r="C233" s="70"/>
      <c r="D233" s="37"/>
      <c r="E233" s="70"/>
      <c r="F233" s="70"/>
      <c r="G233" s="37"/>
      <c r="H233" s="70"/>
      <c r="I233" s="70"/>
      <c r="J233" s="37"/>
      <c r="K233" s="70"/>
      <c r="L233" s="70"/>
      <c r="M233" s="70"/>
      <c r="N233" s="70"/>
      <c r="O233" s="70"/>
    </row>
    <row r="234" spans="1:15" x14ac:dyDescent="0.25">
      <c r="A234" s="37"/>
      <c r="B234" s="78"/>
      <c r="C234" s="70"/>
      <c r="D234" s="37"/>
      <c r="E234" s="70"/>
      <c r="F234" s="70"/>
      <c r="G234" s="37"/>
      <c r="H234" s="70"/>
      <c r="I234" s="70"/>
      <c r="J234" s="37"/>
      <c r="K234" s="70"/>
      <c r="L234" s="70"/>
      <c r="M234" s="70"/>
      <c r="N234" s="70"/>
      <c r="O234" s="70"/>
    </row>
    <row r="235" spans="1:15" x14ac:dyDescent="0.25">
      <c r="A235" s="37"/>
      <c r="B235" s="78"/>
      <c r="C235" s="70"/>
      <c r="D235" s="37"/>
      <c r="E235" s="70"/>
      <c r="F235" s="70"/>
      <c r="G235" s="37"/>
      <c r="H235" s="70"/>
      <c r="I235" s="70"/>
      <c r="J235" s="37"/>
      <c r="K235" s="70"/>
      <c r="L235" s="70"/>
      <c r="M235" s="70"/>
      <c r="N235" s="70"/>
      <c r="O235" s="70"/>
    </row>
    <row r="236" spans="1:15" x14ac:dyDescent="0.25">
      <c r="A236" s="37"/>
      <c r="B236" s="78"/>
      <c r="C236" s="70"/>
      <c r="D236" s="37"/>
      <c r="E236" s="70"/>
      <c r="F236" s="70"/>
      <c r="G236" s="37"/>
      <c r="H236" s="70"/>
      <c r="I236" s="70"/>
      <c r="J236" s="37"/>
      <c r="K236" s="70"/>
      <c r="L236" s="70"/>
      <c r="M236" s="70"/>
      <c r="N236" s="70"/>
      <c r="O236" s="70"/>
    </row>
    <row r="237" spans="1:15" x14ac:dyDescent="0.25">
      <c r="A237" s="37"/>
      <c r="B237" s="78"/>
      <c r="C237" s="70"/>
      <c r="D237" s="37"/>
      <c r="E237" s="70"/>
      <c r="F237" s="70"/>
      <c r="G237" s="37"/>
      <c r="H237" s="70"/>
      <c r="I237" s="70"/>
      <c r="J237" s="37"/>
      <c r="K237" s="70"/>
      <c r="L237" s="70"/>
      <c r="M237" s="70"/>
      <c r="N237" s="70"/>
      <c r="O237" s="70"/>
    </row>
    <row r="238" spans="1:15" x14ac:dyDescent="0.25">
      <c r="A238" s="37"/>
      <c r="B238" s="78"/>
      <c r="C238" s="70"/>
      <c r="D238" s="37"/>
      <c r="E238" s="70"/>
      <c r="F238" s="70"/>
      <c r="G238" s="37"/>
      <c r="H238" s="70"/>
      <c r="I238" s="70"/>
      <c r="J238" s="37"/>
      <c r="K238" s="70"/>
      <c r="L238" s="70"/>
      <c r="M238" s="70"/>
      <c r="N238" s="70"/>
      <c r="O238" s="70"/>
    </row>
    <row r="239" spans="1:15" x14ac:dyDescent="0.25">
      <c r="A239" s="37"/>
      <c r="B239" s="78"/>
      <c r="C239" s="70"/>
      <c r="D239" s="37"/>
      <c r="E239" s="70"/>
      <c r="F239" s="70"/>
      <c r="G239" s="37"/>
      <c r="H239" s="70"/>
      <c r="I239" s="70"/>
      <c r="J239" s="37"/>
      <c r="K239" s="70"/>
      <c r="L239" s="70"/>
      <c r="M239" s="70"/>
      <c r="N239" s="70"/>
      <c r="O239" s="70"/>
    </row>
    <row r="240" spans="1:15" x14ac:dyDescent="0.25">
      <c r="A240" s="37"/>
      <c r="B240" s="78"/>
      <c r="C240" s="70"/>
      <c r="D240" s="37"/>
      <c r="E240" s="70"/>
      <c r="F240" s="70"/>
      <c r="G240" s="37"/>
      <c r="H240" s="70"/>
      <c r="I240" s="70"/>
      <c r="J240" s="37"/>
      <c r="K240" s="70"/>
      <c r="L240" s="70"/>
      <c r="M240" s="70"/>
      <c r="N240" s="70"/>
      <c r="O240" s="70"/>
    </row>
    <row r="241" spans="1:15" x14ac:dyDescent="0.25">
      <c r="A241" s="37"/>
      <c r="B241" s="78"/>
      <c r="C241" s="70"/>
      <c r="D241" s="37"/>
      <c r="E241" s="70"/>
      <c r="F241" s="70"/>
      <c r="G241" s="37"/>
      <c r="H241" s="70"/>
      <c r="I241" s="70"/>
      <c r="J241" s="37"/>
      <c r="K241" s="70"/>
      <c r="L241" s="70"/>
      <c r="M241" s="70"/>
      <c r="N241" s="70"/>
      <c r="O241" s="70"/>
    </row>
    <row r="242" spans="1:15" x14ac:dyDescent="0.25">
      <c r="A242" s="37"/>
      <c r="B242" s="78"/>
      <c r="C242" s="70"/>
      <c r="D242" s="37"/>
      <c r="E242" s="70"/>
      <c r="F242" s="70"/>
      <c r="G242" s="37"/>
      <c r="H242" s="70"/>
      <c r="I242" s="70"/>
      <c r="J242" s="37"/>
      <c r="K242" s="70"/>
      <c r="L242" s="70"/>
      <c r="M242" s="70"/>
      <c r="N242" s="70"/>
      <c r="O242" s="70"/>
    </row>
    <row r="243" spans="1:15" x14ac:dyDescent="0.25">
      <c r="A243" s="37"/>
      <c r="B243" s="78"/>
      <c r="C243" s="70"/>
      <c r="D243" s="37"/>
      <c r="E243" s="70"/>
      <c r="F243" s="70"/>
      <c r="G243" s="37"/>
      <c r="H243" s="70"/>
      <c r="I243" s="70"/>
      <c r="J243" s="37"/>
      <c r="K243" s="70"/>
      <c r="L243" s="70"/>
      <c r="M243" s="70"/>
      <c r="N243" s="70"/>
      <c r="O243" s="70"/>
    </row>
    <row r="244" spans="1:15" x14ac:dyDescent="0.25">
      <c r="A244" s="37"/>
      <c r="B244" s="78"/>
      <c r="C244" s="70"/>
      <c r="D244" s="37"/>
      <c r="E244" s="70"/>
      <c r="F244" s="70"/>
      <c r="G244" s="37"/>
      <c r="H244" s="70"/>
      <c r="I244" s="70"/>
      <c r="J244" s="37"/>
      <c r="K244" s="70"/>
      <c r="L244" s="70"/>
      <c r="M244" s="70"/>
      <c r="N244" s="70"/>
      <c r="O244" s="70"/>
    </row>
    <row r="245" spans="1:15" x14ac:dyDescent="0.25">
      <c r="A245" s="37"/>
      <c r="B245" s="78"/>
      <c r="C245" s="70"/>
      <c r="D245" s="37"/>
      <c r="E245" s="70"/>
      <c r="F245" s="70"/>
      <c r="G245" s="37"/>
      <c r="H245" s="70"/>
      <c r="I245" s="70"/>
      <c r="J245" s="37"/>
      <c r="K245" s="70"/>
      <c r="L245" s="70"/>
      <c r="M245" s="70"/>
      <c r="N245" s="70"/>
      <c r="O245" s="70"/>
    </row>
    <row r="246" spans="1:15" x14ac:dyDescent="0.25">
      <c r="A246" s="37"/>
      <c r="B246" s="78"/>
      <c r="C246" s="70"/>
      <c r="D246" s="37"/>
      <c r="E246" s="70"/>
      <c r="F246" s="70"/>
      <c r="G246" s="37"/>
      <c r="H246" s="70"/>
      <c r="I246" s="70"/>
      <c r="J246" s="37"/>
      <c r="K246" s="70"/>
      <c r="L246" s="70"/>
      <c r="M246" s="70"/>
      <c r="N246" s="70"/>
      <c r="O246" s="70"/>
    </row>
    <row r="247" spans="1:15" x14ac:dyDescent="0.25">
      <c r="A247" s="37"/>
      <c r="B247" s="78"/>
      <c r="C247" s="70"/>
      <c r="D247" s="37"/>
      <c r="E247" s="70"/>
      <c r="F247" s="70"/>
      <c r="G247" s="37"/>
      <c r="H247" s="70"/>
      <c r="I247" s="70"/>
      <c r="J247" s="37"/>
      <c r="K247" s="70"/>
      <c r="L247" s="70"/>
      <c r="M247" s="70"/>
      <c r="N247" s="70"/>
      <c r="O247" s="70"/>
    </row>
    <row r="248" spans="1:15" x14ac:dyDescent="0.25">
      <c r="A248" s="37"/>
      <c r="B248" s="78"/>
      <c r="C248" s="70"/>
      <c r="D248" s="37"/>
      <c r="E248" s="70"/>
      <c r="F248" s="70"/>
      <c r="G248" s="37"/>
      <c r="H248" s="70"/>
      <c r="I248" s="70"/>
      <c r="J248" s="37"/>
      <c r="K248" s="70"/>
      <c r="L248" s="70"/>
      <c r="M248" s="70"/>
      <c r="N248" s="70"/>
      <c r="O248" s="70"/>
    </row>
    <row r="249" spans="1:15" x14ac:dyDescent="0.25">
      <c r="A249" s="37"/>
      <c r="B249" s="78"/>
      <c r="C249" s="70"/>
      <c r="D249" s="37"/>
      <c r="E249" s="70"/>
      <c r="F249" s="70"/>
      <c r="G249" s="37"/>
      <c r="H249" s="70"/>
      <c r="I249" s="70"/>
      <c r="J249" s="37"/>
      <c r="K249" s="70"/>
      <c r="L249" s="70"/>
      <c r="M249" s="70"/>
      <c r="N249" s="70"/>
      <c r="O249" s="70"/>
    </row>
    <row r="250" spans="1:15" x14ac:dyDescent="0.25">
      <c r="A250" s="37"/>
      <c r="B250" s="78"/>
      <c r="C250" s="70"/>
      <c r="D250" s="37"/>
      <c r="E250" s="70"/>
      <c r="F250" s="70"/>
      <c r="G250" s="37"/>
      <c r="H250" s="70"/>
      <c r="I250" s="70"/>
      <c r="J250" s="37"/>
      <c r="K250" s="70"/>
      <c r="L250" s="70"/>
      <c r="M250" s="70"/>
      <c r="N250" s="70"/>
      <c r="O250" s="70"/>
    </row>
    <row r="251" spans="1:15" x14ac:dyDescent="0.25">
      <c r="A251" s="37"/>
      <c r="B251" s="78"/>
      <c r="C251" s="70"/>
      <c r="D251" s="37"/>
      <c r="E251" s="70"/>
      <c r="F251" s="70"/>
      <c r="G251" s="37"/>
      <c r="H251" s="70"/>
      <c r="I251" s="70"/>
      <c r="J251" s="37"/>
      <c r="K251" s="70"/>
      <c r="L251" s="70"/>
      <c r="M251" s="70"/>
      <c r="N251" s="70"/>
      <c r="O251" s="70"/>
    </row>
    <row r="252" spans="1:15" x14ac:dyDescent="0.25">
      <c r="A252" s="37"/>
      <c r="B252" s="78"/>
      <c r="C252" s="70"/>
      <c r="D252" s="37"/>
      <c r="E252" s="70"/>
      <c r="F252" s="70"/>
      <c r="G252" s="37"/>
      <c r="H252" s="70"/>
      <c r="I252" s="70"/>
      <c r="J252" s="37"/>
      <c r="K252" s="70"/>
      <c r="L252" s="70"/>
      <c r="M252" s="70"/>
      <c r="N252" s="70"/>
      <c r="O252" s="70"/>
    </row>
    <row r="253" spans="1:15" x14ac:dyDescent="0.25">
      <c r="A253" s="37"/>
      <c r="B253" s="78"/>
      <c r="C253" s="70"/>
      <c r="D253" s="37"/>
      <c r="E253" s="70"/>
      <c r="F253" s="70"/>
      <c r="G253" s="37"/>
      <c r="H253" s="70"/>
      <c r="I253" s="70"/>
      <c r="J253" s="37"/>
      <c r="K253" s="70"/>
      <c r="L253" s="70"/>
      <c r="M253" s="70"/>
      <c r="N253" s="70"/>
      <c r="O253" s="70"/>
    </row>
    <row r="254" spans="1:15" x14ac:dyDescent="0.25">
      <c r="A254" s="37"/>
      <c r="B254" s="78"/>
      <c r="C254" s="70"/>
      <c r="D254" s="37"/>
      <c r="E254" s="70"/>
      <c r="F254" s="70"/>
      <c r="G254" s="37"/>
      <c r="H254" s="70"/>
      <c r="I254" s="70"/>
      <c r="J254" s="37"/>
      <c r="K254" s="70"/>
      <c r="L254" s="70"/>
      <c r="M254" s="70"/>
      <c r="N254" s="70"/>
      <c r="O254" s="70"/>
    </row>
    <row r="255" spans="1:15" x14ac:dyDescent="0.25">
      <c r="A255" s="37"/>
      <c r="B255" s="78"/>
      <c r="C255" s="70"/>
      <c r="D255" s="37"/>
      <c r="E255" s="70"/>
      <c r="F255" s="70"/>
      <c r="G255" s="37"/>
      <c r="H255" s="70"/>
      <c r="I255" s="70"/>
      <c r="J255" s="37"/>
      <c r="K255" s="70"/>
      <c r="L255" s="70"/>
      <c r="M255" s="70"/>
      <c r="N255" s="70"/>
      <c r="O255" s="70"/>
    </row>
    <row r="256" spans="1:15" x14ac:dyDescent="0.25">
      <c r="A256" s="37"/>
      <c r="B256" s="78"/>
      <c r="C256" s="70"/>
      <c r="D256" s="37"/>
      <c r="E256" s="70"/>
      <c r="F256" s="70"/>
      <c r="G256" s="37"/>
      <c r="H256" s="70"/>
      <c r="I256" s="70"/>
      <c r="J256" s="37"/>
      <c r="K256" s="70"/>
      <c r="L256" s="70"/>
      <c r="M256" s="70"/>
      <c r="N256" s="70"/>
      <c r="O256" s="70"/>
    </row>
    <row r="257" spans="1:15" x14ac:dyDescent="0.25">
      <c r="A257" s="37"/>
      <c r="B257" s="78"/>
      <c r="C257" s="70"/>
      <c r="D257" s="37"/>
      <c r="E257" s="70"/>
      <c r="F257" s="70"/>
      <c r="G257" s="37"/>
      <c r="H257" s="70"/>
      <c r="I257" s="70"/>
      <c r="J257" s="37"/>
      <c r="K257" s="70"/>
      <c r="L257" s="70"/>
      <c r="M257" s="70"/>
      <c r="N257" s="70"/>
      <c r="O257" s="70"/>
    </row>
    <row r="258" spans="1:15" x14ac:dyDescent="0.25">
      <c r="A258" s="37"/>
      <c r="B258" s="78"/>
      <c r="C258" s="70"/>
      <c r="D258" s="37"/>
      <c r="E258" s="70"/>
      <c r="F258" s="70"/>
      <c r="G258" s="37"/>
      <c r="H258" s="70"/>
      <c r="I258" s="70"/>
      <c r="J258" s="37"/>
      <c r="K258" s="70"/>
      <c r="L258" s="70"/>
      <c r="M258" s="70"/>
      <c r="N258" s="70"/>
      <c r="O258" s="70"/>
    </row>
    <row r="259" spans="1:15" x14ac:dyDescent="0.25">
      <c r="A259" s="37"/>
      <c r="B259" s="78"/>
      <c r="C259" s="70"/>
      <c r="D259" s="37"/>
      <c r="E259" s="70"/>
      <c r="F259" s="70"/>
      <c r="G259" s="37"/>
      <c r="H259" s="70"/>
      <c r="I259" s="70"/>
      <c r="J259" s="37"/>
      <c r="K259" s="70"/>
      <c r="L259" s="70"/>
      <c r="M259" s="70"/>
      <c r="N259" s="70"/>
      <c r="O259" s="70"/>
    </row>
    <row r="260" spans="1:15" x14ac:dyDescent="0.25">
      <c r="A260" s="37"/>
      <c r="B260" s="78"/>
      <c r="C260" s="70"/>
      <c r="D260" s="37"/>
      <c r="E260" s="70"/>
      <c r="F260" s="70"/>
      <c r="G260" s="37"/>
      <c r="H260" s="70"/>
      <c r="I260" s="70"/>
      <c r="J260" s="37"/>
      <c r="K260" s="70"/>
      <c r="L260" s="70"/>
      <c r="M260" s="70"/>
      <c r="N260" s="70"/>
      <c r="O260" s="70"/>
    </row>
    <row r="261" spans="1:15" x14ac:dyDescent="0.25">
      <c r="A261" s="37"/>
      <c r="B261" s="78"/>
      <c r="C261" s="70"/>
      <c r="D261" s="37"/>
      <c r="E261" s="70"/>
      <c r="F261" s="70"/>
      <c r="G261" s="37"/>
      <c r="H261" s="70"/>
      <c r="I261" s="70"/>
      <c r="J261" s="37"/>
      <c r="K261" s="70"/>
      <c r="L261" s="70"/>
      <c r="M261" s="70"/>
      <c r="N261" s="70"/>
      <c r="O261" s="70"/>
    </row>
    <row r="262" spans="1:15" x14ac:dyDescent="0.25">
      <c r="A262" s="37"/>
      <c r="B262" s="78"/>
      <c r="C262" s="70"/>
      <c r="D262" s="37"/>
      <c r="E262" s="70"/>
      <c r="F262" s="70"/>
      <c r="G262" s="37"/>
      <c r="H262" s="70"/>
      <c r="I262" s="70"/>
      <c r="J262" s="37"/>
      <c r="K262" s="70"/>
      <c r="L262" s="70"/>
      <c r="M262" s="70"/>
      <c r="N262" s="70"/>
      <c r="O262" s="70"/>
    </row>
    <row r="263" spans="1:15" x14ac:dyDescent="0.25">
      <c r="A263" s="37"/>
      <c r="B263" s="78"/>
      <c r="C263" s="70"/>
      <c r="D263" s="37"/>
      <c r="E263" s="70"/>
      <c r="F263" s="70"/>
      <c r="G263" s="37"/>
      <c r="H263" s="70"/>
      <c r="I263" s="70"/>
      <c r="J263" s="37"/>
      <c r="K263" s="70"/>
      <c r="L263" s="70"/>
      <c r="M263" s="70"/>
      <c r="N263" s="70"/>
      <c r="O263" s="70"/>
    </row>
    <row r="264" spans="1:15" x14ac:dyDescent="0.25">
      <c r="A264" s="37"/>
      <c r="B264" s="78"/>
      <c r="C264" s="70"/>
      <c r="D264" s="37"/>
      <c r="E264" s="70"/>
      <c r="F264" s="70"/>
      <c r="G264" s="37"/>
      <c r="H264" s="70"/>
      <c r="I264" s="70"/>
      <c r="J264" s="37"/>
      <c r="K264" s="70"/>
      <c r="L264" s="70"/>
      <c r="M264" s="70"/>
      <c r="N264" s="70"/>
      <c r="O264" s="70"/>
    </row>
    <row r="265" spans="1:15" x14ac:dyDescent="0.25">
      <c r="A265" s="37"/>
      <c r="B265" s="78"/>
      <c r="C265" s="70"/>
      <c r="D265" s="37"/>
      <c r="E265" s="70"/>
      <c r="F265" s="70"/>
      <c r="G265" s="37"/>
      <c r="H265" s="70"/>
      <c r="I265" s="70"/>
      <c r="J265" s="37"/>
      <c r="K265" s="70"/>
      <c r="L265" s="70"/>
      <c r="M265" s="70"/>
      <c r="N265" s="70"/>
      <c r="O265" s="70"/>
    </row>
    <row r="266" spans="1:15" x14ac:dyDescent="0.25">
      <c r="A266" s="37"/>
      <c r="B266" s="78"/>
      <c r="C266" s="70"/>
      <c r="D266" s="37"/>
      <c r="E266" s="70"/>
      <c r="F266" s="70"/>
      <c r="G266" s="37"/>
      <c r="H266" s="70"/>
      <c r="I266" s="70"/>
      <c r="J266" s="37"/>
      <c r="K266" s="70"/>
      <c r="L266" s="70"/>
      <c r="M266" s="70"/>
      <c r="N266" s="70"/>
      <c r="O266" s="70"/>
    </row>
    <row r="267" spans="1:15" x14ac:dyDescent="0.25">
      <c r="A267" s="37"/>
      <c r="B267" s="78"/>
      <c r="C267" s="70"/>
      <c r="D267" s="37"/>
      <c r="E267" s="70"/>
      <c r="F267" s="70"/>
      <c r="G267" s="37"/>
      <c r="H267" s="70"/>
      <c r="I267" s="70"/>
      <c r="J267" s="37"/>
      <c r="K267" s="70"/>
      <c r="L267" s="70"/>
      <c r="M267" s="70"/>
      <c r="N267" s="70"/>
      <c r="O267" s="70"/>
    </row>
    <row r="268" spans="1:15" x14ac:dyDescent="0.25">
      <c r="A268" s="37"/>
      <c r="B268" s="78"/>
      <c r="C268" s="70"/>
      <c r="D268" s="37"/>
      <c r="E268" s="70"/>
      <c r="F268" s="70"/>
      <c r="G268" s="37"/>
      <c r="H268" s="70"/>
      <c r="I268" s="70"/>
      <c r="J268" s="37"/>
      <c r="K268" s="70"/>
      <c r="L268" s="70"/>
      <c r="M268" s="70"/>
      <c r="N268" s="70"/>
      <c r="O268" s="70"/>
    </row>
    <row r="269" spans="1:15" x14ac:dyDescent="0.25">
      <c r="A269" s="37"/>
      <c r="B269" s="78"/>
      <c r="C269" s="70"/>
      <c r="D269" s="37"/>
      <c r="E269" s="70"/>
      <c r="F269" s="70"/>
      <c r="G269" s="37"/>
      <c r="H269" s="70"/>
      <c r="I269" s="70"/>
      <c r="J269" s="37"/>
      <c r="K269" s="70"/>
      <c r="L269" s="70"/>
      <c r="M269" s="70"/>
      <c r="N269" s="70"/>
      <c r="O269" s="70"/>
    </row>
    <row r="270" spans="1:15" x14ac:dyDescent="0.25">
      <c r="A270" s="37"/>
      <c r="B270" s="78"/>
      <c r="C270" s="70"/>
      <c r="D270" s="37"/>
      <c r="E270" s="70"/>
      <c r="F270" s="70"/>
      <c r="G270" s="37"/>
      <c r="H270" s="70"/>
      <c r="I270" s="70"/>
      <c r="J270" s="37"/>
      <c r="K270" s="70"/>
      <c r="L270" s="70"/>
      <c r="M270" s="70"/>
      <c r="N270" s="70"/>
      <c r="O270" s="70"/>
    </row>
    <row r="271" spans="1:15" x14ac:dyDescent="0.25">
      <c r="A271" s="37"/>
      <c r="B271" s="78"/>
      <c r="C271" s="70"/>
      <c r="D271" s="37"/>
      <c r="E271" s="70"/>
      <c r="F271" s="70"/>
      <c r="G271" s="37"/>
      <c r="H271" s="70"/>
      <c r="I271" s="70"/>
      <c r="J271" s="37"/>
      <c r="K271" s="70"/>
      <c r="L271" s="70"/>
      <c r="M271" s="70"/>
      <c r="N271" s="70"/>
      <c r="O271" s="70"/>
    </row>
    <row r="272" spans="1:15" x14ac:dyDescent="0.25">
      <c r="A272" s="37"/>
      <c r="B272" s="78"/>
      <c r="C272" s="70"/>
      <c r="D272" s="37"/>
      <c r="E272" s="70"/>
      <c r="F272" s="70"/>
      <c r="G272" s="37"/>
      <c r="H272" s="70"/>
      <c r="I272" s="70"/>
      <c r="J272" s="37"/>
      <c r="K272" s="70"/>
      <c r="L272" s="70"/>
      <c r="M272" s="70"/>
      <c r="N272" s="70"/>
      <c r="O272" s="70"/>
    </row>
    <row r="273" spans="1:15" x14ac:dyDescent="0.25">
      <c r="A273" s="37"/>
      <c r="B273" s="78"/>
      <c r="C273" s="70"/>
      <c r="D273" s="37"/>
      <c r="E273" s="70"/>
      <c r="F273" s="70"/>
      <c r="G273" s="37"/>
      <c r="H273" s="70"/>
      <c r="I273" s="70"/>
      <c r="J273" s="37"/>
      <c r="K273" s="70"/>
      <c r="L273" s="70"/>
      <c r="M273" s="70"/>
      <c r="N273" s="70"/>
      <c r="O273" s="70"/>
    </row>
    <row r="274" spans="1:15" x14ac:dyDescent="0.25">
      <c r="A274" s="37"/>
      <c r="B274" s="78"/>
      <c r="C274" s="70"/>
      <c r="D274" s="37"/>
      <c r="E274" s="70"/>
      <c r="F274" s="70"/>
      <c r="G274" s="37"/>
      <c r="H274" s="70"/>
      <c r="I274" s="70"/>
      <c r="J274" s="37"/>
      <c r="K274" s="70"/>
      <c r="L274" s="70"/>
      <c r="M274" s="70"/>
      <c r="N274" s="70"/>
      <c r="O274" s="70"/>
    </row>
    <row r="275" spans="1:15" x14ac:dyDescent="0.25">
      <c r="A275" s="37"/>
      <c r="B275" s="78"/>
      <c r="C275" s="70"/>
      <c r="D275" s="37"/>
      <c r="E275" s="70"/>
      <c r="F275" s="70"/>
      <c r="G275" s="37"/>
      <c r="H275" s="70"/>
      <c r="I275" s="70"/>
      <c r="J275" s="37"/>
      <c r="K275" s="70"/>
      <c r="L275" s="70"/>
      <c r="M275" s="70"/>
      <c r="N275" s="70"/>
      <c r="O275" s="70"/>
    </row>
    <row r="276" spans="1:15" x14ac:dyDescent="0.25">
      <c r="A276" s="37"/>
      <c r="B276" s="78"/>
      <c r="C276" s="70"/>
      <c r="D276" s="37"/>
      <c r="E276" s="70"/>
      <c r="F276" s="70"/>
      <c r="G276" s="37"/>
      <c r="H276" s="70"/>
      <c r="I276" s="70"/>
      <c r="J276" s="37"/>
      <c r="K276" s="70"/>
      <c r="L276" s="70"/>
      <c r="M276" s="70"/>
      <c r="N276" s="70"/>
      <c r="O276" s="70"/>
    </row>
    <row r="277" spans="1:15" x14ac:dyDescent="0.25">
      <c r="A277" s="37"/>
      <c r="B277" s="78"/>
      <c r="C277" s="70"/>
      <c r="D277" s="37"/>
      <c r="E277" s="70"/>
      <c r="F277" s="70"/>
      <c r="G277" s="37"/>
      <c r="H277" s="70"/>
      <c r="I277" s="70"/>
      <c r="J277" s="37"/>
      <c r="K277" s="70"/>
      <c r="L277" s="70"/>
      <c r="M277" s="70"/>
      <c r="N277" s="70"/>
      <c r="O277" s="70"/>
    </row>
    <row r="278" spans="1:15" x14ac:dyDescent="0.25">
      <c r="A278" s="37"/>
      <c r="B278" s="78"/>
      <c r="C278" s="70"/>
      <c r="D278" s="37"/>
      <c r="E278" s="70"/>
      <c r="F278" s="70"/>
      <c r="G278" s="37"/>
      <c r="H278" s="70"/>
      <c r="I278" s="70"/>
      <c r="J278" s="37"/>
      <c r="K278" s="70"/>
      <c r="L278" s="70"/>
      <c r="M278" s="70"/>
      <c r="N278" s="70"/>
      <c r="O278" s="70"/>
    </row>
    <row r="279" spans="1:15" x14ac:dyDescent="0.25">
      <c r="A279" s="37"/>
      <c r="B279" s="78"/>
      <c r="C279" s="70"/>
      <c r="D279" s="37"/>
      <c r="E279" s="70"/>
      <c r="F279" s="70"/>
      <c r="G279" s="37"/>
      <c r="H279" s="70"/>
      <c r="I279" s="70"/>
      <c r="J279" s="37"/>
      <c r="K279" s="70"/>
      <c r="L279" s="70"/>
      <c r="M279" s="70"/>
      <c r="N279" s="70"/>
      <c r="O279" s="70"/>
    </row>
    <row r="280" spans="1:15" x14ac:dyDescent="0.25">
      <c r="A280" s="37"/>
      <c r="B280" s="78"/>
      <c r="C280" s="70"/>
      <c r="D280" s="37"/>
      <c r="E280" s="70"/>
      <c r="F280" s="70"/>
      <c r="G280" s="37"/>
      <c r="H280" s="70"/>
      <c r="I280" s="70"/>
      <c r="J280" s="37"/>
      <c r="K280" s="70"/>
      <c r="L280" s="70"/>
      <c r="M280" s="70"/>
      <c r="N280" s="70"/>
      <c r="O280" s="70"/>
    </row>
    <row r="281" spans="1:15" x14ac:dyDescent="0.25">
      <c r="A281" s="37"/>
      <c r="B281" s="78"/>
      <c r="C281" s="70"/>
      <c r="D281" s="37"/>
      <c r="E281" s="70"/>
      <c r="F281" s="70"/>
      <c r="G281" s="37"/>
      <c r="H281" s="70"/>
      <c r="I281" s="70"/>
      <c r="J281" s="37"/>
      <c r="K281" s="70"/>
      <c r="L281" s="70"/>
      <c r="M281" s="70"/>
      <c r="N281" s="70"/>
      <c r="O281" s="70"/>
    </row>
    <row r="282" spans="1:15" x14ac:dyDescent="0.25">
      <c r="A282" s="37"/>
      <c r="B282" s="78"/>
      <c r="C282" s="70"/>
      <c r="D282" s="37"/>
      <c r="E282" s="70"/>
      <c r="F282" s="70"/>
      <c r="G282" s="37"/>
      <c r="H282" s="70"/>
      <c r="I282" s="70"/>
      <c r="J282" s="37"/>
      <c r="K282" s="70"/>
      <c r="L282" s="70"/>
      <c r="M282" s="70"/>
      <c r="N282" s="70"/>
      <c r="O282" s="70"/>
    </row>
    <row r="283" spans="1:15" x14ac:dyDescent="0.25">
      <c r="A283" s="37"/>
      <c r="B283" s="78"/>
      <c r="C283" s="70"/>
      <c r="D283" s="37"/>
      <c r="E283" s="70"/>
      <c r="F283" s="70"/>
      <c r="G283" s="37"/>
      <c r="H283" s="70"/>
      <c r="I283" s="70"/>
      <c r="J283" s="37"/>
      <c r="K283" s="70"/>
      <c r="L283" s="70"/>
      <c r="M283" s="70"/>
      <c r="N283" s="70"/>
      <c r="O283" s="70"/>
    </row>
    <row r="284" spans="1:15" x14ac:dyDescent="0.25">
      <c r="A284" s="37"/>
      <c r="B284" s="78"/>
      <c r="C284" s="70"/>
      <c r="D284" s="37"/>
      <c r="E284" s="70"/>
      <c r="F284" s="70"/>
      <c r="G284" s="37"/>
      <c r="H284" s="70"/>
      <c r="I284" s="70"/>
      <c r="J284" s="37"/>
      <c r="K284" s="70"/>
      <c r="L284" s="70"/>
      <c r="M284" s="70"/>
      <c r="N284" s="70"/>
      <c r="O284" s="70"/>
    </row>
    <row r="285" spans="1:15" x14ac:dyDescent="0.25">
      <c r="A285" s="37"/>
      <c r="B285" s="78"/>
      <c r="C285" s="70"/>
      <c r="D285" s="37"/>
      <c r="E285" s="70"/>
      <c r="F285" s="70"/>
      <c r="G285" s="37"/>
      <c r="H285" s="70"/>
      <c r="I285" s="70"/>
      <c r="J285" s="37"/>
      <c r="K285" s="70"/>
      <c r="L285" s="70"/>
      <c r="M285" s="70"/>
      <c r="N285" s="70"/>
      <c r="O285" s="70"/>
    </row>
    <row r="286" spans="1:15" x14ac:dyDescent="0.25">
      <c r="A286" s="37"/>
      <c r="B286" s="78"/>
      <c r="C286" s="70"/>
      <c r="D286" s="37"/>
      <c r="E286" s="70"/>
      <c r="F286" s="70"/>
      <c r="G286" s="37"/>
      <c r="H286" s="70"/>
      <c r="I286" s="70"/>
      <c r="J286" s="37"/>
      <c r="K286" s="70"/>
      <c r="L286" s="70"/>
      <c r="M286" s="70"/>
      <c r="N286" s="70"/>
      <c r="O286" s="70"/>
    </row>
    <row r="287" spans="1:15" x14ac:dyDescent="0.25">
      <c r="A287" s="37"/>
      <c r="B287" s="78"/>
      <c r="C287" s="70"/>
      <c r="D287" s="37"/>
      <c r="E287" s="70"/>
      <c r="F287" s="70"/>
      <c r="G287" s="37"/>
      <c r="H287" s="70"/>
      <c r="I287" s="70"/>
      <c r="J287" s="37"/>
      <c r="K287" s="70"/>
      <c r="L287" s="70"/>
      <c r="M287" s="70"/>
      <c r="N287" s="70"/>
      <c r="O287" s="70"/>
    </row>
    <row r="288" spans="1:15" x14ac:dyDescent="0.25">
      <c r="A288" s="37"/>
      <c r="B288" s="78"/>
      <c r="C288" s="70"/>
      <c r="D288" s="37"/>
      <c r="E288" s="70"/>
      <c r="F288" s="70"/>
      <c r="G288" s="37"/>
      <c r="H288" s="70"/>
      <c r="I288" s="70"/>
      <c r="J288" s="37"/>
      <c r="K288" s="70"/>
      <c r="L288" s="70"/>
      <c r="M288" s="70"/>
      <c r="N288" s="70"/>
      <c r="O288" s="70"/>
    </row>
    <row r="289" spans="1:15" x14ac:dyDescent="0.25">
      <c r="A289" s="37"/>
      <c r="B289" s="78"/>
      <c r="C289" s="70"/>
      <c r="D289" s="37"/>
      <c r="E289" s="70"/>
      <c r="F289" s="70"/>
      <c r="G289" s="37"/>
      <c r="H289" s="70"/>
      <c r="I289" s="70"/>
      <c r="J289" s="37"/>
      <c r="K289" s="70"/>
      <c r="L289" s="70"/>
      <c r="M289" s="70"/>
      <c r="N289" s="70"/>
      <c r="O289" s="70"/>
    </row>
    <row r="290" spans="1:15" x14ac:dyDescent="0.25">
      <c r="A290" s="37"/>
      <c r="B290" s="78"/>
      <c r="C290" s="70"/>
      <c r="D290" s="37"/>
      <c r="E290" s="70"/>
      <c r="F290" s="70"/>
      <c r="G290" s="37"/>
      <c r="H290" s="70"/>
      <c r="I290" s="70"/>
      <c r="J290" s="37"/>
      <c r="K290" s="70"/>
      <c r="L290" s="70"/>
      <c r="M290" s="70"/>
      <c r="N290" s="70"/>
      <c r="O290" s="70"/>
    </row>
    <row r="291" spans="1:15" x14ac:dyDescent="0.25">
      <c r="A291" s="37"/>
      <c r="B291" s="78"/>
      <c r="C291" s="70"/>
      <c r="D291" s="37"/>
      <c r="E291" s="70"/>
      <c r="F291" s="70"/>
      <c r="G291" s="37"/>
      <c r="H291" s="70"/>
      <c r="I291" s="70"/>
      <c r="J291" s="37"/>
      <c r="K291" s="70"/>
      <c r="L291" s="70"/>
      <c r="M291" s="70"/>
      <c r="N291" s="70"/>
      <c r="O291" s="70"/>
    </row>
    <row r="292" spans="1:15" x14ac:dyDescent="0.25">
      <c r="A292" s="37"/>
      <c r="B292" s="78"/>
      <c r="C292" s="70"/>
      <c r="D292" s="37"/>
      <c r="E292" s="70"/>
      <c r="F292" s="70"/>
      <c r="G292" s="37"/>
      <c r="H292" s="70"/>
      <c r="I292" s="70"/>
      <c r="J292" s="37"/>
      <c r="K292" s="70"/>
      <c r="L292" s="70"/>
      <c r="M292" s="70"/>
      <c r="N292" s="70"/>
      <c r="O292" s="70"/>
    </row>
    <row r="293" spans="1:15" x14ac:dyDescent="0.25">
      <c r="A293" s="37"/>
      <c r="B293" s="78"/>
      <c r="C293" s="70"/>
      <c r="D293" s="37"/>
      <c r="E293" s="70"/>
      <c r="F293" s="70"/>
      <c r="G293" s="37"/>
      <c r="H293" s="70"/>
      <c r="I293" s="70"/>
      <c r="J293" s="37"/>
      <c r="K293" s="70"/>
      <c r="L293" s="70"/>
      <c r="M293" s="70"/>
      <c r="N293" s="70"/>
      <c r="O293" s="70"/>
    </row>
    <row r="294" spans="1:15" x14ac:dyDescent="0.25">
      <c r="A294" s="37"/>
      <c r="B294" s="78"/>
      <c r="C294" s="70"/>
      <c r="D294" s="37"/>
      <c r="E294" s="70"/>
      <c r="F294" s="70"/>
      <c r="G294" s="37"/>
      <c r="H294" s="70"/>
      <c r="I294" s="70"/>
      <c r="J294" s="37"/>
      <c r="K294" s="70"/>
      <c r="L294" s="70"/>
      <c r="M294" s="70"/>
      <c r="N294" s="70"/>
      <c r="O294" s="70"/>
    </row>
    <row r="295" spans="1:15" x14ac:dyDescent="0.25">
      <c r="A295" s="37"/>
      <c r="B295" s="78"/>
      <c r="C295" s="70"/>
      <c r="D295" s="37"/>
      <c r="E295" s="70"/>
      <c r="F295" s="70"/>
      <c r="G295" s="37"/>
      <c r="H295" s="70"/>
      <c r="I295" s="70"/>
      <c r="J295" s="37"/>
      <c r="K295" s="70"/>
      <c r="L295" s="70"/>
      <c r="M295" s="70"/>
      <c r="N295" s="70"/>
      <c r="O295" s="70"/>
    </row>
    <row r="296" spans="1:15" x14ac:dyDescent="0.25">
      <c r="A296" s="37"/>
      <c r="B296" s="78"/>
      <c r="C296" s="70"/>
      <c r="D296" s="37"/>
      <c r="E296" s="70"/>
      <c r="F296" s="70"/>
      <c r="G296" s="37"/>
      <c r="H296" s="70"/>
      <c r="I296" s="70"/>
      <c r="J296" s="37"/>
      <c r="K296" s="70"/>
      <c r="L296" s="70"/>
      <c r="M296" s="70"/>
      <c r="N296" s="70"/>
      <c r="O296" s="70"/>
    </row>
    <row r="297" spans="1:15" x14ac:dyDescent="0.25">
      <c r="A297" s="37"/>
      <c r="B297" s="78"/>
      <c r="C297" s="70"/>
      <c r="D297" s="37"/>
      <c r="E297" s="70"/>
      <c r="F297" s="70"/>
      <c r="G297" s="37"/>
      <c r="H297" s="70"/>
      <c r="I297" s="70"/>
      <c r="J297" s="37"/>
      <c r="K297" s="70"/>
      <c r="L297" s="70"/>
      <c r="M297" s="70"/>
      <c r="N297" s="70"/>
      <c r="O297" s="70"/>
    </row>
    <row r="298" spans="1:15" x14ac:dyDescent="0.25">
      <c r="A298" s="37"/>
      <c r="B298" s="78"/>
      <c r="C298" s="70"/>
      <c r="D298" s="37"/>
      <c r="E298" s="70"/>
      <c r="F298" s="70"/>
      <c r="G298" s="37"/>
      <c r="H298" s="70"/>
      <c r="I298" s="70"/>
      <c r="J298" s="37"/>
      <c r="K298" s="70"/>
      <c r="L298" s="70"/>
      <c r="M298" s="70"/>
      <c r="N298" s="70"/>
      <c r="O298" s="70"/>
    </row>
    <row r="299" spans="1:15" x14ac:dyDescent="0.25">
      <c r="A299" s="37"/>
      <c r="B299" s="78"/>
      <c r="C299" s="70"/>
      <c r="D299" s="37"/>
      <c r="E299" s="70"/>
      <c r="F299" s="70"/>
      <c r="G299" s="37"/>
      <c r="H299" s="70"/>
      <c r="I299" s="70"/>
      <c r="J299" s="37"/>
      <c r="K299" s="70"/>
      <c r="L299" s="70"/>
      <c r="M299" s="70"/>
      <c r="N299" s="70"/>
      <c r="O299" s="70"/>
    </row>
    <row r="300" spans="1:15" x14ac:dyDescent="0.25">
      <c r="A300" s="37"/>
      <c r="B300" s="78"/>
      <c r="C300" s="70"/>
      <c r="D300" s="37"/>
      <c r="E300" s="70"/>
      <c r="F300" s="70"/>
      <c r="G300" s="37"/>
      <c r="H300" s="70"/>
      <c r="I300" s="70"/>
      <c r="J300" s="37"/>
      <c r="K300" s="70"/>
      <c r="L300" s="70"/>
      <c r="M300" s="70"/>
      <c r="N300" s="70"/>
      <c r="O300" s="70"/>
    </row>
    <row r="301" spans="1:15" x14ac:dyDescent="0.25">
      <c r="A301" s="37"/>
      <c r="B301" s="78"/>
      <c r="C301" s="70"/>
      <c r="D301" s="37"/>
      <c r="E301" s="70"/>
      <c r="F301" s="70"/>
      <c r="G301" s="37"/>
      <c r="H301" s="70"/>
      <c r="I301" s="70"/>
      <c r="J301" s="37"/>
      <c r="K301" s="70"/>
      <c r="L301" s="70"/>
      <c r="M301" s="70"/>
      <c r="N301" s="70"/>
      <c r="O301" s="70"/>
    </row>
    <row r="302" spans="1:15" x14ac:dyDescent="0.25">
      <c r="A302" s="37"/>
      <c r="B302" s="78"/>
      <c r="C302" s="70"/>
      <c r="D302" s="37"/>
      <c r="E302" s="70"/>
      <c r="F302" s="70"/>
      <c r="G302" s="37"/>
      <c r="H302" s="70"/>
      <c r="I302" s="70"/>
      <c r="J302" s="37"/>
      <c r="K302" s="70"/>
      <c r="L302" s="70"/>
      <c r="M302" s="70"/>
      <c r="N302" s="70"/>
      <c r="O302" s="70"/>
    </row>
    <row r="303" spans="1:15" x14ac:dyDescent="0.25">
      <c r="A303" s="37"/>
      <c r="B303" s="78"/>
      <c r="C303" s="70"/>
      <c r="D303" s="37"/>
      <c r="E303" s="70"/>
      <c r="F303" s="70"/>
      <c r="G303" s="37"/>
      <c r="H303" s="70"/>
      <c r="I303" s="70"/>
      <c r="J303" s="37"/>
      <c r="K303" s="70"/>
      <c r="L303" s="70"/>
      <c r="M303" s="70"/>
      <c r="N303" s="70"/>
      <c r="O303" s="70"/>
    </row>
    <row r="304" spans="1:15" x14ac:dyDescent="0.25">
      <c r="A304" s="37"/>
      <c r="B304" s="78"/>
      <c r="C304" s="70"/>
      <c r="D304" s="37"/>
      <c r="E304" s="70"/>
      <c r="F304" s="70"/>
      <c r="G304" s="37"/>
      <c r="H304" s="70"/>
      <c r="I304" s="70"/>
      <c r="J304" s="37"/>
      <c r="K304" s="70"/>
      <c r="L304" s="70"/>
      <c r="M304" s="70"/>
      <c r="N304" s="70"/>
      <c r="O304" s="70"/>
    </row>
    <row r="305" spans="1:15" x14ac:dyDescent="0.25">
      <c r="A305" s="37"/>
      <c r="B305" s="78"/>
      <c r="C305" s="70"/>
      <c r="D305" s="37"/>
      <c r="E305" s="70"/>
      <c r="F305" s="70"/>
      <c r="G305" s="37"/>
      <c r="H305" s="70"/>
      <c r="I305" s="70"/>
      <c r="J305" s="37"/>
      <c r="K305" s="70"/>
      <c r="L305" s="70"/>
      <c r="M305" s="70"/>
      <c r="N305" s="70"/>
      <c r="O305" s="70"/>
    </row>
    <row r="306" spans="1:15" x14ac:dyDescent="0.25">
      <c r="A306" s="37"/>
      <c r="B306" s="78"/>
      <c r="C306" s="70"/>
      <c r="D306" s="37"/>
      <c r="E306" s="70"/>
      <c r="F306" s="70"/>
      <c r="G306" s="37"/>
      <c r="H306" s="70"/>
      <c r="I306" s="70"/>
      <c r="J306" s="37"/>
      <c r="K306" s="70"/>
      <c r="L306" s="70"/>
      <c r="M306" s="70"/>
      <c r="N306" s="70"/>
      <c r="O306" s="70"/>
    </row>
    <row r="307" spans="1:15" x14ac:dyDescent="0.25">
      <c r="A307" s="37"/>
      <c r="B307" s="78"/>
      <c r="C307" s="70"/>
      <c r="D307" s="37"/>
      <c r="E307" s="70"/>
      <c r="F307" s="70"/>
      <c r="G307" s="37"/>
      <c r="H307" s="70"/>
      <c r="I307" s="70"/>
      <c r="J307" s="37"/>
      <c r="K307" s="70"/>
      <c r="L307" s="70"/>
      <c r="M307" s="70"/>
      <c r="N307" s="70"/>
      <c r="O307" s="70"/>
    </row>
    <row r="308" spans="1:15" x14ac:dyDescent="0.25">
      <c r="A308" s="37"/>
      <c r="B308" s="78"/>
      <c r="C308" s="70"/>
      <c r="D308" s="37"/>
      <c r="E308" s="70"/>
      <c r="F308" s="70"/>
      <c r="G308" s="37"/>
      <c r="H308" s="70"/>
      <c r="I308" s="70"/>
      <c r="J308" s="37"/>
      <c r="K308" s="70"/>
      <c r="L308" s="70"/>
      <c r="M308" s="70"/>
      <c r="N308" s="70"/>
      <c r="O308" s="70"/>
    </row>
    <row r="309" spans="1:15" x14ac:dyDescent="0.25">
      <c r="A309" s="37"/>
      <c r="B309" s="78"/>
      <c r="C309" s="70"/>
      <c r="D309" s="37"/>
      <c r="E309" s="70"/>
      <c r="F309" s="70"/>
      <c r="G309" s="37"/>
      <c r="H309" s="70"/>
      <c r="I309" s="70"/>
      <c r="J309" s="37"/>
      <c r="K309" s="70"/>
      <c r="L309" s="70"/>
      <c r="M309" s="70"/>
      <c r="N309" s="70"/>
      <c r="O309" s="70"/>
    </row>
    <row r="310" spans="1:15" x14ac:dyDescent="0.25">
      <c r="A310" s="37"/>
      <c r="B310" s="78"/>
      <c r="C310" s="70"/>
      <c r="D310" s="37"/>
      <c r="E310" s="70"/>
      <c r="F310" s="70"/>
      <c r="G310" s="37"/>
      <c r="H310" s="70"/>
      <c r="I310" s="70"/>
      <c r="J310" s="37"/>
      <c r="K310" s="70"/>
      <c r="L310" s="70"/>
      <c r="M310" s="70"/>
      <c r="N310" s="70"/>
      <c r="O310" s="70"/>
    </row>
    <row r="311" spans="1:15" x14ac:dyDescent="0.25">
      <c r="A311" s="37"/>
      <c r="B311" s="78"/>
      <c r="C311" s="70"/>
      <c r="D311" s="37"/>
      <c r="E311" s="70"/>
      <c r="F311" s="70"/>
      <c r="G311" s="37"/>
      <c r="H311" s="70"/>
      <c r="I311" s="70"/>
      <c r="J311" s="37"/>
      <c r="K311" s="70"/>
      <c r="L311" s="70"/>
      <c r="M311" s="70"/>
      <c r="N311" s="70"/>
      <c r="O311" s="70"/>
    </row>
    <row r="312" spans="1:15" x14ac:dyDescent="0.25">
      <c r="A312" s="37"/>
      <c r="B312" s="78"/>
      <c r="C312" s="70"/>
      <c r="D312" s="37"/>
      <c r="E312" s="70"/>
      <c r="F312" s="70"/>
      <c r="G312" s="37"/>
      <c r="H312" s="70"/>
      <c r="I312" s="70"/>
      <c r="J312" s="37"/>
      <c r="K312" s="70"/>
      <c r="L312" s="70"/>
      <c r="M312" s="70"/>
      <c r="N312" s="70"/>
      <c r="O312" s="70"/>
    </row>
    <row r="313" spans="1:15" x14ac:dyDescent="0.25">
      <c r="A313" s="37"/>
      <c r="B313" s="78"/>
      <c r="C313" s="70"/>
      <c r="D313" s="37"/>
      <c r="E313" s="70"/>
      <c r="F313" s="70"/>
      <c r="G313" s="37"/>
      <c r="H313" s="70"/>
      <c r="I313" s="70"/>
      <c r="J313" s="37"/>
      <c r="K313" s="70"/>
      <c r="L313" s="70"/>
      <c r="M313" s="70"/>
      <c r="N313" s="70"/>
      <c r="O313" s="70"/>
    </row>
    <row r="314" spans="1:15" x14ac:dyDescent="0.25">
      <c r="A314" s="37"/>
      <c r="B314" s="78"/>
      <c r="C314" s="70"/>
      <c r="D314" s="37"/>
      <c r="E314" s="70"/>
      <c r="F314" s="70"/>
      <c r="G314" s="37"/>
      <c r="H314" s="70"/>
      <c r="I314" s="70"/>
      <c r="J314" s="37"/>
      <c r="K314" s="70"/>
      <c r="L314" s="70"/>
      <c r="M314" s="70"/>
      <c r="N314" s="70"/>
      <c r="O314" s="70"/>
    </row>
    <row r="315" spans="1:15" x14ac:dyDescent="0.25">
      <c r="A315" s="37"/>
      <c r="B315" s="78"/>
      <c r="C315" s="70"/>
      <c r="D315" s="37"/>
      <c r="E315" s="70"/>
      <c r="F315" s="70"/>
      <c r="G315" s="37"/>
      <c r="H315" s="70"/>
      <c r="I315" s="70"/>
      <c r="J315" s="37"/>
      <c r="K315" s="70"/>
      <c r="L315" s="70"/>
      <c r="M315" s="70"/>
      <c r="N315" s="70"/>
      <c r="O315" s="70"/>
    </row>
    <row r="316" spans="1:15" x14ac:dyDescent="0.25">
      <c r="A316" s="37"/>
      <c r="B316" s="78"/>
      <c r="C316" s="70"/>
      <c r="D316" s="37"/>
      <c r="E316" s="70"/>
      <c r="F316" s="70"/>
      <c r="G316" s="37"/>
      <c r="H316" s="70"/>
      <c r="I316" s="70"/>
      <c r="J316" s="37"/>
      <c r="K316" s="70"/>
      <c r="L316" s="70"/>
      <c r="M316" s="70"/>
      <c r="N316" s="70"/>
      <c r="O316" s="70"/>
    </row>
    <row r="317" spans="1:15" x14ac:dyDescent="0.25">
      <c r="A317" s="37"/>
      <c r="B317" s="78"/>
      <c r="C317" s="70"/>
      <c r="D317" s="37"/>
      <c r="E317" s="70"/>
      <c r="F317" s="70"/>
      <c r="G317" s="37"/>
      <c r="H317" s="70"/>
      <c r="I317" s="70"/>
      <c r="J317" s="37"/>
      <c r="K317" s="70"/>
      <c r="L317" s="70"/>
      <c r="M317" s="70"/>
      <c r="N317" s="70"/>
      <c r="O317" s="70"/>
    </row>
    <row r="318" spans="1:15" x14ac:dyDescent="0.25">
      <c r="A318" s="37"/>
      <c r="B318" s="78"/>
      <c r="C318" s="70"/>
      <c r="D318" s="37"/>
      <c r="E318" s="70"/>
      <c r="F318" s="70"/>
      <c r="G318" s="37"/>
      <c r="H318" s="70"/>
      <c r="I318" s="70"/>
      <c r="J318" s="37"/>
      <c r="K318" s="70"/>
      <c r="L318" s="70"/>
      <c r="M318" s="70"/>
      <c r="N318" s="70"/>
      <c r="O318" s="70"/>
    </row>
    <row r="319" spans="1:15" x14ac:dyDescent="0.25">
      <c r="A319" s="37"/>
      <c r="B319" s="78"/>
      <c r="C319" s="70"/>
      <c r="D319" s="37"/>
      <c r="E319" s="70"/>
      <c r="F319" s="70"/>
      <c r="G319" s="37"/>
      <c r="H319" s="70"/>
      <c r="I319" s="70"/>
      <c r="J319" s="37"/>
      <c r="K319" s="70"/>
      <c r="L319" s="70"/>
      <c r="M319" s="70"/>
      <c r="N319" s="70"/>
      <c r="O319" s="70"/>
    </row>
    <row r="320" spans="1:15" x14ac:dyDescent="0.25">
      <c r="A320" s="37"/>
      <c r="B320" s="78"/>
      <c r="C320" s="70"/>
      <c r="D320" s="37"/>
      <c r="E320" s="70"/>
      <c r="F320" s="70"/>
      <c r="G320" s="37"/>
      <c r="H320" s="70"/>
      <c r="I320" s="70"/>
      <c r="J320" s="37"/>
      <c r="K320" s="70"/>
      <c r="L320" s="70"/>
      <c r="M320" s="70"/>
      <c r="N320" s="70"/>
      <c r="O320" s="70"/>
    </row>
    <row r="321" spans="1:15" x14ac:dyDescent="0.25">
      <c r="A321" s="37"/>
      <c r="B321" s="78"/>
      <c r="C321" s="70"/>
      <c r="D321" s="37"/>
      <c r="E321" s="70"/>
      <c r="F321" s="70"/>
      <c r="G321" s="37"/>
      <c r="H321" s="70"/>
      <c r="I321" s="70"/>
      <c r="J321" s="37"/>
      <c r="K321" s="70"/>
      <c r="L321" s="70"/>
      <c r="M321" s="70"/>
      <c r="N321" s="70"/>
      <c r="O321" s="70"/>
    </row>
    <row r="322" spans="1:15" x14ac:dyDescent="0.25">
      <c r="A322" s="37"/>
      <c r="B322" s="78"/>
      <c r="C322" s="70"/>
      <c r="D322" s="37"/>
      <c r="E322" s="70"/>
      <c r="F322" s="70"/>
      <c r="G322" s="37"/>
      <c r="H322" s="70"/>
      <c r="I322" s="70"/>
      <c r="J322" s="37"/>
      <c r="K322" s="70"/>
      <c r="L322" s="70"/>
      <c r="M322" s="70"/>
      <c r="N322" s="70"/>
      <c r="O322" s="70"/>
    </row>
    <row r="323" spans="1:15" x14ac:dyDescent="0.25">
      <c r="A323" s="37"/>
      <c r="B323" s="78"/>
      <c r="C323" s="70"/>
      <c r="D323" s="37"/>
      <c r="E323" s="70"/>
      <c r="F323" s="70"/>
      <c r="G323" s="37"/>
      <c r="H323" s="70"/>
      <c r="I323" s="70"/>
      <c r="J323" s="37"/>
      <c r="K323" s="70"/>
      <c r="L323" s="70"/>
      <c r="M323" s="70"/>
      <c r="N323" s="70"/>
      <c r="O323" s="70"/>
    </row>
    <row r="324" spans="1:15" x14ac:dyDescent="0.25">
      <c r="A324" s="37"/>
      <c r="B324" s="78"/>
      <c r="C324" s="70"/>
      <c r="D324" s="37"/>
      <c r="E324" s="70"/>
      <c r="F324" s="70"/>
      <c r="G324" s="37"/>
      <c r="H324" s="70"/>
      <c r="I324" s="70"/>
      <c r="J324" s="37"/>
      <c r="K324" s="70"/>
      <c r="L324" s="70"/>
      <c r="M324" s="70"/>
      <c r="N324" s="70"/>
      <c r="O324" s="70"/>
    </row>
    <row r="325" spans="1:15" x14ac:dyDescent="0.25">
      <c r="A325" s="37"/>
      <c r="B325" s="78"/>
      <c r="C325" s="70"/>
      <c r="D325" s="37"/>
      <c r="E325" s="70"/>
      <c r="F325" s="70"/>
      <c r="G325" s="37"/>
      <c r="H325" s="70"/>
      <c r="I325" s="70"/>
      <c r="J325" s="37"/>
      <c r="K325" s="70"/>
      <c r="L325" s="70"/>
      <c r="M325" s="70"/>
      <c r="N325" s="70"/>
      <c r="O325" s="70"/>
    </row>
    <row r="326" spans="1:15" x14ac:dyDescent="0.25">
      <c r="A326" s="37"/>
      <c r="B326" s="78"/>
      <c r="C326" s="70"/>
      <c r="D326" s="37"/>
      <c r="E326" s="70"/>
      <c r="F326" s="70"/>
      <c r="G326" s="37"/>
      <c r="H326" s="70"/>
      <c r="I326" s="70"/>
      <c r="J326" s="37"/>
      <c r="K326" s="70"/>
      <c r="L326" s="70"/>
      <c r="M326" s="70"/>
      <c r="N326" s="70"/>
      <c r="O326" s="70"/>
    </row>
    <row r="327" spans="1:15" x14ac:dyDescent="0.25">
      <c r="A327" s="37"/>
      <c r="B327" s="78"/>
      <c r="C327" s="70"/>
      <c r="D327" s="37"/>
      <c r="E327" s="70"/>
      <c r="F327" s="70"/>
      <c r="G327" s="37"/>
      <c r="H327" s="70"/>
      <c r="I327" s="70"/>
      <c r="J327" s="37"/>
      <c r="K327" s="70"/>
      <c r="L327" s="70"/>
      <c r="M327" s="70"/>
      <c r="N327" s="70"/>
      <c r="O327" s="70"/>
    </row>
    <row r="328" spans="1:15" x14ac:dyDescent="0.25">
      <c r="A328" s="37"/>
      <c r="B328" s="78"/>
      <c r="C328" s="70"/>
      <c r="D328" s="37"/>
      <c r="E328" s="70"/>
      <c r="F328" s="70"/>
      <c r="G328" s="37"/>
      <c r="H328" s="70"/>
      <c r="I328" s="70"/>
      <c r="J328" s="37"/>
      <c r="K328" s="70"/>
      <c r="L328" s="70"/>
      <c r="M328" s="70"/>
      <c r="N328" s="70"/>
      <c r="O328" s="70"/>
    </row>
    <row r="329" spans="1:15" x14ac:dyDescent="0.25">
      <c r="A329" s="37"/>
      <c r="B329" s="78"/>
      <c r="C329" s="70"/>
      <c r="D329" s="37"/>
      <c r="E329" s="70"/>
      <c r="F329" s="70"/>
      <c r="G329" s="37"/>
      <c r="H329" s="70"/>
      <c r="I329" s="70"/>
      <c r="J329" s="37"/>
      <c r="K329" s="70"/>
      <c r="L329" s="70"/>
      <c r="M329" s="70"/>
      <c r="N329" s="70"/>
      <c r="O329" s="70"/>
    </row>
    <row r="330" spans="1:15" x14ac:dyDescent="0.25">
      <c r="A330" s="37"/>
      <c r="B330" s="78"/>
      <c r="C330" s="70"/>
      <c r="D330" s="37"/>
      <c r="E330" s="70"/>
      <c r="F330" s="70"/>
      <c r="G330" s="37"/>
      <c r="H330" s="70"/>
      <c r="I330" s="70"/>
      <c r="J330" s="37"/>
      <c r="K330" s="70"/>
      <c r="L330" s="70"/>
      <c r="M330" s="70"/>
      <c r="N330" s="70"/>
      <c r="O330" s="70"/>
    </row>
    <row r="331" spans="1:15" x14ac:dyDescent="0.25">
      <c r="A331" s="37"/>
      <c r="B331" s="78"/>
      <c r="C331" s="70"/>
      <c r="D331" s="37"/>
      <c r="E331" s="70"/>
      <c r="F331" s="70"/>
      <c r="G331" s="37"/>
      <c r="H331" s="70"/>
      <c r="I331" s="70"/>
      <c r="J331" s="37"/>
      <c r="K331" s="70"/>
      <c r="L331" s="70"/>
      <c r="M331" s="70"/>
      <c r="N331" s="70"/>
      <c r="O331" s="70"/>
    </row>
    <row r="332" spans="1:15" x14ac:dyDescent="0.25">
      <c r="A332" s="37"/>
      <c r="B332" s="78"/>
      <c r="C332" s="70"/>
      <c r="D332" s="37"/>
      <c r="E332" s="70"/>
      <c r="F332" s="70"/>
      <c r="G332" s="37"/>
      <c r="H332" s="70"/>
      <c r="I332" s="70"/>
      <c r="J332" s="37"/>
      <c r="K332" s="70"/>
      <c r="L332" s="70"/>
      <c r="M332" s="70"/>
      <c r="N332" s="70"/>
      <c r="O332" s="70"/>
    </row>
    <row r="333" spans="1:15" x14ac:dyDescent="0.25">
      <c r="A333" s="37"/>
      <c r="B333" s="78"/>
      <c r="C333" s="70"/>
      <c r="D333" s="37"/>
      <c r="E333" s="70"/>
      <c r="F333" s="70"/>
      <c r="G333" s="37"/>
      <c r="H333" s="70"/>
      <c r="I333" s="70"/>
      <c r="J333" s="37"/>
      <c r="K333" s="70"/>
      <c r="L333" s="70"/>
      <c r="M333" s="70"/>
      <c r="N333" s="70"/>
      <c r="O333" s="70"/>
    </row>
    <row r="334" spans="1:15" x14ac:dyDescent="0.25">
      <c r="A334" s="37"/>
      <c r="B334" s="78"/>
      <c r="C334" s="70"/>
      <c r="D334" s="37"/>
      <c r="E334" s="70"/>
      <c r="F334" s="70"/>
      <c r="G334" s="37"/>
      <c r="H334" s="70"/>
      <c r="I334" s="70"/>
      <c r="J334" s="37"/>
      <c r="K334" s="70"/>
      <c r="L334" s="70"/>
      <c r="M334" s="70"/>
      <c r="N334" s="70"/>
      <c r="O334" s="70"/>
    </row>
    <row r="335" spans="1:15" x14ac:dyDescent="0.25">
      <c r="A335" s="37"/>
      <c r="B335" s="78"/>
      <c r="C335" s="70"/>
      <c r="D335" s="37"/>
      <c r="E335" s="70"/>
      <c r="F335" s="70"/>
      <c r="G335" s="37"/>
      <c r="H335" s="70"/>
      <c r="I335" s="70"/>
      <c r="J335" s="37"/>
      <c r="K335" s="70"/>
      <c r="L335" s="70"/>
      <c r="M335" s="70"/>
      <c r="N335" s="70"/>
      <c r="O335" s="70"/>
    </row>
    <row r="336" spans="1:15" x14ac:dyDescent="0.25">
      <c r="A336" s="37"/>
      <c r="B336" s="78"/>
      <c r="C336" s="70"/>
      <c r="D336" s="37"/>
      <c r="E336" s="70"/>
      <c r="F336" s="70"/>
      <c r="G336" s="37"/>
      <c r="H336" s="70"/>
      <c r="I336" s="70"/>
      <c r="J336" s="37"/>
      <c r="K336" s="70"/>
      <c r="L336" s="70"/>
      <c r="M336" s="70"/>
      <c r="N336" s="70"/>
      <c r="O336" s="70"/>
    </row>
    <row r="337" spans="1:15" x14ac:dyDescent="0.25">
      <c r="A337" s="37"/>
      <c r="B337" s="78"/>
      <c r="C337" s="70"/>
      <c r="D337" s="37"/>
      <c r="E337" s="70"/>
      <c r="F337" s="70"/>
      <c r="G337" s="37"/>
      <c r="H337" s="70"/>
      <c r="I337" s="70"/>
      <c r="J337" s="37"/>
      <c r="K337" s="70"/>
      <c r="L337" s="70"/>
      <c r="M337" s="70"/>
      <c r="N337" s="70"/>
      <c r="O337" s="70"/>
    </row>
    <row r="338" spans="1:15" x14ac:dyDescent="0.25">
      <c r="A338" s="37"/>
      <c r="B338" s="78"/>
      <c r="C338" s="70"/>
      <c r="D338" s="37"/>
      <c r="E338" s="70"/>
      <c r="F338" s="70"/>
      <c r="G338" s="37"/>
      <c r="H338" s="70"/>
      <c r="I338" s="70"/>
      <c r="J338" s="37"/>
      <c r="K338" s="70"/>
      <c r="L338" s="70"/>
      <c r="M338" s="70"/>
      <c r="N338" s="70"/>
      <c r="O338" s="70"/>
    </row>
    <row r="339" spans="1:15" x14ac:dyDescent="0.25">
      <c r="A339" s="37"/>
      <c r="B339" s="78"/>
      <c r="C339" s="70"/>
      <c r="D339" s="37"/>
      <c r="E339" s="70"/>
      <c r="F339" s="70"/>
      <c r="G339" s="37"/>
      <c r="H339" s="70"/>
      <c r="I339" s="70"/>
      <c r="J339" s="37"/>
      <c r="K339" s="70"/>
      <c r="L339" s="70"/>
      <c r="M339" s="70"/>
      <c r="N339" s="70"/>
      <c r="O339" s="70"/>
    </row>
    <row r="340" spans="1:15" x14ac:dyDescent="0.25">
      <c r="A340" s="37"/>
      <c r="B340" s="78"/>
      <c r="C340" s="70"/>
      <c r="D340" s="37"/>
      <c r="E340" s="70"/>
      <c r="F340" s="70"/>
      <c r="G340" s="37"/>
      <c r="H340" s="70"/>
      <c r="I340" s="70"/>
      <c r="J340" s="37"/>
      <c r="K340" s="70"/>
      <c r="L340" s="70"/>
      <c r="M340" s="70"/>
      <c r="N340" s="70"/>
      <c r="O340" s="70"/>
    </row>
    <row r="341" spans="1:15" x14ac:dyDescent="0.25">
      <c r="A341" s="37"/>
      <c r="B341" s="78"/>
      <c r="C341" s="70"/>
      <c r="D341" s="37"/>
      <c r="E341" s="70"/>
      <c r="F341" s="70"/>
      <c r="G341" s="37"/>
      <c r="H341" s="70"/>
      <c r="I341" s="70"/>
      <c r="J341" s="37"/>
      <c r="K341" s="70"/>
      <c r="L341" s="70"/>
      <c r="M341" s="70"/>
      <c r="N341" s="70"/>
      <c r="O341" s="70"/>
    </row>
    <row r="342" spans="1:15" x14ac:dyDescent="0.25">
      <c r="A342" s="37"/>
      <c r="B342" s="78"/>
      <c r="C342" s="70"/>
      <c r="D342" s="37"/>
      <c r="E342" s="70"/>
      <c r="F342" s="70"/>
      <c r="G342" s="37"/>
      <c r="H342" s="70"/>
      <c r="I342" s="70"/>
      <c r="J342" s="37"/>
      <c r="K342" s="70"/>
      <c r="L342" s="70"/>
      <c r="M342" s="70"/>
      <c r="N342" s="70"/>
      <c r="O342" s="70"/>
    </row>
    <row r="343" spans="1:15" x14ac:dyDescent="0.25">
      <c r="A343" s="37"/>
      <c r="B343" s="78"/>
      <c r="C343" s="70"/>
      <c r="D343" s="37"/>
      <c r="E343" s="70"/>
      <c r="F343" s="70"/>
      <c r="G343" s="37"/>
      <c r="H343" s="70"/>
      <c r="I343" s="70"/>
      <c r="J343" s="37"/>
      <c r="K343" s="70"/>
      <c r="L343" s="70"/>
      <c r="M343" s="70"/>
      <c r="N343" s="70"/>
      <c r="O343" s="70"/>
    </row>
    <row r="344" spans="1:15" x14ac:dyDescent="0.25">
      <c r="A344" s="37"/>
      <c r="B344" s="78"/>
      <c r="C344" s="70"/>
      <c r="D344" s="37"/>
      <c r="E344" s="70"/>
      <c r="F344" s="70"/>
      <c r="G344" s="37"/>
      <c r="H344" s="70"/>
      <c r="I344" s="70"/>
      <c r="J344" s="37"/>
      <c r="K344" s="70"/>
      <c r="L344" s="70"/>
      <c r="M344" s="70"/>
      <c r="N344" s="70"/>
      <c r="O344" s="70"/>
    </row>
    <row r="345" spans="1:15" x14ac:dyDescent="0.25">
      <c r="A345" s="37"/>
      <c r="B345" s="78"/>
      <c r="C345" s="70"/>
      <c r="D345" s="37"/>
      <c r="E345" s="70"/>
      <c r="F345" s="70"/>
      <c r="G345" s="37"/>
      <c r="H345" s="70"/>
      <c r="I345" s="70"/>
      <c r="J345" s="37"/>
      <c r="K345" s="70"/>
      <c r="L345" s="70"/>
      <c r="M345" s="70"/>
      <c r="N345" s="70"/>
      <c r="O345" s="70"/>
    </row>
    <row r="346" spans="1:15" x14ac:dyDescent="0.25">
      <c r="A346" s="37"/>
      <c r="B346" s="78"/>
      <c r="C346" s="70"/>
      <c r="D346" s="37"/>
      <c r="E346" s="70"/>
      <c r="F346" s="70"/>
      <c r="G346" s="37"/>
      <c r="H346" s="70"/>
      <c r="I346" s="70"/>
      <c r="J346" s="37"/>
      <c r="K346" s="70"/>
      <c r="L346" s="70"/>
      <c r="M346" s="70"/>
      <c r="N346" s="70"/>
      <c r="O346" s="70"/>
    </row>
    <row r="347" spans="1:15" x14ac:dyDescent="0.25">
      <c r="A347" s="37"/>
      <c r="B347" s="78"/>
      <c r="C347" s="70"/>
      <c r="D347" s="37"/>
      <c r="E347" s="70"/>
      <c r="F347" s="70"/>
      <c r="G347" s="37"/>
      <c r="H347" s="70"/>
      <c r="I347" s="70"/>
      <c r="J347" s="37"/>
      <c r="K347" s="70"/>
      <c r="L347" s="70"/>
      <c r="M347" s="70"/>
      <c r="N347" s="70"/>
      <c r="O347" s="70"/>
    </row>
    <row r="348" spans="1:15" x14ac:dyDescent="0.25">
      <c r="A348" s="37"/>
      <c r="B348" s="78"/>
      <c r="C348" s="70"/>
      <c r="D348" s="37"/>
      <c r="E348" s="70"/>
      <c r="F348" s="70"/>
      <c r="G348" s="37"/>
      <c r="H348" s="70"/>
      <c r="I348" s="70"/>
      <c r="J348" s="37"/>
      <c r="K348" s="70"/>
      <c r="L348" s="70"/>
      <c r="M348" s="70"/>
      <c r="N348" s="70"/>
      <c r="O348" s="70"/>
    </row>
    <row r="349" spans="1:15" x14ac:dyDescent="0.25">
      <c r="A349" s="37"/>
      <c r="B349" s="78"/>
      <c r="C349" s="70"/>
      <c r="D349" s="37"/>
      <c r="E349" s="70"/>
      <c r="F349" s="70"/>
      <c r="G349" s="37"/>
      <c r="H349" s="70"/>
      <c r="I349" s="70"/>
      <c r="J349" s="37"/>
      <c r="K349" s="70"/>
      <c r="L349" s="70"/>
      <c r="M349" s="70"/>
      <c r="N349" s="70"/>
      <c r="O349" s="70"/>
    </row>
    <row r="350" spans="1:15" x14ac:dyDescent="0.25">
      <c r="A350" s="37"/>
      <c r="B350" s="78"/>
      <c r="C350" s="70"/>
      <c r="D350" s="37"/>
      <c r="E350" s="70"/>
      <c r="F350" s="70"/>
      <c r="G350" s="37"/>
      <c r="H350" s="70"/>
      <c r="I350" s="70"/>
      <c r="J350" s="37"/>
      <c r="K350" s="70"/>
      <c r="L350" s="70"/>
      <c r="M350" s="70"/>
      <c r="N350" s="70"/>
      <c r="O350" s="70"/>
    </row>
    <row r="351" spans="1:15" x14ac:dyDescent="0.25">
      <c r="A351" s="37"/>
      <c r="B351" s="78"/>
      <c r="C351" s="70"/>
      <c r="D351" s="37"/>
      <c r="E351" s="70"/>
      <c r="F351" s="70"/>
      <c r="G351" s="37"/>
      <c r="H351" s="70"/>
      <c r="I351" s="70"/>
      <c r="J351" s="37"/>
      <c r="K351" s="70"/>
      <c r="L351" s="70"/>
      <c r="M351" s="70"/>
      <c r="N351" s="70"/>
      <c r="O351" s="70"/>
    </row>
    <row r="352" spans="1:15" x14ac:dyDescent="0.25">
      <c r="A352" s="37"/>
      <c r="B352" s="78"/>
      <c r="C352" s="70"/>
      <c r="D352" s="37"/>
      <c r="E352" s="70"/>
      <c r="F352" s="70"/>
      <c r="G352" s="37"/>
      <c r="H352" s="70"/>
      <c r="I352" s="70"/>
      <c r="J352" s="37"/>
      <c r="K352" s="70"/>
      <c r="L352" s="70"/>
      <c r="M352" s="70"/>
      <c r="N352" s="70"/>
      <c r="O352" s="70"/>
    </row>
    <row r="353" spans="1:15" x14ac:dyDescent="0.25">
      <c r="A353" s="37"/>
      <c r="B353" s="78"/>
      <c r="C353" s="70"/>
      <c r="D353" s="37"/>
      <c r="E353" s="70"/>
      <c r="F353" s="70"/>
      <c r="G353" s="37"/>
      <c r="H353" s="70"/>
      <c r="I353" s="70"/>
      <c r="J353" s="37"/>
      <c r="K353" s="70"/>
      <c r="L353" s="70"/>
      <c r="M353" s="70"/>
      <c r="N353" s="70"/>
      <c r="O353" s="70"/>
    </row>
    <row r="354" spans="1:15" x14ac:dyDescent="0.25">
      <c r="A354" s="37"/>
      <c r="B354" s="78"/>
      <c r="C354" s="70"/>
      <c r="D354" s="37"/>
      <c r="E354" s="70"/>
      <c r="F354" s="70"/>
      <c r="G354" s="37"/>
      <c r="H354" s="70"/>
      <c r="I354" s="70"/>
      <c r="J354" s="37"/>
      <c r="K354" s="70"/>
      <c r="L354" s="70"/>
      <c r="M354" s="70"/>
      <c r="N354" s="70"/>
      <c r="O354" s="70"/>
    </row>
    <row r="355" spans="1:15" x14ac:dyDescent="0.25">
      <c r="A355" s="37"/>
      <c r="B355" s="78"/>
      <c r="C355" s="70"/>
      <c r="D355" s="37"/>
      <c r="E355" s="70"/>
      <c r="F355" s="70"/>
      <c r="G355" s="37"/>
      <c r="H355" s="70"/>
      <c r="I355" s="70"/>
      <c r="J355" s="37"/>
      <c r="K355" s="70"/>
      <c r="L355" s="70"/>
      <c r="M355" s="70"/>
      <c r="N355" s="70"/>
      <c r="O355" s="70"/>
    </row>
    <row r="356" spans="1:15" x14ac:dyDescent="0.25">
      <c r="A356" s="37"/>
      <c r="B356" s="78"/>
      <c r="C356" s="70"/>
      <c r="D356" s="37"/>
      <c r="E356" s="70"/>
      <c r="F356" s="70"/>
      <c r="G356" s="37"/>
      <c r="H356" s="70"/>
      <c r="I356" s="70"/>
      <c r="J356" s="37"/>
      <c r="K356" s="70"/>
      <c r="L356" s="70"/>
      <c r="M356" s="70"/>
      <c r="N356" s="70"/>
      <c r="O356" s="70"/>
    </row>
    <row r="357" spans="1:15" x14ac:dyDescent="0.25">
      <c r="A357" s="37"/>
      <c r="B357" s="78"/>
      <c r="C357" s="70"/>
      <c r="D357" s="37"/>
      <c r="E357" s="70"/>
      <c r="F357" s="70"/>
      <c r="G357" s="37"/>
      <c r="H357" s="70"/>
      <c r="I357" s="70"/>
      <c r="J357" s="37"/>
      <c r="K357" s="70"/>
      <c r="L357" s="70"/>
      <c r="M357" s="70"/>
      <c r="N357" s="70"/>
      <c r="O357" s="70"/>
    </row>
    <row r="358" spans="1:15" x14ac:dyDescent="0.25">
      <c r="A358" s="37"/>
      <c r="B358" s="78"/>
      <c r="C358" s="70"/>
      <c r="D358" s="37"/>
      <c r="E358" s="70"/>
      <c r="F358" s="70"/>
      <c r="G358" s="37"/>
      <c r="H358" s="70"/>
      <c r="I358" s="70"/>
      <c r="J358" s="37"/>
      <c r="K358" s="70"/>
      <c r="L358" s="70"/>
      <c r="M358" s="70"/>
      <c r="N358" s="70"/>
      <c r="O358" s="70"/>
    </row>
    <row r="359" spans="1:15" x14ac:dyDescent="0.25">
      <c r="A359" s="37"/>
      <c r="B359" s="78"/>
      <c r="C359" s="70"/>
      <c r="D359" s="37"/>
      <c r="E359" s="70"/>
      <c r="F359" s="70"/>
      <c r="G359" s="37"/>
      <c r="H359" s="70"/>
      <c r="I359" s="70"/>
      <c r="J359" s="37"/>
      <c r="K359" s="70"/>
      <c r="L359" s="70"/>
      <c r="M359" s="70"/>
      <c r="N359" s="70"/>
      <c r="O359" s="70"/>
    </row>
    <row r="360" spans="1:15" x14ac:dyDescent="0.25">
      <c r="A360" s="37"/>
      <c r="B360" s="78"/>
      <c r="C360" s="70"/>
      <c r="D360" s="37"/>
      <c r="E360" s="70"/>
      <c r="F360" s="70"/>
      <c r="G360" s="37"/>
      <c r="H360" s="70"/>
      <c r="I360" s="70"/>
      <c r="J360" s="37"/>
      <c r="K360" s="70"/>
      <c r="L360" s="70"/>
      <c r="M360" s="70"/>
      <c r="N360" s="70"/>
      <c r="O360" s="70"/>
    </row>
    <row r="361" spans="1:15" x14ac:dyDescent="0.25">
      <c r="A361" s="37"/>
      <c r="B361" s="78"/>
      <c r="C361" s="70"/>
      <c r="D361" s="37"/>
      <c r="E361" s="70"/>
      <c r="F361" s="70"/>
      <c r="G361" s="37"/>
      <c r="H361" s="70"/>
      <c r="I361" s="70"/>
      <c r="J361" s="37"/>
      <c r="K361" s="70"/>
      <c r="L361" s="70"/>
      <c r="M361" s="70"/>
      <c r="N361" s="70"/>
      <c r="O361" s="70"/>
    </row>
    <row r="362" spans="1:15" x14ac:dyDescent="0.25">
      <c r="A362" s="37"/>
      <c r="B362" s="78"/>
      <c r="C362" s="70"/>
      <c r="D362" s="37"/>
      <c r="E362" s="70"/>
      <c r="F362" s="70"/>
      <c r="G362" s="37"/>
      <c r="H362" s="70"/>
      <c r="I362" s="70"/>
      <c r="J362" s="37"/>
      <c r="K362" s="70"/>
      <c r="L362" s="70"/>
      <c r="M362" s="70"/>
      <c r="N362" s="70"/>
      <c r="O362" s="70"/>
    </row>
    <row r="363" spans="1:15" x14ac:dyDescent="0.25">
      <c r="A363" s="37"/>
      <c r="B363" s="78"/>
      <c r="C363" s="70"/>
      <c r="D363" s="37"/>
      <c r="E363" s="70"/>
      <c r="F363" s="70"/>
      <c r="G363" s="37"/>
      <c r="H363" s="70"/>
      <c r="I363" s="70"/>
      <c r="J363" s="37"/>
      <c r="K363" s="70"/>
      <c r="L363" s="70"/>
      <c r="M363" s="70"/>
      <c r="N363" s="70"/>
      <c r="O363" s="70"/>
    </row>
    <row r="364" spans="1:15" x14ac:dyDescent="0.25">
      <c r="A364" s="37"/>
      <c r="B364" s="78"/>
      <c r="C364" s="70"/>
      <c r="D364" s="37"/>
      <c r="E364" s="70"/>
      <c r="F364" s="70"/>
      <c r="G364" s="37"/>
      <c r="H364" s="70"/>
      <c r="I364" s="70"/>
      <c r="J364" s="37"/>
      <c r="K364" s="70"/>
      <c r="L364" s="70"/>
      <c r="M364" s="70"/>
      <c r="N364" s="70"/>
      <c r="O364" s="70"/>
    </row>
    <row r="365" spans="1:15" x14ac:dyDescent="0.25">
      <c r="A365" s="37"/>
      <c r="B365" s="78"/>
      <c r="C365" s="70"/>
      <c r="D365" s="37"/>
      <c r="E365" s="70"/>
      <c r="F365" s="70"/>
      <c r="G365" s="37"/>
      <c r="H365" s="70"/>
      <c r="I365" s="70"/>
      <c r="J365" s="37"/>
      <c r="K365" s="70"/>
      <c r="L365" s="70"/>
      <c r="M365" s="70"/>
      <c r="N365" s="70"/>
      <c r="O365" s="70"/>
    </row>
    <row r="366" spans="1:15" x14ac:dyDescent="0.25">
      <c r="A366" s="37"/>
      <c r="B366" s="78"/>
      <c r="C366" s="70"/>
      <c r="D366" s="37"/>
      <c r="E366" s="70"/>
      <c r="F366" s="70"/>
      <c r="G366" s="37"/>
      <c r="H366" s="70"/>
      <c r="I366" s="70"/>
      <c r="J366" s="37"/>
      <c r="K366" s="70"/>
      <c r="L366" s="70"/>
      <c r="M366" s="70"/>
      <c r="N366" s="70"/>
      <c r="O366" s="70"/>
    </row>
    <row r="367" spans="1:15" x14ac:dyDescent="0.25">
      <c r="A367" s="37"/>
      <c r="B367" s="78"/>
      <c r="C367" s="70"/>
      <c r="D367" s="37"/>
      <c r="E367" s="70"/>
      <c r="F367" s="70"/>
      <c r="G367" s="37"/>
      <c r="H367" s="70"/>
      <c r="I367" s="70"/>
      <c r="J367" s="37"/>
      <c r="K367" s="70"/>
      <c r="L367" s="70"/>
      <c r="M367" s="70"/>
      <c r="N367" s="70"/>
      <c r="O367" s="70"/>
    </row>
    <row r="368" spans="1:15" x14ac:dyDescent="0.25">
      <c r="A368" s="37"/>
      <c r="B368" s="78"/>
      <c r="C368" s="70"/>
      <c r="D368" s="37"/>
      <c r="E368" s="70"/>
      <c r="F368" s="70"/>
      <c r="G368" s="37"/>
      <c r="H368" s="70"/>
      <c r="I368" s="70"/>
      <c r="J368" s="37"/>
      <c r="K368" s="70"/>
      <c r="L368" s="70"/>
      <c r="M368" s="70"/>
      <c r="N368" s="70"/>
      <c r="O368" s="70"/>
    </row>
    <row r="369" spans="1:15" x14ac:dyDescent="0.25">
      <c r="A369" s="37"/>
      <c r="B369" s="78"/>
      <c r="C369" s="70"/>
      <c r="D369" s="37"/>
      <c r="E369" s="70"/>
      <c r="F369" s="70"/>
      <c r="G369" s="37"/>
      <c r="H369" s="70"/>
      <c r="I369" s="70"/>
      <c r="J369" s="37"/>
      <c r="K369" s="70"/>
      <c r="L369" s="70"/>
      <c r="M369" s="70"/>
      <c r="N369" s="70"/>
      <c r="O369" s="70"/>
    </row>
    <row r="370" spans="1:15" x14ac:dyDescent="0.25">
      <c r="A370" s="37"/>
      <c r="B370" s="78"/>
      <c r="C370" s="70"/>
      <c r="D370" s="37"/>
      <c r="E370" s="70"/>
      <c r="F370" s="70"/>
      <c r="G370" s="37"/>
      <c r="H370" s="70"/>
      <c r="I370" s="70"/>
      <c r="J370" s="37"/>
      <c r="K370" s="70"/>
      <c r="L370" s="70"/>
      <c r="M370" s="70"/>
      <c r="N370" s="70"/>
      <c r="O370" s="70"/>
    </row>
    <row r="371" spans="1:15" x14ac:dyDescent="0.25">
      <c r="A371" s="37"/>
      <c r="B371" s="78"/>
      <c r="C371" s="70"/>
      <c r="D371" s="37"/>
      <c r="E371" s="70"/>
      <c r="F371" s="70"/>
      <c r="G371" s="37"/>
      <c r="H371" s="70"/>
      <c r="I371" s="70"/>
      <c r="J371" s="37"/>
      <c r="K371" s="70"/>
      <c r="L371" s="70"/>
      <c r="M371" s="70"/>
      <c r="N371" s="70"/>
      <c r="O371" s="70"/>
    </row>
    <row r="372" spans="1:15" x14ac:dyDescent="0.25">
      <c r="A372" s="37"/>
      <c r="B372" s="78"/>
      <c r="C372" s="70"/>
      <c r="D372" s="37"/>
      <c r="E372" s="70"/>
      <c r="F372" s="70"/>
      <c r="G372" s="37"/>
      <c r="H372" s="70"/>
      <c r="I372" s="70"/>
      <c r="J372" s="37"/>
      <c r="K372" s="70"/>
      <c r="L372" s="70"/>
      <c r="M372" s="70"/>
      <c r="N372" s="70"/>
      <c r="O372" s="70"/>
    </row>
    <row r="373" spans="1:15" x14ac:dyDescent="0.25">
      <c r="A373" s="37"/>
      <c r="B373" s="78"/>
      <c r="C373" s="70"/>
      <c r="D373" s="37"/>
      <c r="E373" s="70"/>
      <c r="F373" s="70"/>
      <c r="G373" s="37"/>
      <c r="H373" s="70"/>
      <c r="I373" s="70"/>
      <c r="J373" s="37"/>
      <c r="K373" s="70"/>
      <c r="L373" s="70"/>
      <c r="M373" s="70"/>
      <c r="N373" s="70"/>
      <c r="O373" s="70"/>
    </row>
    <row r="374" spans="1:15" x14ac:dyDescent="0.25">
      <c r="A374" s="37"/>
      <c r="B374" s="78"/>
      <c r="C374" s="70"/>
      <c r="D374" s="37"/>
      <c r="E374" s="70"/>
      <c r="F374" s="70"/>
      <c r="G374" s="37"/>
      <c r="H374" s="70"/>
      <c r="I374" s="70"/>
      <c r="J374" s="37"/>
      <c r="K374" s="70"/>
      <c r="L374" s="70"/>
      <c r="M374" s="70"/>
      <c r="N374" s="70"/>
      <c r="O374" s="70"/>
    </row>
    <row r="375" spans="1:15" x14ac:dyDescent="0.25">
      <c r="A375" s="37"/>
      <c r="B375" s="78"/>
      <c r="C375" s="70"/>
      <c r="D375" s="37"/>
      <c r="E375" s="70"/>
      <c r="F375" s="70"/>
      <c r="G375" s="37"/>
      <c r="H375" s="70"/>
      <c r="I375" s="70"/>
      <c r="J375" s="37"/>
      <c r="K375" s="70"/>
      <c r="L375" s="70"/>
      <c r="M375" s="70"/>
      <c r="N375" s="70"/>
      <c r="O375" s="70"/>
    </row>
    <row r="376" spans="1:15" x14ac:dyDescent="0.25">
      <c r="A376" s="37"/>
      <c r="B376" s="78"/>
      <c r="C376" s="70"/>
      <c r="D376" s="37"/>
      <c r="E376" s="70"/>
      <c r="F376" s="70"/>
      <c r="G376" s="37"/>
      <c r="H376" s="70"/>
      <c r="I376" s="70"/>
      <c r="J376" s="37"/>
      <c r="K376" s="70"/>
      <c r="L376" s="70"/>
      <c r="M376" s="70"/>
      <c r="N376" s="70"/>
      <c r="O376" s="70"/>
    </row>
    <row r="377" spans="1:15" x14ac:dyDescent="0.25">
      <c r="A377" s="37"/>
      <c r="B377" s="78"/>
      <c r="C377" s="70"/>
      <c r="D377" s="37"/>
      <c r="E377" s="70"/>
      <c r="F377" s="70"/>
      <c r="G377" s="37"/>
      <c r="H377" s="70"/>
      <c r="I377" s="70"/>
      <c r="J377" s="37"/>
      <c r="K377" s="70"/>
      <c r="L377" s="70"/>
      <c r="M377" s="70"/>
      <c r="N377" s="70"/>
      <c r="O377" s="70"/>
    </row>
    <row r="378" spans="1:15" x14ac:dyDescent="0.25">
      <c r="A378" s="37"/>
      <c r="B378" s="78"/>
      <c r="C378" s="70"/>
      <c r="D378" s="37"/>
      <c r="E378" s="70"/>
      <c r="F378" s="70"/>
      <c r="G378" s="37"/>
      <c r="H378" s="70"/>
      <c r="I378" s="70"/>
      <c r="J378" s="37"/>
      <c r="K378" s="70"/>
      <c r="L378" s="70"/>
      <c r="M378" s="70"/>
      <c r="N378" s="70"/>
      <c r="O378" s="70"/>
    </row>
    <row r="379" spans="1:15" x14ac:dyDescent="0.25">
      <c r="A379" s="37"/>
      <c r="B379" s="78"/>
      <c r="C379" s="70"/>
      <c r="D379" s="37"/>
      <c r="E379" s="70"/>
      <c r="F379" s="70"/>
      <c r="G379" s="37"/>
      <c r="H379" s="70"/>
      <c r="I379" s="70"/>
      <c r="J379" s="37"/>
      <c r="K379" s="70"/>
      <c r="L379" s="70"/>
      <c r="M379" s="70"/>
      <c r="N379" s="70"/>
      <c r="O379" s="70"/>
    </row>
    <row r="380" spans="1:15" x14ac:dyDescent="0.25">
      <c r="A380" s="37"/>
      <c r="B380" s="78"/>
      <c r="C380" s="70"/>
      <c r="D380" s="37"/>
      <c r="E380" s="70"/>
      <c r="F380" s="70"/>
      <c r="G380" s="37"/>
      <c r="H380" s="70"/>
      <c r="I380" s="70"/>
      <c r="J380" s="37"/>
      <c r="K380" s="70"/>
      <c r="L380" s="70"/>
      <c r="M380" s="70"/>
      <c r="N380" s="70"/>
      <c r="O380" s="70"/>
    </row>
    <row r="381" spans="1:15" x14ac:dyDescent="0.25">
      <c r="A381" s="37"/>
      <c r="B381" s="78"/>
      <c r="C381" s="70"/>
      <c r="D381" s="37"/>
      <c r="E381" s="70"/>
      <c r="F381" s="70"/>
      <c r="G381" s="37"/>
      <c r="H381" s="70"/>
      <c r="I381" s="70"/>
      <c r="J381" s="37"/>
      <c r="K381" s="70"/>
      <c r="L381" s="70"/>
      <c r="M381" s="70"/>
      <c r="N381" s="70"/>
      <c r="O381" s="70"/>
    </row>
    <row r="382" spans="1:15" x14ac:dyDescent="0.25">
      <c r="A382" s="37"/>
      <c r="B382" s="78"/>
      <c r="C382" s="70"/>
      <c r="D382" s="37"/>
      <c r="E382" s="70"/>
      <c r="F382" s="70"/>
      <c r="G382" s="37"/>
      <c r="H382" s="70"/>
      <c r="I382" s="70"/>
      <c r="J382" s="37"/>
      <c r="K382" s="70"/>
      <c r="L382" s="70"/>
      <c r="M382" s="70"/>
      <c r="N382" s="70"/>
      <c r="O382" s="70"/>
    </row>
    <row r="383" spans="1:15" x14ac:dyDescent="0.25">
      <c r="A383" s="37"/>
      <c r="B383" s="78"/>
      <c r="C383" s="70"/>
      <c r="D383" s="37"/>
      <c r="E383" s="70"/>
      <c r="F383" s="70"/>
      <c r="G383" s="37"/>
      <c r="H383" s="70"/>
      <c r="I383" s="70"/>
      <c r="J383" s="37"/>
      <c r="K383" s="70"/>
      <c r="L383" s="70"/>
      <c r="M383" s="70"/>
      <c r="N383" s="70"/>
      <c r="O383" s="70"/>
    </row>
    <row r="384" spans="1:15" x14ac:dyDescent="0.25">
      <c r="A384" s="37"/>
      <c r="B384" s="78"/>
      <c r="C384" s="70"/>
      <c r="D384" s="37"/>
      <c r="E384" s="70"/>
      <c r="F384" s="70"/>
      <c r="G384" s="37"/>
      <c r="H384" s="70"/>
      <c r="I384" s="70"/>
      <c r="J384" s="37"/>
      <c r="K384" s="70"/>
      <c r="L384" s="70"/>
      <c r="M384" s="70"/>
      <c r="N384" s="70"/>
      <c r="O384" s="70"/>
    </row>
    <row r="385" spans="1:15" x14ac:dyDescent="0.25">
      <c r="A385" s="37"/>
      <c r="B385" s="78"/>
      <c r="C385" s="70"/>
      <c r="D385" s="37"/>
      <c r="E385" s="70"/>
      <c r="F385" s="70"/>
      <c r="G385" s="37"/>
      <c r="H385" s="70"/>
      <c r="I385" s="70"/>
      <c r="J385" s="37"/>
      <c r="K385" s="70"/>
      <c r="L385" s="70"/>
      <c r="M385" s="70"/>
      <c r="N385" s="70"/>
      <c r="O385" s="70"/>
    </row>
    <row r="386" spans="1:15" x14ac:dyDescent="0.25">
      <c r="A386" s="37"/>
      <c r="B386" s="78"/>
      <c r="C386" s="70"/>
      <c r="D386" s="37"/>
      <c r="E386" s="70"/>
      <c r="F386" s="70"/>
      <c r="G386" s="37"/>
      <c r="H386" s="70"/>
      <c r="I386" s="70"/>
      <c r="J386" s="37"/>
      <c r="K386" s="70"/>
      <c r="L386" s="70"/>
      <c r="M386" s="70"/>
      <c r="N386" s="70"/>
      <c r="O386" s="70"/>
    </row>
    <row r="387" spans="1:15" x14ac:dyDescent="0.25">
      <c r="A387" s="37"/>
      <c r="B387" s="78"/>
      <c r="C387" s="70"/>
      <c r="D387" s="37"/>
      <c r="E387" s="70"/>
      <c r="F387" s="70"/>
      <c r="G387" s="37"/>
      <c r="H387" s="70"/>
      <c r="I387" s="70"/>
      <c r="J387" s="37"/>
      <c r="K387" s="70"/>
      <c r="L387" s="70"/>
      <c r="M387" s="70"/>
      <c r="N387" s="70"/>
      <c r="O387" s="70"/>
    </row>
    <row r="388" spans="1:15" x14ac:dyDescent="0.25">
      <c r="A388" s="37"/>
      <c r="B388" s="78"/>
      <c r="C388" s="70"/>
      <c r="D388" s="37"/>
      <c r="E388" s="70"/>
      <c r="F388" s="70"/>
      <c r="G388" s="37"/>
      <c r="H388" s="70"/>
      <c r="I388" s="70"/>
      <c r="J388" s="37"/>
      <c r="K388" s="70"/>
      <c r="L388" s="70"/>
      <c r="M388" s="70"/>
      <c r="N388" s="70"/>
      <c r="O388" s="70"/>
    </row>
    <row r="389" spans="1:15" x14ac:dyDescent="0.25">
      <c r="A389" s="37"/>
      <c r="B389" s="78"/>
      <c r="C389" s="70"/>
      <c r="D389" s="37"/>
      <c r="E389" s="70"/>
      <c r="F389" s="70"/>
      <c r="G389" s="37"/>
      <c r="H389" s="70"/>
      <c r="I389" s="70"/>
      <c r="J389" s="37"/>
      <c r="K389" s="70"/>
      <c r="L389" s="70"/>
      <c r="M389" s="70"/>
      <c r="N389" s="70"/>
      <c r="O389" s="70"/>
    </row>
    <row r="390" spans="1:15" x14ac:dyDescent="0.25">
      <c r="A390" s="37"/>
      <c r="B390" s="78"/>
      <c r="C390" s="70"/>
      <c r="D390" s="37"/>
      <c r="E390" s="70"/>
      <c r="F390" s="70"/>
      <c r="G390" s="37"/>
      <c r="H390" s="70"/>
      <c r="I390" s="70"/>
      <c r="J390" s="37"/>
      <c r="K390" s="70"/>
      <c r="L390" s="70"/>
      <c r="M390" s="70"/>
      <c r="N390" s="70"/>
      <c r="O390" s="70"/>
    </row>
    <row r="391" spans="1:15" x14ac:dyDescent="0.25">
      <c r="A391" s="37"/>
      <c r="B391" s="78"/>
      <c r="C391" s="70"/>
      <c r="D391" s="37"/>
      <c r="E391" s="70"/>
      <c r="F391" s="70"/>
      <c r="G391" s="37"/>
      <c r="H391" s="70"/>
      <c r="I391" s="70"/>
      <c r="J391" s="37"/>
      <c r="K391" s="70"/>
      <c r="L391" s="70"/>
      <c r="M391" s="70"/>
      <c r="N391" s="70"/>
      <c r="O391" s="70"/>
    </row>
    <row r="392" spans="1:15" x14ac:dyDescent="0.25">
      <c r="A392" s="37"/>
      <c r="B392" s="78"/>
      <c r="C392" s="70"/>
      <c r="D392" s="37"/>
      <c r="E392" s="70"/>
      <c r="F392" s="70"/>
      <c r="G392" s="37"/>
      <c r="H392" s="70"/>
      <c r="I392" s="70"/>
      <c r="J392" s="37"/>
      <c r="K392" s="70"/>
      <c r="L392" s="70"/>
      <c r="M392" s="70"/>
      <c r="N392" s="70"/>
      <c r="O392" s="70"/>
    </row>
    <row r="393" spans="1:15" x14ac:dyDescent="0.25">
      <c r="A393" s="37"/>
      <c r="B393" s="78"/>
      <c r="C393" s="70"/>
      <c r="D393" s="37"/>
      <c r="E393" s="70"/>
      <c r="F393" s="70"/>
      <c r="G393" s="37"/>
      <c r="H393" s="70"/>
      <c r="I393" s="70"/>
      <c r="J393" s="37"/>
      <c r="K393" s="70"/>
      <c r="L393" s="70"/>
      <c r="M393" s="70"/>
      <c r="N393" s="70"/>
      <c r="O393" s="70"/>
    </row>
    <row r="394" spans="1:15" x14ac:dyDescent="0.25">
      <c r="A394" s="37"/>
      <c r="B394" s="78"/>
      <c r="C394" s="70"/>
      <c r="D394" s="37"/>
      <c r="E394" s="70"/>
      <c r="F394" s="70"/>
      <c r="G394" s="37"/>
      <c r="H394" s="70"/>
      <c r="I394" s="70"/>
      <c r="J394" s="37"/>
      <c r="K394" s="70"/>
      <c r="L394" s="70"/>
      <c r="M394" s="70"/>
      <c r="N394" s="70"/>
      <c r="O394" s="70"/>
    </row>
    <row r="395" spans="1:15" x14ac:dyDescent="0.25">
      <c r="A395" s="37"/>
      <c r="B395" s="78"/>
      <c r="C395" s="70"/>
      <c r="D395" s="37"/>
      <c r="E395" s="70"/>
      <c r="F395" s="70"/>
      <c r="G395" s="37"/>
      <c r="H395" s="70"/>
      <c r="I395" s="70"/>
      <c r="J395" s="37"/>
      <c r="K395" s="70"/>
      <c r="L395" s="70"/>
      <c r="M395" s="70"/>
      <c r="N395" s="70"/>
      <c r="O395" s="70"/>
    </row>
    <row r="396" spans="1:15" x14ac:dyDescent="0.25">
      <c r="A396" s="37"/>
      <c r="B396" s="78"/>
      <c r="C396" s="70"/>
      <c r="D396" s="37"/>
      <c r="E396" s="70"/>
      <c r="F396" s="70"/>
      <c r="G396" s="37"/>
      <c r="H396" s="70"/>
      <c r="I396" s="70"/>
      <c r="J396" s="37"/>
      <c r="K396" s="70"/>
      <c r="L396" s="70"/>
      <c r="M396" s="70"/>
      <c r="N396" s="70"/>
      <c r="O396" s="70"/>
    </row>
    <row r="397" spans="1:15" x14ac:dyDescent="0.25">
      <c r="A397" s="37"/>
      <c r="B397" s="78"/>
      <c r="C397" s="70"/>
      <c r="D397" s="37"/>
      <c r="E397" s="70"/>
      <c r="F397" s="70"/>
      <c r="G397" s="37"/>
      <c r="H397" s="70"/>
      <c r="I397" s="70"/>
      <c r="J397" s="37"/>
      <c r="K397" s="70"/>
      <c r="L397" s="70"/>
      <c r="M397" s="70"/>
      <c r="N397" s="70"/>
      <c r="O397" s="70"/>
    </row>
    <row r="398" spans="1:15" x14ac:dyDescent="0.25">
      <c r="A398" s="37"/>
      <c r="B398" s="78"/>
      <c r="C398" s="70"/>
      <c r="D398" s="37"/>
      <c r="E398" s="70"/>
      <c r="F398" s="70"/>
      <c r="G398" s="37"/>
      <c r="H398" s="70"/>
      <c r="I398" s="70"/>
      <c r="J398" s="37"/>
      <c r="K398" s="70"/>
      <c r="L398" s="70"/>
      <c r="M398" s="70"/>
      <c r="N398" s="70"/>
      <c r="O398" s="70"/>
    </row>
    <row r="399" spans="1:15" x14ac:dyDescent="0.25">
      <c r="A399" s="37"/>
      <c r="B399" s="78"/>
      <c r="C399" s="70"/>
      <c r="D399" s="37"/>
      <c r="E399" s="70"/>
      <c r="F399" s="70"/>
      <c r="G399" s="37"/>
      <c r="H399" s="70"/>
      <c r="I399" s="70"/>
      <c r="J399" s="37"/>
      <c r="K399" s="70"/>
      <c r="L399" s="70"/>
      <c r="M399" s="70"/>
      <c r="N399" s="70"/>
      <c r="O399" s="70"/>
    </row>
    <row r="400" spans="1:15" x14ac:dyDescent="0.25">
      <c r="A400" s="37"/>
      <c r="B400" s="78"/>
      <c r="C400" s="70"/>
      <c r="D400" s="37"/>
      <c r="E400" s="70"/>
      <c r="F400" s="70"/>
      <c r="G400" s="37"/>
      <c r="H400" s="70"/>
      <c r="I400" s="70"/>
      <c r="J400" s="37"/>
      <c r="K400" s="70"/>
      <c r="L400" s="70"/>
      <c r="M400" s="70"/>
      <c r="N400" s="70"/>
      <c r="O400" s="70"/>
    </row>
    <row r="401" spans="1:15" x14ac:dyDescent="0.25">
      <c r="A401" s="37"/>
      <c r="B401" s="78"/>
      <c r="C401" s="70"/>
      <c r="D401" s="37"/>
      <c r="E401" s="70"/>
      <c r="F401" s="70"/>
      <c r="G401" s="37"/>
      <c r="H401" s="70"/>
      <c r="I401" s="70"/>
      <c r="J401" s="37"/>
      <c r="K401" s="70"/>
      <c r="L401" s="70"/>
      <c r="M401" s="70"/>
      <c r="N401" s="70"/>
      <c r="O401" s="70"/>
    </row>
    <row r="402" spans="1:15" x14ac:dyDescent="0.25">
      <c r="A402" s="37"/>
      <c r="B402" s="78"/>
      <c r="C402" s="70"/>
      <c r="D402" s="37"/>
      <c r="E402" s="70"/>
      <c r="F402" s="70"/>
      <c r="G402" s="37"/>
      <c r="H402" s="70"/>
      <c r="I402" s="70"/>
      <c r="J402" s="37"/>
      <c r="K402" s="70"/>
      <c r="L402" s="70"/>
      <c r="M402" s="70"/>
      <c r="N402" s="70"/>
      <c r="O402" s="70"/>
    </row>
    <row r="403" spans="1:15" x14ac:dyDescent="0.25">
      <c r="A403" s="37"/>
      <c r="B403" s="78"/>
      <c r="C403" s="70"/>
      <c r="D403" s="37"/>
      <c r="E403" s="70"/>
      <c r="F403" s="70"/>
      <c r="G403" s="37"/>
      <c r="H403" s="70"/>
      <c r="I403" s="70"/>
      <c r="J403" s="37"/>
      <c r="K403" s="70"/>
      <c r="L403" s="70"/>
      <c r="M403" s="70"/>
      <c r="N403" s="70"/>
      <c r="O403" s="70"/>
    </row>
    <row r="404" spans="1:15" x14ac:dyDescent="0.25">
      <c r="A404" s="37"/>
      <c r="B404" s="78"/>
      <c r="C404" s="70"/>
      <c r="D404" s="37"/>
      <c r="E404" s="70"/>
      <c r="F404" s="70"/>
      <c r="G404" s="37"/>
      <c r="H404" s="70"/>
      <c r="I404" s="70"/>
      <c r="J404" s="37"/>
      <c r="K404" s="70"/>
      <c r="L404" s="70"/>
      <c r="M404" s="70"/>
      <c r="N404" s="70"/>
      <c r="O404" s="70"/>
    </row>
    <row r="405" spans="1:15" x14ac:dyDescent="0.25">
      <c r="A405" s="37"/>
      <c r="B405" s="78"/>
      <c r="C405" s="70"/>
      <c r="D405" s="37"/>
      <c r="E405" s="70"/>
      <c r="F405" s="70"/>
      <c r="G405" s="37"/>
      <c r="H405" s="70"/>
      <c r="I405" s="70"/>
      <c r="J405" s="37"/>
      <c r="K405" s="70"/>
      <c r="L405" s="70"/>
      <c r="M405" s="70"/>
      <c r="N405" s="70"/>
      <c r="O405" s="70"/>
    </row>
    <row r="406" spans="1:15" x14ac:dyDescent="0.25">
      <c r="A406" s="37"/>
      <c r="B406" s="78"/>
      <c r="C406" s="70"/>
      <c r="D406" s="37"/>
      <c r="E406" s="70"/>
      <c r="F406" s="70"/>
      <c r="G406" s="37"/>
      <c r="H406" s="70"/>
      <c r="I406" s="70"/>
      <c r="J406" s="37"/>
      <c r="K406" s="70"/>
      <c r="L406" s="70"/>
      <c r="M406" s="70"/>
      <c r="N406" s="70"/>
      <c r="O406" s="70"/>
    </row>
    <row r="407" spans="1:15" x14ac:dyDescent="0.25">
      <c r="A407" s="37"/>
      <c r="B407" s="78"/>
      <c r="C407" s="70"/>
      <c r="D407" s="37"/>
      <c r="E407" s="70"/>
      <c r="F407" s="70"/>
      <c r="G407" s="37"/>
      <c r="H407" s="70"/>
      <c r="I407" s="70"/>
      <c r="J407" s="37"/>
      <c r="K407" s="70"/>
      <c r="L407" s="70"/>
      <c r="M407" s="70"/>
      <c r="N407" s="70"/>
      <c r="O407" s="70"/>
    </row>
    <row r="408" spans="1:15" x14ac:dyDescent="0.25">
      <c r="A408" s="37"/>
      <c r="B408" s="78"/>
      <c r="C408" s="70"/>
      <c r="D408" s="37"/>
      <c r="E408" s="70"/>
      <c r="F408" s="70"/>
      <c r="G408" s="37"/>
      <c r="H408" s="70"/>
      <c r="I408" s="70"/>
      <c r="J408" s="37"/>
      <c r="K408" s="70"/>
      <c r="L408" s="70"/>
      <c r="M408" s="70"/>
      <c r="N408" s="70"/>
      <c r="O408" s="70"/>
    </row>
    <row r="409" spans="1:15" x14ac:dyDescent="0.25">
      <c r="A409" s="37"/>
      <c r="B409" s="78"/>
      <c r="C409" s="70"/>
      <c r="D409" s="37"/>
      <c r="E409" s="70"/>
      <c r="F409" s="70"/>
      <c r="G409" s="37"/>
      <c r="H409" s="70"/>
      <c r="I409" s="70"/>
      <c r="J409" s="37"/>
      <c r="K409" s="70"/>
      <c r="L409" s="70"/>
      <c r="M409" s="70"/>
      <c r="N409" s="70"/>
      <c r="O409" s="70"/>
    </row>
    <row r="410" spans="1:15" x14ac:dyDescent="0.25">
      <c r="A410" s="37"/>
      <c r="B410" s="78"/>
      <c r="C410" s="70"/>
      <c r="D410" s="37"/>
      <c r="E410" s="70"/>
      <c r="F410" s="70"/>
      <c r="G410" s="37"/>
      <c r="H410" s="70"/>
      <c r="I410" s="70"/>
      <c r="J410" s="37"/>
      <c r="K410" s="70"/>
      <c r="L410" s="70"/>
      <c r="M410" s="70"/>
      <c r="N410" s="70"/>
      <c r="O410" s="70"/>
    </row>
    <row r="411" spans="1:15" x14ac:dyDescent="0.25">
      <c r="A411" s="37"/>
      <c r="B411" s="78"/>
      <c r="C411" s="70"/>
      <c r="D411" s="37"/>
      <c r="E411" s="70"/>
      <c r="F411" s="70"/>
      <c r="G411" s="37"/>
      <c r="H411" s="70"/>
      <c r="I411" s="70"/>
      <c r="J411" s="37"/>
      <c r="K411" s="70"/>
      <c r="L411" s="70"/>
      <c r="M411" s="70"/>
      <c r="N411" s="70"/>
      <c r="O411" s="70"/>
    </row>
    <row r="412" spans="1:15" x14ac:dyDescent="0.25">
      <c r="A412" s="37"/>
      <c r="B412" s="78"/>
      <c r="C412" s="70"/>
      <c r="D412" s="37"/>
      <c r="E412" s="70"/>
      <c r="F412" s="70"/>
      <c r="G412" s="37"/>
      <c r="H412" s="70"/>
      <c r="I412" s="70"/>
      <c r="J412" s="37"/>
      <c r="K412" s="70"/>
      <c r="L412" s="70"/>
      <c r="M412" s="70"/>
      <c r="N412" s="70"/>
      <c r="O412" s="70"/>
    </row>
    <row r="413" spans="1:15" x14ac:dyDescent="0.25">
      <c r="A413" s="37"/>
      <c r="B413" s="78"/>
      <c r="C413" s="70"/>
      <c r="D413" s="37"/>
      <c r="E413" s="70"/>
      <c r="F413" s="70"/>
      <c r="G413" s="37"/>
      <c r="H413" s="70"/>
      <c r="I413" s="70"/>
      <c r="J413" s="37"/>
      <c r="K413" s="70"/>
      <c r="L413" s="70"/>
      <c r="M413" s="70"/>
      <c r="N413" s="70"/>
      <c r="O413" s="70"/>
    </row>
    <row r="414" spans="1:15" x14ac:dyDescent="0.25">
      <c r="A414" s="37"/>
      <c r="B414" s="78"/>
      <c r="C414" s="70"/>
      <c r="D414" s="37"/>
      <c r="E414" s="70"/>
      <c r="F414" s="70"/>
      <c r="G414" s="37"/>
      <c r="H414" s="70"/>
      <c r="I414" s="70"/>
      <c r="J414" s="37"/>
      <c r="K414" s="70"/>
      <c r="L414" s="70"/>
      <c r="M414" s="70"/>
      <c r="N414" s="70"/>
      <c r="O414" s="70"/>
    </row>
    <row r="415" spans="1:15" x14ac:dyDescent="0.25">
      <c r="A415" s="37"/>
      <c r="B415" s="78"/>
      <c r="C415" s="70"/>
      <c r="D415" s="37"/>
      <c r="E415" s="70"/>
      <c r="F415" s="70"/>
      <c r="G415" s="37"/>
      <c r="H415" s="70"/>
      <c r="I415" s="70"/>
      <c r="J415" s="37"/>
      <c r="K415" s="70"/>
      <c r="L415" s="70"/>
      <c r="M415" s="70"/>
      <c r="N415" s="70"/>
      <c r="O415" s="70"/>
    </row>
    <row r="416" spans="1:15" x14ac:dyDescent="0.25">
      <c r="A416" s="37"/>
      <c r="B416" s="78"/>
      <c r="C416" s="70"/>
      <c r="D416" s="37"/>
      <c r="E416" s="70"/>
      <c r="F416" s="70"/>
      <c r="G416" s="37"/>
      <c r="H416" s="70"/>
      <c r="I416" s="70"/>
      <c r="J416" s="37"/>
      <c r="K416" s="70"/>
      <c r="L416" s="70"/>
      <c r="M416" s="70"/>
      <c r="N416" s="70"/>
      <c r="O416" s="70"/>
    </row>
    <row r="417" spans="1:15" x14ac:dyDescent="0.25">
      <c r="A417" s="37"/>
      <c r="B417" s="78"/>
      <c r="C417" s="70"/>
      <c r="D417" s="37"/>
      <c r="E417" s="70"/>
      <c r="F417" s="70"/>
      <c r="G417" s="37"/>
      <c r="H417" s="70"/>
      <c r="I417" s="70"/>
      <c r="J417" s="37"/>
      <c r="K417" s="70"/>
      <c r="L417" s="70"/>
      <c r="M417" s="70"/>
      <c r="N417" s="70"/>
      <c r="O417" s="70"/>
    </row>
    <row r="418" spans="1:15" x14ac:dyDescent="0.25">
      <c r="A418" s="37"/>
      <c r="B418" s="78"/>
      <c r="C418" s="70"/>
      <c r="D418" s="37"/>
      <c r="E418" s="70"/>
      <c r="F418" s="70"/>
      <c r="G418" s="37"/>
      <c r="H418" s="70"/>
      <c r="I418" s="70"/>
      <c r="J418" s="37"/>
      <c r="K418" s="70"/>
      <c r="L418" s="70"/>
      <c r="M418" s="70"/>
      <c r="N418" s="70"/>
      <c r="O418" s="70"/>
    </row>
    <row r="419" spans="1:15" x14ac:dyDescent="0.25">
      <c r="A419" s="37"/>
      <c r="B419" s="78"/>
      <c r="C419" s="70"/>
      <c r="D419" s="37"/>
      <c r="E419" s="70"/>
      <c r="F419" s="70"/>
      <c r="G419" s="37"/>
      <c r="H419" s="70"/>
      <c r="I419" s="70"/>
      <c r="J419" s="37"/>
      <c r="K419" s="70"/>
      <c r="L419" s="70"/>
      <c r="M419" s="70"/>
      <c r="N419" s="70"/>
      <c r="O419" s="70"/>
    </row>
    <row r="420" spans="1:15" x14ac:dyDescent="0.25">
      <c r="A420" s="37"/>
      <c r="B420" s="78"/>
      <c r="C420" s="70"/>
      <c r="D420" s="37"/>
      <c r="E420" s="70"/>
      <c r="F420" s="70"/>
      <c r="G420" s="37"/>
      <c r="H420" s="70"/>
      <c r="I420" s="70"/>
      <c r="J420" s="37"/>
      <c r="K420" s="70"/>
      <c r="L420" s="70"/>
      <c r="M420" s="70"/>
      <c r="N420" s="70"/>
      <c r="O420" s="70"/>
    </row>
    <row r="421" spans="1:15" x14ac:dyDescent="0.25">
      <c r="A421" s="37"/>
      <c r="B421" s="78"/>
      <c r="C421" s="70"/>
      <c r="D421" s="37"/>
      <c r="E421" s="70"/>
      <c r="F421" s="70"/>
      <c r="G421" s="37"/>
      <c r="H421" s="70"/>
      <c r="I421" s="70"/>
      <c r="J421" s="37"/>
      <c r="K421" s="70"/>
      <c r="L421" s="70"/>
      <c r="M421" s="70"/>
      <c r="N421" s="70"/>
      <c r="O421" s="70"/>
    </row>
    <row r="422" spans="1:15" x14ac:dyDescent="0.25">
      <c r="A422" s="37"/>
      <c r="B422" s="78"/>
      <c r="C422" s="70"/>
      <c r="D422" s="37"/>
      <c r="E422" s="70"/>
      <c r="F422" s="70"/>
      <c r="G422" s="37"/>
      <c r="H422" s="70"/>
      <c r="I422" s="70"/>
      <c r="J422" s="37"/>
      <c r="K422" s="70"/>
      <c r="L422" s="70"/>
      <c r="M422" s="70"/>
      <c r="N422" s="70"/>
      <c r="O422" s="70"/>
    </row>
    <row r="423" spans="1:15" x14ac:dyDescent="0.25">
      <c r="A423" s="37"/>
      <c r="B423" s="78"/>
      <c r="C423" s="70"/>
      <c r="D423" s="37"/>
      <c r="E423" s="70"/>
      <c r="F423" s="70"/>
      <c r="G423" s="37"/>
      <c r="H423" s="70"/>
      <c r="I423" s="70"/>
      <c r="J423" s="37"/>
      <c r="K423" s="70"/>
      <c r="L423" s="70"/>
      <c r="M423" s="70"/>
      <c r="N423" s="70"/>
      <c r="O423" s="70"/>
    </row>
    <row r="424" spans="1:15" x14ac:dyDescent="0.25">
      <c r="A424" s="37"/>
      <c r="B424" s="78"/>
      <c r="C424" s="70"/>
      <c r="D424" s="37"/>
      <c r="E424" s="70"/>
      <c r="F424" s="70"/>
      <c r="G424" s="37"/>
      <c r="H424" s="70"/>
      <c r="I424" s="70"/>
      <c r="J424" s="37"/>
      <c r="K424" s="70"/>
      <c r="L424" s="70"/>
      <c r="M424" s="70"/>
      <c r="N424" s="70"/>
      <c r="O424" s="70"/>
    </row>
    <row r="425" spans="1:15" x14ac:dyDescent="0.25">
      <c r="A425" s="37"/>
      <c r="B425" s="78"/>
      <c r="C425" s="70"/>
      <c r="D425" s="37"/>
      <c r="E425" s="70"/>
      <c r="F425" s="70"/>
      <c r="G425" s="37"/>
      <c r="H425" s="70"/>
      <c r="I425" s="70"/>
      <c r="J425" s="37"/>
      <c r="K425" s="70"/>
      <c r="L425" s="70"/>
      <c r="M425" s="70"/>
      <c r="N425" s="70"/>
      <c r="O425" s="70"/>
    </row>
    <row r="426" spans="1:15" x14ac:dyDescent="0.25">
      <c r="A426" s="37"/>
      <c r="B426" s="78"/>
      <c r="C426" s="70"/>
      <c r="D426" s="37"/>
      <c r="E426" s="70"/>
      <c r="F426" s="70"/>
      <c r="G426" s="37"/>
      <c r="H426" s="70"/>
      <c r="I426" s="70"/>
      <c r="J426" s="37"/>
      <c r="K426" s="70"/>
      <c r="L426" s="70"/>
      <c r="M426" s="70"/>
      <c r="N426" s="70"/>
      <c r="O426" s="70"/>
    </row>
    <row r="427" spans="1:15" x14ac:dyDescent="0.25">
      <c r="A427" s="37"/>
      <c r="B427" s="78"/>
      <c r="C427" s="70"/>
      <c r="D427" s="37"/>
      <c r="E427" s="70"/>
      <c r="F427" s="70"/>
      <c r="G427" s="37"/>
      <c r="H427" s="70"/>
      <c r="I427" s="70"/>
      <c r="J427" s="37"/>
      <c r="K427" s="70"/>
      <c r="L427" s="70"/>
      <c r="M427" s="70"/>
      <c r="N427" s="70"/>
      <c r="O427" s="70"/>
    </row>
    <row r="428" spans="1:15" x14ac:dyDescent="0.25">
      <c r="A428" s="37"/>
      <c r="B428" s="78"/>
      <c r="C428" s="70"/>
      <c r="D428" s="37"/>
      <c r="E428" s="70"/>
      <c r="F428" s="70"/>
      <c r="G428" s="37"/>
      <c r="H428" s="70"/>
      <c r="I428" s="70"/>
      <c r="J428" s="37"/>
      <c r="K428" s="70"/>
      <c r="L428" s="70"/>
      <c r="M428" s="70"/>
      <c r="N428" s="70"/>
      <c r="O428" s="70"/>
    </row>
    <row r="429" spans="1:15" x14ac:dyDescent="0.25">
      <c r="A429" s="37"/>
      <c r="B429" s="78"/>
      <c r="C429" s="70"/>
      <c r="D429" s="37"/>
      <c r="E429" s="70"/>
      <c r="F429" s="70"/>
      <c r="G429" s="37"/>
      <c r="H429" s="70"/>
      <c r="I429" s="70"/>
      <c r="J429" s="37"/>
      <c r="K429" s="70"/>
      <c r="L429" s="70"/>
      <c r="M429" s="70"/>
      <c r="N429" s="70"/>
      <c r="O429" s="70"/>
    </row>
    <row r="430" spans="1:15" x14ac:dyDescent="0.25">
      <c r="A430" s="37"/>
      <c r="B430" s="78"/>
      <c r="C430" s="70"/>
      <c r="D430" s="37"/>
      <c r="E430" s="70"/>
      <c r="F430" s="70"/>
      <c r="G430" s="37"/>
      <c r="H430" s="70"/>
      <c r="I430" s="70"/>
      <c r="J430" s="37"/>
      <c r="K430" s="70"/>
      <c r="L430" s="70"/>
      <c r="M430" s="70"/>
      <c r="N430" s="70"/>
      <c r="O430" s="70"/>
    </row>
    <row r="431" spans="1:15" x14ac:dyDescent="0.25">
      <c r="A431" s="37"/>
      <c r="B431" s="78"/>
      <c r="C431" s="70"/>
      <c r="D431" s="37"/>
      <c r="E431" s="70"/>
      <c r="F431" s="70"/>
      <c r="G431" s="37"/>
      <c r="H431" s="70"/>
      <c r="I431" s="70"/>
      <c r="J431" s="37"/>
      <c r="K431" s="70"/>
      <c r="L431" s="70"/>
      <c r="M431" s="70"/>
      <c r="N431" s="70"/>
      <c r="O431" s="70"/>
    </row>
    <row r="432" spans="1:15" x14ac:dyDescent="0.25">
      <c r="A432" s="37"/>
      <c r="B432" s="78"/>
      <c r="C432" s="70"/>
      <c r="D432" s="37"/>
      <c r="E432" s="70"/>
      <c r="F432" s="70"/>
      <c r="G432" s="37"/>
      <c r="H432" s="70"/>
      <c r="I432" s="70"/>
      <c r="J432" s="37"/>
      <c r="K432" s="70"/>
      <c r="L432" s="70"/>
      <c r="M432" s="70"/>
      <c r="N432" s="70"/>
      <c r="O432" s="70"/>
    </row>
    <row r="433" spans="1:15" x14ac:dyDescent="0.25">
      <c r="A433" s="37"/>
      <c r="B433" s="78"/>
      <c r="C433" s="70"/>
      <c r="D433" s="37"/>
      <c r="E433" s="70"/>
      <c r="F433" s="70"/>
      <c r="G433" s="37"/>
      <c r="H433" s="70"/>
      <c r="I433" s="70"/>
      <c r="J433" s="37"/>
      <c r="K433" s="70"/>
      <c r="L433" s="70"/>
      <c r="M433" s="70"/>
      <c r="N433" s="70"/>
      <c r="O433" s="70"/>
    </row>
    <row r="434" spans="1:15" x14ac:dyDescent="0.25">
      <c r="A434" s="37"/>
      <c r="B434" s="78"/>
      <c r="C434" s="70"/>
      <c r="D434" s="37"/>
      <c r="E434" s="70"/>
      <c r="F434" s="70"/>
      <c r="G434" s="37"/>
      <c r="H434" s="70"/>
      <c r="I434" s="70"/>
      <c r="J434" s="37"/>
      <c r="K434" s="70"/>
      <c r="L434" s="70"/>
      <c r="M434" s="70"/>
      <c r="N434" s="70"/>
      <c r="O434" s="70"/>
    </row>
    <row r="435" spans="1:15" x14ac:dyDescent="0.25">
      <c r="A435" s="37"/>
      <c r="B435" s="78"/>
      <c r="C435" s="70"/>
      <c r="D435" s="37"/>
      <c r="E435" s="70"/>
      <c r="F435" s="70"/>
      <c r="G435" s="37"/>
      <c r="H435" s="70"/>
      <c r="I435" s="70"/>
      <c r="J435" s="37"/>
      <c r="K435" s="70"/>
      <c r="L435" s="70"/>
      <c r="M435" s="70"/>
      <c r="N435" s="70"/>
      <c r="O435" s="70"/>
    </row>
    <row r="436" spans="1:15" x14ac:dyDescent="0.25">
      <c r="A436" s="37"/>
      <c r="B436" s="78"/>
      <c r="C436" s="70"/>
      <c r="D436" s="37"/>
      <c r="E436" s="70"/>
      <c r="F436" s="70"/>
      <c r="G436" s="37"/>
      <c r="H436" s="70"/>
      <c r="I436" s="70"/>
      <c r="J436" s="37"/>
      <c r="K436" s="70"/>
      <c r="L436" s="70"/>
      <c r="M436" s="70"/>
      <c r="N436" s="70"/>
      <c r="O436" s="70"/>
    </row>
    <row r="437" spans="1:15" x14ac:dyDescent="0.25">
      <c r="A437" s="37"/>
      <c r="B437" s="78"/>
      <c r="C437" s="70"/>
      <c r="D437" s="37"/>
      <c r="E437" s="70"/>
      <c r="F437" s="70"/>
      <c r="G437" s="37"/>
      <c r="H437" s="70"/>
      <c r="I437" s="70"/>
      <c r="J437" s="37"/>
      <c r="K437" s="70"/>
      <c r="L437" s="70"/>
      <c r="M437" s="70"/>
      <c r="N437" s="70"/>
      <c r="O437" s="70"/>
    </row>
    <row r="438" spans="1:15" x14ac:dyDescent="0.25">
      <c r="A438" s="37"/>
      <c r="B438" s="78"/>
      <c r="C438" s="70"/>
      <c r="D438" s="37"/>
      <c r="E438" s="70"/>
      <c r="F438" s="70"/>
      <c r="G438" s="37"/>
      <c r="H438" s="70"/>
      <c r="I438" s="70"/>
      <c r="J438" s="37"/>
      <c r="K438" s="70"/>
      <c r="L438" s="70"/>
      <c r="M438" s="70"/>
      <c r="N438" s="70"/>
      <c r="O438" s="70"/>
    </row>
    <row r="439" spans="1:15" x14ac:dyDescent="0.25">
      <c r="A439" s="37"/>
      <c r="B439" s="78"/>
      <c r="C439" s="70"/>
      <c r="D439" s="37"/>
      <c r="E439" s="70"/>
      <c r="F439" s="70"/>
      <c r="G439" s="37"/>
      <c r="H439" s="70"/>
      <c r="I439" s="70"/>
      <c r="J439" s="37"/>
      <c r="K439" s="70"/>
      <c r="L439" s="70"/>
      <c r="M439" s="70"/>
      <c r="N439" s="70"/>
      <c r="O439" s="70"/>
    </row>
    <row r="440" spans="1:15" x14ac:dyDescent="0.25">
      <c r="A440" s="37"/>
      <c r="B440" s="78"/>
      <c r="C440" s="70"/>
      <c r="D440" s="37"/>
      <c r="E440" s="70"/>
      <c r="F440" s="70"/>
      <c r="G440" s="37"/>
      <c r="H440" s="70"/>
      <c r="I440" s="70"/>
      <c r="J440" s="37"/>
      <c r="K440" s="70"/>
      <c r="L440" s="70"/>
      <c r="M440" s="70"/>
      <c r="N440" s="70"/>
      <c r="O440" s="70"/>
    </row>
    <row r="441" spans="1:15" x14ac:dyDescent="0.25">
      <c r="A441" s="37"/>
      <c r="B441" s="78"/>
      <c r="C441" s="70"/>
      <c r="D441" s="37"/>
      <c r="E441" s="70"/>
      <c r="F441" s="70"/>
      <c r="G441" s="37"/>
      <c r="H441" s="70"/>
      <c r="I441" s="70"/>
      <c r="J441" s="37"/>
      <c r="K441" s="70"/>
      <c r="L441" s="70"/>
      <c r="M441" s="70"/>
      <c r="N441" s="70"/>
      <c r="O441" s="70"/>
    </row>
    <row r="442" spans="1:15" x14ac:dyDescent="0.25">
      <c r="A442" s="37"/>
      <c r="B442" s="78"/>
      <c r="C442" s="70"/>
      <c r="D442" s="37"/>
      <c r="E442" s="70"/>
      <c r="F442" s="70"/>
      <c r="G442" s="37"/>
      <c r="H442" s="70"/>
      <c r="I442" s="70"/>
      <c r="J442" s="37"/>
      <c r="K442" s="70"/>
      <c r="L442" s="70"/>
      <c r="M442" s="70"/>
      <c r="N442" s="70"/>
      <c r="O442" s="70"/>
    </row>
    <row r="443" spans="1:15" x14ac:dyDescent="0.25">
      <c r="A443" s="37"/>
      <c r="B443" s="78"/>
      <c r="C443" s="70"/>
      <c r="D443" s="37"/>
      <c r="E443" s="70"/>
      <c r="F443" s="70"/>
      <c r="G443" s="37"/>
      <c r="H443" s="70"/>
      <c r="I443" s="70"/>
      <c r="J443" s="37"/>
      <c r="K443" s="70"/>
      <c r="L443" s="70"/>
      <c r="M443" s="70"/>
      <c r="N443" s="70"/>
      <c r="O443" s="70"/>
    </row>
    <row r="444" spans="1:15" x14ac:dyDescent="0.25">
      <c r="A444" s="37"/>
      <c r="B444" s="78"/>
      <c r="C444" s="70"/>
      <c r="D444" s="37"/>
      <c r="E444" s="70"/>
      <c r="F444" s="70"/>
      <c r="G444" s="37"/>
      <c r="H444" s="70"/>
      <c r="I444" s="70"/>
      <c r="J444" s="37"/>
      <c r="K444" s="70"/>
      <c r="L444" s="70"/>
      <c r="M444" s="70"/>
      <c r="N444" s="70"/>
      <c r="O444" s="70"/>
    </row>
    <row r="445" spans="1:15" x14ac:dyDescent="0.25">
      <c r="A445" s="37"/>
      <c r="B445" s="78"/>
      <c r="C445" s="70"/>
      <c r="D445" s="37"/>
      <c r="E445" s="70"/>
      <c r="F445" s="70"/>
      <c r="G445" s="37"/>
      <c r="H445" s="70"/>
      <c r="I445" s="70"/>
      <c r="J445" s="37"/>
      <c r="K445" s="70"/>
      <c r="L445" s="70"/>
      <c r="M445" s="70"/>
      <c r="N445" s="70"/>
      <c r="O445" s="70"/>
    </row>
    <row r="446" spans="1:15" x14ac:dyDescent="0.25">
      <c r="A446" s="37"/>
      <c r="B446" s="78"/>
      <c r="C446" s="70"/>
      <c r="D446" s="37"/>
      <c r="E446" s="70"/>
      <c r="F446" s="70"/>
      <c r="G446" s="37"/>
      <c r="H446" s="70"/>
      <c r="I446" s="70"/>
      <c r="J446" s="37"/>
      <c r="K446" s="70"/>
      <c r="L446" s="70"/>
      <c r="M446" s="70"/>
      <c r="N446" s="70"/>
      <c r="O446" s="70"/>
    </row>
    <row r="447" spans="1:15" x14ac:dyDescent="0.25">
      <c r="A447" s="37"/>
      <c r="B447" s="78"/>
      <c r="C447" s="70"/>
      <c r="D447" s="37"/>
      <c r="E447" s="70"/>
      <c r="F447" s="70"/>
      <c r="G447" s="37"/>
      <c r="H447" s="70"/>
      <c r="I447" s="70"/>
      <c r="J447" s="37"/>
      <c r="K447" s="70"/>
      <c r="L447" s="70"/>
      <c r="M447" s="70"/>
      <c r="N447" s="70"/>
      <c r="O447" s="70"/>
    </row>
    <row r="448" spans="1:15" x14ac:dyDescent="0.25">
      <c r="A448" s="37"/>
      <c r="B448" s="78"/>
      <c r="C448" s="70"/>
      <c r="D448" s="37"/>
      <c r="E448" s="70"/>
      <c r="F448" s="70"/>
      <c r="G448" s="37"/>
      <c r="H448" s="70"/>
      <c r="I448" s="70"/>
      <c r="J448" s="37"/>
      <c r="K448" s="70"/>
      <c r="L448" s="70"/>
      <c r="M448" s="70"/>
      <c r="N448" s="70"/>
      <c r="O448" s="70"/>
    </row>
    <row r="449" spans="1:15" x14ac:dyDescent="0.25">
      <c r="A449" s="37"/>
      <c r="B449" s="78"/>
      <c r="C449" s="70"/>
      <c r="D449" s="37"/>
      <c r="E449" s="70"/>
      <c r="F449" s="70"/>
      <c r="G449" s="37"/>
      <c r="H449" s="70"/>
      <c r="I449" s="70"/>
      <c r="J449" s="37"/>
      <c r="K449" s="70"/>
      <c r="L449" s="70"/>
      <c r="M449" s="70"/>
      <c r="N449" s="70"/>
      <c r="O449" s="70"/>
    </row>
    <row r="450" spans="1:15" x14ac:dyDescent="0.25">
      <c r="A450" s="37"/>
      <c r="B450" s="78"/>
      <c r="C450" s="70"/>
      <c r="D450" s="37"/>
      <c r="E450" s="70"/>
      <c r="F450" s="70"/>
      <c r="G450" s="37"/>
      <c r="H450" s="70"/>
      <c r="I450" s="70"/>
      <c r="J450" s="37"/>
      <c r="K450" s="70"/>
      <c r="L450" s="70"/>
      <c r="M450" s="70"/>
      <c r="N450" s="70"/>
      <c r="O450" s="70"/>
    </row>
    <row r="451" spans="1:15" x14ac:dyDescent="0.25">
      <c r="A451" s="37"/>
      <c r="B451" s="78"/>
      <c r="C451" s="70"/>
      <c r="D451" s="37"/>
      <c r="E451" s="70"/>
      <c r="F451" s="70"/>
      <c r="G451" s="37"/>
      <c r="H451" s="70"/>
      <c r="I451" s="70"/>
      <c r="J451" s="37"/>
      <c r="K451" s="70"/>
      <c r="L451" s="70"/>
      <c r="M451" s="70"/>
      <c r="N451" s="70"/>
      <c r="O451" s="70"/>
    </row>
    <row r="452" spans="1:15" x14ac:dyDescent="0.25">
      <c r="A452" s="37"/>
      <c r="B452" s="78"/>
      <c r="C452" s="70"/>
      <c r="D452" s="37"/>
      <c r="E452" s="70"/>
      <c r="F452" s="70"/>
      <c r="G452" s="37"/>
      <c r="H452" s="70"/>
      <c r="I452" s="70"/>
      <c r="J452" s="37"/>
      <c r="K452" s="70"/>
      <c r="L452" s="70"/>
      <c r="M452" s="70"/>
      <c r="N452" s="70"/>
      <c r="O452" s="70"/>
    </row>
    <row r="453" spans="1:15" x14ac:dyDescent="0.25">
      <c r="A453" s="37"/>
      <c r="B453" s="78"/>
      <c r="C453" s="70"/>
      <c r="D453" s="37"/>
      <c r="E453" s="70"/>
      <c r="F453" s="70"/>
      <c r="G453" s="37"/>
      <c r="H453" s="70"/>
      <c r="I453" s="70"/>
      <c r="J453" s="37"/>
      <c r="K453" s="70"/>
      <c r="L453" s="70"/>
      <c r="M453" s="70"/>
      <c r="N453" s="70"/>
      <c r="O453" s="70"/>
    </row>
    <row r="454" spans="1:15" x14ac:dyDescent="0.25">
      <c r="A454" s="37"/>
      <c r="B454" s="78"/>
      <c r="C454" s="70"/>
      <c r="D454" s="37"/>
      <c r="E454" s="70"/>
      <c r="F454" s="70"/>
      <c r="G454" s="37"/>
      <c r="H454" s="70"/>
      <c r="I454" s="70"/>
      <c r="J454" s="37"/>
      <c r="K454" s="70"/>
      <c r="L454" s="70"/>
      <c r="M454" s="70"/>
      <c r="N454" s="70"/>
      <c r="O454" s="70"/>
    </row>
    <row r="455" spans="1:15" x14ac:dyDescent="0.25">
      <c r="A455" s="37"/>
      <c r="B455" s="78"/>
      <c r="C455" s="70"/>
      <c r="D455" s="37"/>
      <c r="E455" s="70"/>
      <c r="F455" s="70"/>
      <c r="G455" s="37"/>
      <c r="H455" s="70"/>
      <c r="I455" s="70"/>
      <c r="J455" s="37"/>
      <c r="K455" s="70"/>
      <c r="L455" s="70"/>
      <c r="M455" s="70"/>
      <c r="N455" s="70"/>
      <c r="O455" s="70"/>
    </row>
    <row r="456" spans="1:15" x14ac:dyDescent="0.25">
      <c r="A456" s="37"/>
      <c r="B456" s="78"/>
      <c r="C456" s="70"/>
      <c r="D456" s="37"/>
      <c r="E456" s="70"/>
      <c r="F456" s="70"/>
      <c r="G456" s="37"/>
      <c r="H456" s="70"/>
      <c r="I456" s="70"/>
      <c r="J456" s="37"/>
      <c r="K456" s="70"/>
      <c r="L456" s="70"/>
      <c r="M456" s="70"/>
      <c r="N456" s="70"/>
      <c r="O456" s="70"/>
    </row>
    <row r="457" spans="1:15" x14ac:dyDescent="0.25">
      <c r="A457" s="37"/>
      <c r="B457" s="78"/>
      <c r="C457" s="70"/>
      <c r="D457" s="37"/>
      <c r="E457" s="70"/>
      <c r="F457" s="70"/>
      <c r="G457" s="37"/>
      <c r="H457" s="70"/>
      <c r="I457" s="70"/>
      <c r="J457" s="37"/>
      <c r="K457" s="70"/>
      <c r="L457" s="70"/>
      <c r="M457" s="70"/>
      <c r="N457" s="70"/>
      <c r="O457" s="70"/>
    </row>
    <row r="458" spans="1:15" x14ac:dyDescent="0.25">
      <c r="A458" s="37"/>
      <c r="B458" s="78"/>
      <c r="C458" s="70"/>
      <c r="D458" s="37"/>
      <c r="E458" s="70"/>
      <c r="F458" s="70"/>
      <c r="G458" s="37"/>
      <c r="H458" s="70"/>
      <c r="I458" s="70"/>
      <c r="J458" s="37"/>
      <c r="K458" s="70"/>
      <c r="L458" s="70"/>
      <c r="M458" s="70"/>
      <c r="N458" s="70"/>
      <c r="O458" s="70"/>
    </row>
    <row r="459" spans="1:15" x14ac:dyDescent="0.25">
      <c r="A459" s="37"/>
      <c r="B459" s="78"/>
      <c r="C459" s="70"/>
      <c r="D459" s="37"/>
      <c r="E459" s="70"/>
      <c r="F459" s="70"/>
      <c r="G459" s="37"/>
      <c r="H459" s="70"/>
      <c r="I459" s="70"/>
      <c r="J459" s="37"/>
      <c r="K459" s="70"/>
      <c r="L459" s="70"/>
      <c r="M459" s="70"/>
      <c r="N459" s="70"/>
      <c r="O459" s="70"/>
    </row>
    <row r="460" spans="1:15" x14ac:dyDescent="0.25">
      <c r="A460" s="37"/>
      <c r="B460" s="78"/>
      <c r="C460" s="70"/>
      <c r="D460" s="37"/>
      <c r="E460" s="70"/>
      <c r="F460" s="70"/>
      <c r="G460" s="37"/>
      <c r="H460" s="70"/>
      <c r="I460" s="70"/>
      <c r="J460" s="37"/>
      <c r="K460" s="70"/>
      <c r="L460" s="70"/>
      <c r="M460" s="70"/>
      <c r="N460" s="70"/>
      <c r="O460" s="70"/>
    </row>
    <row r="461" spans="1:15" x14ac:dyDescent="0.25">
      <c r="A461" s="37"/>
      <c r="B461" s="78"/>
      <c r="C461" s="70"/>
      <c r="D461" s="37"/>
      <c r="E461" s="70"/>
      <c r="F461" s="70"/>
      <c r="G461" s="37"/>
      <c r="H461" s="70"/>
      <c r="I461" s="70"/>
      <c r="J461" s="37"/>
      <c r="K461" s="70"/>
      <c r="L461" s="70"/>
      <c r="M461" s="70"/>
      <c r="N461" s="70"/>
      <c r="O461" s="70"/>
    </row>
    <row r="462" spans="1:15" x14ac:dyDescent="0.25">
      <c r="A462" s="37"/>
      <c r="B462" s="78"/>
      <c r="C462" s="70"/>
      <c r="D462" s="37"/>
      <c r="E462" s="70"/>
      <c r="F462" s="70"/>
      <c r="G462" s="37"/>
      <c r="H462" s="70"/>
      <c r="I462" s="70"/>
      <c r="J462" s="37"/>
      <c r="K462" s="70"/>
      <c r="L462" s="70"/>
      <c r="M462" s="70"/>
      <c r="N462" s="70"/>
      <c r="O462" s="70"/>
    </row>
    <row r="463" spans="1:15" x14ac:dyDescent="0.25">
      <c r="A463" s="37"/>
      <c r="B463" s="78"/>
      <c r="C463" s="70"/>
      <c r="D463" s="37"/>
      <c r="E463" s="70"/>
      <c r="F463" s="70"/>
      <c r="G463" s="37"/>
      <c r="H463" s="70"/>
      <c r="I463" s="70"/>
      <c r="J463" s="37"/>
      <c r="K463" s="70"/>
      <c r="L463" s="70"/>
      <c r="M463" s="70"/>
      <c r="N463" s="70"/>
      <c r="O463" s="70"/>
    </row>
    <row r="464" spans="1:15" x14ac:dyDescent="0.25">
      <c r="A464" s="37"/>
      <c r="B464" s="78"/>
      <c r="C464" s="70"/>
      <c r="D464" s="37"/>
      <c r="E464" s="70"/>
      <c r="F464" s="70"/>
      <c r="G464" s="37"/>
      <c r="H464" s="70"/>
      <c r="I464" s="70"/>
      <c r="J464" s="37"/>
      <c r="K464" s="70"/>
      <c r="L464" s="70"/>
      <c r="M464" s="70"/>
      <c r="N464" s="70"/>
      <c r="O464" s="70"/>
    </row>
    <row r="465" spans="1:15" x14ac:dyDescent="0.25">
      <c r="A465" s="37"/>
      <c r="B465" s="78"/>
      <c r="C465" s="70"/>
      <c r="D465" s="37"/>
      <c r="E465" s="70"/>
      <c r="F465" s="70"/>
      <c r="G465" s="37"/>
      <c r="H465" s="70"/>
      <c r="I465" s="70"/>
      <c r="J465" s="37"/>
      <c r="K465" s="70"/>
      <c r="L465" s="70"/>
      <c r="M465" s="70"/>
      <c r="N465" s="70"/>
      <c r="O465" s="70"/>
    </row>
    <row r="466" spans="1:15" x14ac:dyDescent="0.25">
      <c r="A466" s="37"/>
      <c r="B466" s="78"/>
      <c r="C466" s="70"/>
      <c r="D466" s="37"/>
      <c r="E466" s="70"/>
      <c r="F466" s="70"/>
      <c r="G466" s="37"/>
      <c r="H466" s="70"/>
      <c r="I466" s="70"/>
      <c r="J466" s="37"/>
      <c r="K466" s="70"/>
      <c r="L466" s="70"/>
      <c r="M466" s="70"/>
      <c r="N466" s="70"/>
      <c r="O466" s="70"/>
    </row>
    <row r="467" spans="1:15" x14ac:dyDescent="0.25">
      <c r="A467" s="37"/>
      <c r="B467" s="78"/>
      <c r="C467" s="70"/>
      <c r="D467" s="37"/>
      <c r="E467" s="70"/>
      <c r="F467" s="70"/>
      <c r="G467" s="37"/>
      <c r="H467" s="70"/>
      <c r="I467" s="70"/>
      <c r="J467" s="37"/>
      <c r="K467" s="70"/>
      <c r="L467" s="70"/>
      <c r="M467" s="70"/>
      <c r="N467" s="70"/>
      <c r="O467" s="70"/>
    </row>
    <row r="468" spans="1:15" x14ac:dyDescent="0.25">
      <c r="A468" s="37"/>
      <c r="B468" s="78"/>
      <c r="C468" s="70"/>
      <c r="D468" s="37"/>
      <c r="E468" s="70"/>
      <c r="F468" s="70"/>
      <c r="G468" s="37"/>
      <c r="H468" s="70"/>
      <c r="I468" s="70"/>
      <c r="J468" s="37"/>
      <c r="K468" s="70"/>
      <c r="L468" s="70"/>
      <c r="M468" s="70"/>
      <c r="N468" s="70"/>
      <c r="O468" s="70"/>
    </row>
    <row r="469" spans="1:15" x14ac:dyDescent="0.25">
      <c r="A469" s="37"/>
      <c r="B469" s="78"/>
      <c r="C469" s="70"/>
      <c r="D469" s="37"/>
      <c r="E469" s="70"/>
      <c r="F469" s="70"/>
      <c r="G469" s="37"/>
      <c r="H469" s="70"/>
      <c r="I469" s="70"/>
      <c r="J469" s="37"/>
      <c r="K469" s="70"/>
      <c r="L469" s="70"/>
      <c r="M469" s="70"/>
      <c r="N469" s="70"/>
      <c r="O469" s="70"/>
    </row>
    <row r="470" spans="1:15" x14ac:dyDescent="0.25">
      <c r="A470" s="37"/>
      <c r="B470" s="78"/>
      <c r="C470" s="70"/>
      <c r="D470" s="37"/>
      <c r="E470" s="70"/>
      <c r="F470" s="70"/>
      <c r="G470" s="37"/>
      <c r="H470" s="70"/>
      <c r="I470" s="70"/>
      <c r="J470" s="37"/>
      <c r="K470" s="70"/>
      <c r="L470" s="70"/>
      <c r="M470" s="70"/>
      <c r="N470" s="70"/>
      <c r="O470" s="70"/>
    </row>
    <row r="471" spans="1:15" x14ac:dyDescent="0.25">
      <c r="A471" s="37"/>
      <c r="B471" s="78"/>
      <c r="C471" s="70"/>
      <c r="D471" s="37"/>
      <c r="E471" s="70"/>
      <c r="F471" s="70"/>
      <c r="G471" s="37"/>
      <c r="H471" s="70"/>
      <c r="I471" s="70"/>
      <c r="J471" s="37"/>
      <c r="K471" s="70"/>
      <c r="L471" s="70"/>
      <c r="M471" s="70"/>
      <c r="N471" s="70"/>
      <c r="O471" s="70"/>
    </row>
    <row r="472" spans="1:15" x14ac:dyDescent="0.25">
      <c r="A472" s="37"/>
      <c r="B472" s="78"/>
      <c r="C472" s="70"/>
      <c r="D472" s="37"/>
      <c r="E472" s="70"/>
      <c r="F472" s="70"/>
      <c r="G472" s="37"/>
      <c r="H472" s="70"/>
      <c r="I472" s="70"/>
      <c r="J472" s="37"/>
      <c r="K472" s="70"/>
      <c r="L472" s="70"/>
      <c r="M472" s="70"/>
      <c r="N472" s="70"/>
      <c r="O472" s="70"/>
    </row>
    <row r="473" spans="1:15" x14ac:dyDescent="0.25">
      <c r="A473" s="37"/>
      <c r="B473" s="78"/>
      <c r="C473" s="70"/>
      <c r="D473" s="37"/>
      <c r="E473" s="70"/>
      <c r="F473" s="70"/>
      <c r="G473" s="37"/>
      <c r="H473" s="70"/>
      <c r="I473" s="70"/>
      <c r="J473" s="37"/>
      <c r="K473" s="70"/>
      <c r="L473" s="70"/>
      <c r="M473" s="70"/>
      <c r="N473" s="70"/>
      <c r="O473" s="70"/>
    </row>
    <row r="474" spans="1:15" x14ac:dyDescent="0.25">
      <c r="A474" s="37"/>
      <c r="B474" s="78"/>
      <c r="C474" s="70"/>
      <c r="D474" s="37"/>
      <c r="E474" s="70"/>
      <c r="F474" s="70"/>
      <c r="G474" s="37"/>
      <c r="H474" s="70"/>
      <c r="I474" s="70"/>
      <c r="J474" s="37"/>
      <c r="K474" s="70"/>
      <c r="L474" s="70"/>
      <c r="M474" s="70"/>
      <c r="N474" s="70"/>
      <c r="O474" s="70"/>
    </row>
    <row r="475" spans="1:15" x14ac:dyDescent="0.25">
      <c r="A475" s="37"/>
      <c r="B475" s="78"/>
      <c r="C475" s="70"/>
      <c r="D475" s="37"/>
      <c r="E475" s="70"/>
      <c r="F475" s="70"/>
      <c r="G475" s="37"/>
      <c r="H475" s="70"/>
      <c r="I475" s="70"/>
      <c r="J475" s="37"/>
      <c r="K475" s="70"/>
      <c r="L475" s="70"/>
      <c r="M475" s="70"/>
      <c r="N475" s="70"/>
      <c r="O475" s="70"/>
    </row>
    <row r="476" spans="1:15" x14ac:dyDescent="0.25">
      <c r="A476" s="37"/>
      <c r="B476" s="78"/>
      <c r="C476" s="70"/>
      <c r="D476" s="37"/>
      <c r="E476" s="70"/>
      <c r="F476" s="70"/>
      <c r="G476" s="37"/>
      <c r="H476" s="70"/>
      <c r="I476" s="70"/>
      <c r="J476" s="37"/>
      <c r="K476" s="70"/>
      <c r="L476" s="70"/>
      <c r="M476" s="70"/>
      <c r="N476" s="70"/>
      <c r="O476" s="70"/>
    </row>
    <row r="477" spans="1:15" x14ac:dyDescent="0.25">
      <c r="A477" s="37"/>
      <c r="B477" s="78"/>
      <c r="C477" s="70"/>
      <c r="D477" s="37"/>
      <c r="E477" s="70"/>
      <c r="F477" s="70"/>
      <c r="G477" s="37"/>
      <c r="H477" s="70"/>
      <c r="I477" s="70"/>
      <c r="J477" s="37"/>
      <c r="K477" s="70"/>
      <c r="L477" s="70"/>
      <c r="M477" s="70"/>
      <c r="N477" s="70"/>
      <c r="O477" s="70"/>
    </row>
    <row r="478" spans="1:15" x14ac:dyDescent="0.25">
      <c r="A478" s="37"/>
      <c r="B478" s="78"/>
      <c r="C478" s="70"/>
      <c r="D478" s="37"/>
      <c r="E478" s="70"/>
      <c r="F478" s="70"/>
      <c r="G478" s="37"/>
      <c r="H478" s="70"/>
      <c r="I478" s="70"/>
      <c r="J478" s="37"/>
      <c r="K478" s="70"/>
      <c r="L478" s="70"/>
      <c r="M478" s="70"/>
      <c r="N478" s="70"/>
      <c r="O478" s="70"/>
    </row>
    <row r="479" spans="1:15" x14ac:dyDescent="0.25">
      <c r="A479" s="37"/>
      <c r="B479" s="78"/>
      <c r="C479" s="70"/>
      <c r="D479" s="37"/>
      <c r="E479" s="70"/>
      <c r="F479" s="70"/>
      <c r="G479" s="37"/>
      <c r="H479" s="70"/>
      <c r="I479" s="70"/>
      <c r="J479" s="37"/>
      <c r="K479" s="70"/>
      <c r="L479" s="70"/>
      <c r="M479" s="70"/>
      <c r="N479" s="70"/>
      <c r="O479" s="70"/>
    </row>
    <row r="480" spans="1:15" x14ac:dyDescent="0.25">
      <c r="A480" s="37"/>
      <c r="B480" s="78"/>
      <c r="C480" s="70"/>
      <c r="D480" s="37"/>
      <c r="E480" s="70"/>
      <c r="F480" s="70"/>
      <c r="G480" s="37"/>
      <c r="H480" s="70"/>
      <c r="I480" s="70"/>
      <c r="J480" s="37"/>
      <c r="K480" s="70"/>
      <c r="L480" s="70"/>
      <c r="M480" s="70"/>
      <c r="N480" s="70"/>
      <c r="O480" s="70"/>
    </row>
    <row r="481" spans="1:15" x14ac:dyDescent="0.25">
      <c r="A481" s="37"/>
      <c r="B481" s="78"/>
      <c r="C481" s="70"/>
      <c r="D481" s="37"/>
      <c r="E481" s="70"/>
      <c r="F481" s="70"/>
      <c r="G481" s="37"/>
      <c r="H481" s="70"/>
      <c r="I481" s="70"/>
      <c r="J481" s="37"/>
      <c r="K481" s="70"/>
      <c r="L481" s="70"/>
      <c r="M481" s="70"/>
      <c r="N481" s="70"/>
      <c r="O481" s="70"/>
    </row>
    <row r="482" spans="1:15" x14ac:dyDescent="0.25">
      <c r="A482" s="37"/>
      <c r="B482" s="78"/>
      <c r="C482" s="70"/>
      <c r="D482" s="37"/>
      <c r="E482" s="70"/>
      <c r="F482" s="70"/>
      <c r="G482" s="37"/>
      <c r="H482" s="70"/>
      <c r="I482" s="70"/>
      <c r="J482" s="37"/>
      <c r="K482" s="70"/>
      <c r="L482" s="70"/>
      <c r="M482" s="70"/>
      <c r="N482" s="70"/>
      <c r="O482" s="70"/>
    </row>
    <row r="483" spans="1:15" x14ac:dyDescent="0.25">
      <c r="A483" s="37"/>
      <c r="B483" s="78"/>
      <c r="C483" s="70"/>
      <c r="D483" s="37"/>
      <c r="E483" s="70"/>
      <c r="F483" s="70"/>
      <c r="G483" s="37"/>
      <c r="H483" s="70"/>
      <c r="I483" s="70"/>
      <c r="J483" s="37"/>
      <c r="K483" s="70"/>
      <c r="L483" s="70"/>
      <c r="M483" s="70"/>
      <c r="N483" s="70"/>
      <c r="O483" s="70"/>
    </row>
    <row r="484" spans="1:15" x14ac:dyDescent="0.25">
      <c r="A484" s="37"/>
      <c r="B484" s="78"/>
      <c r="C484" s="70"/>
      <c r="D484" s="37"/>
      <c r="E484" s="70"/>
      <c r="F484" s="70"/>
      <c r="G484" s="37"/>
      <c r="H484" s="70"/>
      <c r="I484" s="70"/>
      <c r="J484" s="37"/>
      <c r="K484" s="70"/>
      <c r="L484" s="70"/>
      <c r="M484" s="70"/>
      <c r="N484" s="70"/>
      <c r="O484" s="70"/>
    </row>
    <row r="485" spans="1:15" x14ac:dyDescent="0.25">
      <c r="A485" s="37"/>
      <c r="B485" s="78"/>
      <c r="C485" s="70"/>
      <c r="D485" s="37"/>
      <c r="E485" s="70"/>
      <c r="F485" s="70"/>
      <c r="G485" s="37"/>
      <c r="H485" s="70"/>
      <c r="I485" s="70"/>
      <c r="J485" s="37"/>
      <c r="K485" s="70"/>
      <c r="L485" s="70"/>
      <c r="M485" s="70"/>
      <c r="N485" s="70"/>
      <c r="O485" s="70"/>
    </row>
    <row r="486" spans="1:15" x14ac:dyDescent="0.25">
      <c r="A486" s="37"/>
      <c r="B486" s="78"/>
      <c r="C486" s="70"/>
      <c r="D486" s="37"/>
      <c r="E486" s="70"/>
      <c r="F486" s="70"/>
      <c r="G486" s="37"/>
      <c r="H486" s="70"/>
      <c r="I486" s="70"/>
      <c r="J486" s="37"/>
      <c r="K486" s="70"/>
      <c r="L486" s="70"/>
      <c r="M486" s="70"/>
      <c r="N486" s="70"/>
      <c r="O486" s="70"/>
    </row>
    <row r="487" spans="1:15" x14ac:dyDescent="0.25">
      <c r="A487" s="37"/>
      <c r="B487" s="78"/>
      <c r="C487" s="70"/>
      <c r="D487" s="37"/>
      <c r="E487" s="70"/>
      <c r="F487" s="70"/>
      <c r="G487" s="37"/>
      <c r="H487" s="70"/>
      <c r="I487" s="70"/>
      <c r="J487" s="37"/>
      <c r="K487" s="70"/>
      <c r="L487" s="70"/>
      <c r="M487" s="70"/>
      <c r="N487" s="70"/>
      <c r="O487" s="70"/>
    </row>
    <row r="488" spans="1:15" x14ac:dyDescent="0.25">
      <c r="A488" s="37"/>
      <c r="B488" s="78"/>
      <c r="C488" s="70"/>
      <c r="D488" s="37"/>
      <c r="E488" s="70"/>
      <c r="F488" s="70"/>
      <c r="G488" s="37"/>
      <c r="H488" s="70"/>
      <c r="I488" s="70"/>
      <c r="J488" s="37"/>
      <c r="K488" s="70"/>
      <c r="L488" s="70"/>
      <c r="M488" s="70"/>
      <c r="N488" s="70"/>
      <c r="O488" s="70"/>
    </row>
    <row r="489" spans="1:15" x14ac:dyDescent="0.25">
      <c r="A489" s="37"/>
      <c r="B489" s="78"/>
      <c r="C489" s="70"/>
      <c r="D489" s="37"/>
      <c r="E489" s="70"/>
      <c r="F489" s="70"/>
      <c r="G489" s="37"/>
      <c r="H489" s="70"/>
      <c r="I489" s="70"/>
      <c r="J489" s="37"/>
      <c r="K489" s="70"/>
      <c r="L489" s="70"/>
      <c r="M489" s="70"/>
      <c r="N489" s="70"/>
      <c r="O489" s="70"/>
    </row>
    <row r="490" spans="1:15" x14ac:dyDescent="0.25">
      <c r="A490" s="37"/>
      <c r="B490" s="78"/>
      <c r="C490" s="70"/>
      <c r="D490" s="37"/>
      <c r="E490" s="70"/>
      <c r="F490" s="70"/>
      <c r="G490" s="37"/>
      <c r="H490" s="70"/>
      <c r="I490" s="70"/>
      <c r="J490" s="37"/>
      <c r="K490" s="70"/>
      <c r="L490" s="70"/>
      <c r="M490" s="70"/>
      <c r="N490" s="70"/>
      <c r="O490" s="70"/>
    </row>
    <row r="491" spans="1:15" x14ac:dyDescent="0.25">
      <c r="A491" s="37"/>
      <c r="B491" s="78"/>
      <c r="C491" s="70"/>
      <c r="D491" s="37"/>
      <c r="E491" s="70"/>
      <c r="F491" s="70"/>
      <c r="G491" s="37"/>
      <c r="H491" s="70"/>
      <c r="I491" s="70"/>
      <c r="J491" s="37"/>
      <c r="K491" s="70"/>
      <c r="L491" s="70"/>
      <c r="M491" s="70"/>
      <c r="N491" s="70"/>
      <c r="O491" s="70"/>
    </row>
    <row r="492" spans="1:15" x14ac:dyDescent="0.25">
      <c r="A492" s="37"/>
      <c r="B492" s="78"/>
      <c r="C492" s="70"/>
      <c r="D492" s="37"/>
      <c r="E492" s="70"/>
      <c r="F492" s="70"/>
      <c r="G492" s="37"/>
      <c r="H492" s="70"/>
      <c r="I492" s="70"/>
      <c r="J492" s="37"/>
      <c r="K492" s="70"/>
      <c r="L492" s="70"/>
      <c r="M492" s="70"/>
      <c r="N492" s="70"/>
      <c r="O492" s="70"/>
    </row>
    <row r="493" spans="1:15" x14ac:dyDescent="0.25">
      <c r="A493" s="37"/>
      <c r="B493" s="78"/>
      <c r="C493" s="70"/>
      <c r="D493" s="37"/>
      <c r="E493" s="70"/>
      <c r="F493" s="70"/>
      <c r="G493" s="37"/>
      <c r="H493" s="70"/>
      <c r="I493" s="70"/>
      <c r="J493" s="37"/>
      <c r="K493" s="70"/>
      <c r="L493" s="70"/>
      <c r="M493" s="70"/>
      <c r="N493" s="70"/>
      <c r="O493" s="70"/>
    </row>
    <row r="494" spans="1:15" x14ac:dyDescent="0.25">
      <c r="A494" s="37"/>
      <c r="B494" s="78"/>
      <c r="C494" s="70"/>
      <c r="D494" s="37"/>
      <c r="E494" s="70"/>
      <c r="F494" s="70"/>
      <c r="G494" s="37"/>
      <c r="H494" s="70"/>
      <c r="I494" s="70"/>
      <c r="J494" s="37"/>
      <c r="K494" s="70"/>
      <c r="L494" s="70"/>
      <c r="M494" s="70"/>
      <c r="N494" s="70"/>
      <c r="O494" s="70"/>
    </row>
    <row r="495" spans="1:15" x14ac:dyDescent="0.25">
      <c r="A495" s="37"/>
      <c r="B495" s="78"/>
      <c r="C495" s="70"/>
      <c r="D495" s="37"/>
      <c r="E495" s="70"/>
      <c r="F495" s="70"/>
      <c r="G495" s="37"/>
      <c r="H495" s="70"/>
      <c r="I495" s="70"/>
      <c r="J495" s="37"/>
      <c r="K495" s="70"/>
      <c r="L495" s="70"/>
      <c r="M495" s="70"/>
      <c r="N495" s="70"/>
      <c r="O495" s="70"/>
    </row>
    <row r="496" spans="1:15" x14ac:dyDescent="0.25">
      <c r="A496" s="37"/>
      <c r="B496" s="78"/>
      <c r="C496" s="70"/>
      <c r="D496" s="37"/>
      <c r="E496" s="70"/>
      <c r="F496" s="70"/>
      <c r="G496" s="37"/>
      <c r="H496" s="70"/>
      <c r="I496" s="70"/>
      <c r="J496" s="37"/>
      <c r="K496" s="70"/>
      <c r="L496" s="70"/>
      <c r="M496" s="70"/>
      <c r="N496" s="70"/>
      <c r="O496" s="70"/>
    </row>
    <row r="497" spans="1:15" x14ac:dyDescent="0.25">
      <c r="A497" s="37"/>
      <c r="B497" s="78"/>
      <c r="C497" s="70"/>
      <c r="D497" s="37"/>
      <c r="E497" s="70"/>
      <c r="F497" s="70"/>
      <c r="G497" s="37"/>
      <c r="H497" s="70"/>
      <c r="I497" s="70"/>
      <c r="J497" s="37"/>
      <c r="K497" s="70"/>
      <c r="L497" s="70"/>
      <c r="M497" s="70"/>
      <c r="N497" s="70"/>
      <c r="O497" s="70"/>
    </row>
    <row r="498" spans="1:15" x14ac:dyDescent="0.25">
      <c r="A498" s="37"/>
      <c r="B498" s="78"/>
      <c r="C498" s="70"/>
      <c r="D498" s="37"/>
      <c r="E498" s="70"/>
      <c r="F498" s="70"/>
      <c r="G498" s="37"/>
      <c r="H498" s="70"/>
      <c r="I498" s="70"/>
      <c r="J498" s="37"/>
      <c r="K498" s="70"/>
      <c r="L498" s="70"/>
      <c r="M498" s="70"/>
      <c r="N498" s="70"/>
      <c r="O498" s="70"/>
    </row>
    <row r="499" spans="1:15" x14ac:dyDescent="0.25">
      <c r="A499" s="37"/>
      <c r="B499" s="78"/>
      <c r="C499" s="70"/>
      <c r="D499" s="37"/>
      <c r="E499" s="70"/>
      <c r="F499" s="70"/>
      <c r="G499" s="37"/>
      <c r="H499" s="70"/>
      <c r="I499" s="70"/>
      <c r="J499" s="37"/>
      <c r="K499" s="70"/>
      <c r="L499" s="70"/>
      <c r="M499" s="70"/>
      <c r="N499" s="70"/>
      <c r="O499" s="70"/>
    </row>
    <row r="500" spans="1:15" x14ac:dyDescent="0.25">
      <c r="A500" s="37"/>
      <c r="B500" s="78"/>
      <c r="C500" s="70"/>
      <c r="D500" s="37"/>
      <c r="E500" s="70"/>
      <c r="F500" s="70"/>
      <c r="G500" s="37"/>
      <c r="H500" s="70"/>
      <c r="I500" s="70"/>
      <c r="J500" s="37"/>
      <c r="K500" s="70"/>
      <c r="L500" s="70"/>
      <c r="M500" s="70"/>
      <c r="N500" s="70"/>
      <c r="O500" s="70"/>
    </row>
    <row r="501" spans="1:15" x14ac:dyDescent="0.25">
      <c r="A501" s="37"/>
      <c r="B501" s="78"/>
      <c r="C501" s="70"/>
      <c r="D501" s="37"/>
      <c r="E501" s="70"/>
      <c r="F501" s="70"/>
      <c r="G501" s="37"/>
      <c r="H501" s="70"/>
      <c r="I501" s="70"/>
      <c r="J501" s="37"/>
      <c r="K501" s="70"/>
      <c r="L501" s="70"/>
      <c r="M501" s="70"/>
      <c r="N501" s="70"/>
      <c r="O501" s="70"/>
    </row>
    <row r="502" spans="1:15" x14ac:dyDescent="0.25">
      <c r="A502" s="37"/>
      <c r="B502" s="78"/>
      <c r="C502" s="70"/>
      <c r="D502" s="37"/>
      <c r="E502" s="70"/>
      <c r="F502" s="70"/>
      <c r="G502" s="37"/>
      <c r="H502" s="70"/>
      <c r="I502" s="70"/>
      <c r="J502" s="37"/>
      <c r="K502" s="70"/>
      <c r="L502" s="70"/>
      <c r="M502" s="70"/>
      <c r="N502" s="70"/>
      <c r="O502" s="70"/>
    </row>
    <row r="503" spans="1:15" x14ac:dyDescent="0.25">
      <c r="A503" s="37"/>
      <c r="B503" s="78"/>
      <c r="C503" s="70"/>
      <c r="D503" s="37"/>
      <c r="E503" s="70"/>
      <c r="F503" s="70"/>
      <c r="G503" s="37"/>
      <c r="H503" s="70"/>
      <c r="I503" s="70"/>
      <c r="J503" s="37"/>
      <c r="K503" s="70"/>
      <c r="L503" s="70"/>
      <c r="M503" s="70"/>
      <c r="N503" s="70"/>
      <c r="O503" s="70"/>
    </row>
    <row r="504" spans="1:15" x14ac:dyDescent="0.25">
      <c r="A504" s="37"/>
      <c r="B504" s="78"/>
      <c r="C504" s="70"/>
      <c r="D504" s="37"/>
      <c r="E504" s="70"/>
      <c r="F504" s="70"/>
      <c r="G504" s="37"/>
      <c r="H504" s="70"/>
      <c r="I504" s="70"/>
      <c r="J504" s="37"/>
      <c r="K504" s="70"/>
      <c r="L504" s="70"/>
      <c r="M504" s="70"/>
      <c r="N504" s="70"/>
      <c r="O504" s="70"/>
    </row>
    <row r="505" spans="1:15" x14ac:dyDescent="0.25">
      <c r="A505" s="37"/>
      <c r="B505" s="78"/>
      <c r="C505" s="70"/>
      <c r="D505" s="37"/>
      <c r="E505" s="70"/>
      <c r="F505" s="70"/>
      <c r="G505" s="37"/>
      <c r="H505" s="70"/>
      <c r="I505" s="70"/>
      <c r="J505" s="37"/>
      <c r="K505" s="70"/>
      <c r="L505" s="70"/>
      <c r="M505" s="70"/>
      <c r="N505" s="70"/>
      <c r="O505" s="70"/>
    </row>
    <row r="506" spans="1:15" x14ac:dyDescent="0.25">
      <c r="A506" s="37"/>
      <c r="B506" s="78"/>
      <c r="C506" s="70"/>
      <c r="D506" s="37"/>
      <c r="E506" s="70"/>
      <c r="F506" s="70"/>
      <c r="G506" s="37"/>
      <c r="H506" s="70"/>
      <c r="I506" s="70"/>
      <c r="J506" s="37"/>
      <c r="K506" s="70"/>
      <c r="L506" s="70"/>
      <c r="M506" s="70"/>
      <c r="N506" s="70"/>
      <c r="O506" s="70"/>
    </row>
    <row r="507" spans="1:15" x14ac:dyDescent="0.25">
      <c r="A507" s="37"/>
      <c r="B507" s="78"/>
      <c r="C507" s="70"/>
      <c r="D507" s="37"/>
      <c r="E507" s="70"/>
      <c r="F507" s="70"/>
      <c r="G507" s="37"/>
      <c r="H507" s="70"/>
      <c r="I507" s="70"/>
      <c r="J507" s="37"/>
      <c r="K507" s="70"/>
      <c r="L507" s="70"/>
      <c r="M507" s="70"/>
      <c r="N507" s="70"/>
      <c r="O507" s="70"/>
    </row>
    <row r="508" spans="1:15" x14ac:dyDescent="0.25">
      <c r="A508" s="37"/>
      <c r="B508" s="78"/>
      <c r="C508" s="70"/>
      <c r="D508" s="37"/>
      <c r="E508" s="70"/>
      <c r="F508" s="70"/>
      <c r="G508" s="37"/>
      <c r="H508" s="70"/>
      <c r="I508" s="70"/>
      <c r="J508" s="37"/>
      <c r="K508" s="70"/>
      <c r="L508" s="70"/>
      <c r="M508" s="70"/>
      <c r="N508" s="70"/>
      <c r="O508" s="70"/>
    </row>
    <row r="509" spans="1:15" x14ac:dyDescent="0.25">
      <c r="A509" s="37"/>
      <c r="B509" s="78"/>
      <c r="C509" s="70"/>
      <c r="D509" s="37"/>
      <c r="E509" s="70"/>
      <c r="F509" s="70"/>
      <c r="G509" s="37"/>
      <c r="H509" s="70"/>
      <c r="I509" s="70"/>
      <c r="J509" s="37"/>
      <c r="K509" s="70"/>
      <c r="L509" s="70"/>
      <c r="M509" s="70"/>
      <c r="N509" s="70"/>
      <c r="O509" s="70"/>
    </row>
    <row r="510" spans="1:15" x14ac:dyDescent="0.25">
      <c r="A510" s="37"/>
      <c r="B510" s="78"/>
      <c r="C510" s="70"/>
      <c r="D510" s="37"/>
      <c r="E510" s="70"/>
      <c r="F510" s="70"/>
      <c r="G510" s="37"/>
      <c r="H510" s="70"/>
      <c r="I510" s="70"/>
      <c r="J510" s="37"/>
      <c r="K510" s="70"/>
      <c r="L510" s="70"/>
      <c r="M510" s="70"/>
      <c r="N510" s="70"/>
      <c r="O510" s="70"/>
    </row>
    <row r="511" spans="1:15" x14ac:dyDescent="0.25">
      <c r="A511" s="37"/>
      <c r="B511" s="78"/>
      <c r="C511" s="70"/>
      <c r="D511" s="37"/>
      <c r="E511" s="70"/>
      <c r="F511" s="70"/>
      <c r="G511" s="37"/>
      <c r="H511" s="70"/>
      <c r="I511" s="70"/>
      <c r="J511" s="37"/>
      <c r="K511" s="70"/>
      <c r="L511" s="70"/>
      <c r="M511" s="70"/>
      <c r="N511" s="70"/>
      <c r="O511" s="70"/>
    </row>
    <row r="512" spans="1:15" x14ac:dyDescent="0.25">
      <c r="A512" s="37"/>
      <c r="B512" s="78"/>
      <c r="C512" s="70"/>
      <c r="D512" s="37"/>
      <c r="E512" s="70"/>
      <c r="F512" s="70"/>
      <c r="G512" s="37"/>
      <c r="H512" s="70"/>
      <c r="I512" s="70"/>
      <c r="J512" s="37"/>
      <c r="K512" s="70"/>
      <c r="L512" s="70"/>
      <c r="M512" s="70"/>
      <c r="N512" s="70"/>
      <c r="O512" s="70"/>
    </row>
    <row r="513" spans="1:15" x14ac:dyDescent="0.25">
      <c r="A513" s="37"/>
      <c r="B513" s="78"/>
      <c r="C513" s="70"/>
      <c r="D513" s="37"/>
      <c r="E513" s="70"/>
      <c r="F513" s="70"/>
      <c r="G513" s="37"/>
      <c r="H513" s="70"/>
      <c r="I513" s="70"/>
      <c r="J513" s="37"/>
      <c r="K513" s="70"/>
      <c r="L513" s="70"/>
      <c r="M513" s="70"/>
      <c r="N513" s="70"/>
      <c r="O513" s="70"/>
    </row>
    <row r="514" spans="1:15" x14ac:dyDescent="0.25">
      <c r="A514" s="37"/>
      <c r="B514" s="78"/>
      <c r="C514" s="70"/>
      <c r="D514" s="37"/>
      <c r="E514" s="70"/>
      <c r="F514" s="70"/>
      <c r="G514" s="37"/>
      <c r="H514" s="70"/>
      <c r="I514" s="70"/>
      <c r="J514" s="37"/>
      <c r="K514" s="70"/>
      <c r="L514" s="70"/>
      <c r="M514" s="70"/>
      <c r="N514" s="70"/>
      <c r="O514" s="70"/>
    </row>
    <row r="515" spans="1:15" x14ac:dyDescent="0.25">
      <c r="A515" s="37"/>
      <c r="B515" s="78"/>
      <c r="C515" s="70"/>
      <c r="D515" s="37"/>
      <c r="E515" s="70"/>
      <c r="F515" s="70"/>
      <c r="G515" s="37"/>
      <c r="H515" s="70"/>
      <c r="I515" s="70"/>
      <c r="J515" s="37"/>
      <c r="K515" s="70"/>
      <c r="L515" s="70"/>
      <c r="M515" s="70"/>
      <c r="N515" s="70"/>
      <c r="O515" s="70"/>
    </row>
    <row r="516" spans="1:15" x14ac:dyDescent="0.25">
      <c r="A516" s="37"/>
      <c r="B516" s="78"/>
      <c r="C516" s="70"/>
      <c r="D516" s="37"/>
      <c r="E516" s="70"/>
      <c r="F516" s="70"/>
      <c r="G516" s="37"/>
      <c r="H516" s="70"/>
      <c r="I516" s="70"/>
      <c r="J516" s="37"/>
      <c r="K516" s="70"/>
      <c r="L516" s="70"/>
      <c r="M516" s="70"/>
      <c r="N516" s="70"/>
      <c r="O516" s="70"/>
    </row>
    <row r="517" spans="1:15" x14ac:dyDescent="0.25">
      <c r="A517" s="37"/>
      <c r="B517" s="78"/>
      <c r="C517" s="70"/>
      <c r="D517" s="37"/>
      <c r="E517" s="70"/>
      <c r="F517" s="70"/>
      <c r="G517" s="37"/>
      <c r="H517" s="70"/>
      <c r="I517" s="70"/>
      <c r="J517" s="37"/>
      <c r="K517" s="70"/>
      <c r="L517" s="70"/>
      <c r="M517" s="70"/>
      <c r="N517" s="70"/>
      <c r="O517" s="70"/>
    </row>
    <row r="518" spans="1:15" x14ac:dyDescent="0.25">
      <c r="A518" s="37"/>
      <c r="B518" s="78"/>
      <c r="C518" s="70"/>
      <c r="D518" s="37"/>
      <c r="E518" s="70"/>
      <c r="F518" s="70"/>
      <c r="G518" s="37"/>
      <c r="H518" s="70"/>
      <c r="I518" s="70"/>
      <c r="J518" s="37"/>
      <c r="K518" s="70"/>
      <c r="L518" s="70"/>
      <c r="M518" s="70"/>
      <c r="N518" s="70"/>
      <c r="O518" s="70"/>
    </row>
    <row r="519" spans="1:15" x14ac:dyDescent="0.25">
      <c r="A519" s="37"/>
      <c r="B519" s="78"/>
      <c r="C519" s="70"/>
      <c r="D519" s="37"/>
      <c r="E519" s="70"/>
      <c r="F519" s="70"/>
      <c r="G519" s="37"/>
      <c r="H519" s="70"/>
      <c r="I519" s="70"/>
      <c r="J519" s="37"/>
      <c r="K519" s="70"/>
      <c r="L519" s="70"/>
      <c r="M519" s="70"/>
      <c r="N519" s="70"/>
      <c r="O519" s="70"/>
    </row>
    <row r="520" spans="1:15" x14ac:dyDescent="0.25">
      <c r="A520" s="37"/>
      <c r="B520" s="78"/>
      <c r="C520" s="70"/>
      <c r="D520" s="37"/>
      <c r="E520" s="70"/>
      <c r="F520" s="70"/>
      <c r="G520" s="37"/>
      <c r="H520" s="70"/>
      <c r="I520" s="70"/>
      <c r="J520" s="37"/>
      <c r="K520" s="70"/>
      <c r="L520" s="70"/>
      <c r="M520" s="70"/>
      <c r="N520" s="70"/>
      <c r="O520" s="70"/>
    </row>
    <row r="521" spans="1:15" x14ac:dyDescent="0.25">
      <c r="A521" s="37"/>
      <c r="B521" s="78"/>
      <c r="C521" s="70"/>
      <c r="D521" s="37"/>
      <c r="E521" s="70"/>
      <c r="F521" s="70"/>
      <c r="G521" s="37"/>
      <c r="H521" s="70"/>
      <c r="I521" s="70"/>
      <c r="J521" s="37"/>
      <c r="K521" s="70"/>
      <c r="L521" s="70"/>
      <c r="M521" s="70"/>
      <c r="N521" s="70"/>
      <c r="O521" s="70"/>
    </row>
    <row r="522" spans="1:15" x14ac:dyDescent="0.25">
      <c r="A522" s="37"/>
      <c r="B522" s="78"/>
      <c r="C522" s="70"/>
      <c r="D522" s="37"/>
      <c r="E522" s="70"/>
      <c r="F522" s="70"/>
      <c r="G522" s="37"/>
      <c r="H522" s="70"/>
      <c r="I522" s="70"/>
      <c r="J522" s="37"/>
      <c r="K522" s="70"/>
      <c r="L522" s="70"/>
      <c r="M522" s="70"/>
      <c r="N522" s="70"/>
      <c r="O522" s="70"/>
    </row>
    <row r="523" spans="1:15" x14ac:dyDescent="0.25">
      <c r="A523" s="37"/>
      <c r="B523" s="78"/>
      <c r="C523" s="70"/>
      <c r="D523" s="37"/>
      <c r="E523" s="70"/>
      <c r="F523" s="70"/>
      <c r="G523" s="37"/>
      <c r="H523" s="70"/>
      <c r="I523" s="70"/>
      <c r="J523" s="37"/>
      <c r="K523" s="70"/>
      <c r="L523" s="70"/>
      <c r="M523" s="70"/>
      <c r="N523" s="70"/>
      <c r="O523" s="70"/>
    </row>
    <row r="524" spans="1:15" x14ac:dyDescent="0.25">
      <c r="A524" s="37"/>
      <c r="B524" s="78"/>
      <c r="C524" s="70"/>
      <c r="D524" s="37"/>
      <c r="E524" s="70"/>
      <c r="F524" s="70"/>
      <c r="G524" s="37"/>
      <c r="H524" s="70"/>
      <c r="I524" s="70"/>
      <c r="J524" s="37"/>
      <c r="K524" s="70"/>
      <c r="L524" s="70"/>
      <c r="M524" s="70"/>
      <c r="N524" s="70"/>
      <c r="O524" s="70"/>
    </row>
    <row r="525" spans="1:15" x14ac:dyDescent="0.25">
      <c r="A525" s="37"/>
      <c r="B525" s="78"/>
      <c r="C525" s="70"/>
      <c r="D525" s="37"/>
      <c r="E525" s="70"/>
      <c r="F525" s="70"/>
      <c r="G525" s="37"/>
      <c r="H525" s="70"/>
      <c r="I525" s="70"/>
      <c r="J525" s="37"/>
      <c r="K525" s="70"/>
      <c r="L525" s="70"/>
      <c r="M525" s="70"/>
      <c r="N525" s="70"/>
      <c r="O525" s="70"/>
    </row>
    <row r="526" spans="1:15" x14ac:dyDescent="0.25">
      <c r="A526" s="37"/>
      <c r="B526" s="78"/>
      <c r="C526" s="70"/>
      <c r="D526" s="37"/>
      <c r="E526" s="70"/>
      <c r="F526" s="70"/>
      <c r="G526" s="37"/>
      <c r="H526" s="70"/>
      <c r="I526" s="70"/>
      <c r="J526" s="37"/>
      <c r="K526" s="70"/>
      <c r="L526" s="70"/>
      <c r="M526" s="70"/>
      <c r="N526" s="70"/>
      <c r="O526" s="70"/>
    </row>
    <row r="527" spans="1:15" x14ac:dyDescent="0.25">
      <c r="A527" s="37"/>
      <c r="B527" s="78"/>
      <c r="C527" s="70"/>
      <c r="D527" s="37"/>
      <c r="E527" s="70"/>
      <c r="F527" s="70"/>
      <c r="G527" s="37"/>
      <c r="H527" s="70"/>
      <c r="I527" s="70"/>
      <c r="J527" s="37"/>
      <c r="K527" s="70"/>
      <c r="L527" s="70"/>
      <c r="M527" s="70"/>
      <c r="N527" s="70"/>
      <c r="O527" s="70"/>
    </row>
    <row r="528" spans="1:15" x14ac:dyDescent="0.25">
      <c r="A528" s="37"/>
      <c r="B528" s="78"/>
      <c r="C528" s="70"/>
      <c r="D528" s="37"/>
      <c r="E528" s="70"/>
      <c r="F528" s="70"/>
      <c r="G528" s="37"/>
      <c r="H528" s="70"/>
      <c r="I528" s="70"/>
      <c r="J528" s="37"/>
      <c r="K528" s="70"/>
      <c r="L528" s="70"/>
      <c r="M528" s="70"/>
      <c r="N528" s="70"/>
      <c r="O528" s="70"/>
    </row>
    <row r="529" spans="1:15" x14ac:dyDescent="0.25">
      <c r="A529" s="37"/>
      <c r="B529" s="78"/>
      <c r="C529" s="70"/>
      <c r="D529" s="37"/>
      <c r="E529" s="70"/>
      <c r="F529" s="70"/>
      <c r="G529" s="37"/>
      <c r="H529" s="70"/>
      <c r="I529" s="70"/>
      <c r="J529" s="37"/>
      <c r="K529" s="70"/>
      <c r="L529" s="70"/>
      <c r="M529" s="70"/>
      <c r="N529" s="70"/>
      <c r="O529" s="70"/>
    </row>
    <row r="530" spans="1:15" x14ac:dyDescent="0.25">
      <c r="A530" s="37"/>
      <c r="B530" s="78"/>
      <c r="C530" s="70"/>
      <c r="D530" s="37"/>
      <c r="E530" s="70"/>
      <c r="F530" s="70"/>
      <c r="G530" s="37"/>
      <c r="H530" s="70"/>
      <c r="I530" s="70"/>
      <c r="J530" s="37"/>
      <c r="K530" s="70"/>
      <c r="L530" s="70"/>
      <c r="M530" s="70"/>
      <c r="N530" s="70"/>
      <c r="O530" s="70"/>
    </row>
    <row r="531" spans="1:15" x14ac:dyDescent="0.25">
      <c r="A531" s="37"/>
      <c r="B531" s="78"/>
      <c r="C531" s="70"/>
      <c r="D531" s="37"/>
      <c r="E531" s="70"/>
      <c r="F531" s="70"/>
      <c r="G531" s="37"/>
      <c r="H531" s="70"/>
      <c r="I531" s="70"/>
      <c r="J531" s="37"/>
      <c r="K531" s="70"/>
      <c r="L531" s="70"/>
      <c r="M531" s="70"/>
      <c r="N531" s="70"/>
      <c r="O531" s="70"/>
    </row>
    <row r="532" spans="1:15" x14ac:dyDescent="0.25">
      <c r="A532" s="37"/>
      <c r="B532" s="78"/>
      <c r="C532" s="70"/>
      <c r="D532" s="37"/>
      <c r="E532" s="70"/>
      <c r="F532" s="70"/>
      <c r="G532" s="37"/>
      <c r="H532" s="70"/>
      <c r="I532" s="70"/>
      <c r="J532" s="37"/>
      <c r="K532" s="70"/>
      <c r="L532" s="70"/>
      <c r="M532" s="70"/>
      <c r="N532" s="70"/>
      <c r="O532" s="70"/>
    </row>
  </sheetData>
  <mergeCells count="8">
    <mergeCell ref="Q2:R2"/>
    <mergeCell ref="A1:K1"/>
    <mergeCell ref="L1:M1"/>
    <mergeCell ref="A2:C2"/>
    <mergeCell ref="D2:F2"/>
    <mergeCell ref="G2:I2"/>
    <mergeCell ref="J2:L2"/>
    <mergeCell ref="M2:O2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0"/>
  <sheetViews>
    <sheetView tabSelected="1" topLeftCell="B5" workbookViewId="0">
      <pane ySplit="3" topLeftCell="A8" activePane="bottomLeft" state="frozen"/>
      <selection activeCell="A5" sqref="A5"/>
      <selection pane="bottomLeft" activeCell="L28" sqref="L28"/>
    </sheetView>
  </sheetViews>
  <sheetFormatPr baseColWidth="10" defaultRowHeight="15" x14ac:dyDescent="0.25"/>
  <cols>
    <col min="1" max="1" width="7.7109375" style="7" customWidth="1"/>
    <col min="2" max="2" width="8.7109375" style="7" customWidth="1"/>
    <col min="3" max="3" width="23.7109375" customWidth="1"/>
    <col min="4" max="4" width="7.7109375" style="7" customWidth="1"/>
    <col min="5" max="5" width="8.7109375" customWidth="1"/>
    <col min="6" max="6" width="23.7109375" customWidth="1"/>
    <col min="7" max="7" width="7.7109375" style="7" customWidth="1"/>
    <col min="8" max="8" width="8.7109375" customWidth="1"/>
    <col min="9" max="9" width="23.7109375" customWidth="1"/>
    <col min="10" max="10" width="7.7109375" style="7" customWidth="1"/>
    <col min="11" max="11" width="10" customWidth="1"/>
    <col min="12" max="12" width="23.7109375" customWidth="1"/>
    <col min="13" max="14" width="7.7109375" customWidth="1"/>
    <col min="15" max="15" width="23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08"/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10" t="s">
        <v>15</v>
      </c>
      <c r="M1" s="110"/>
      <c r="N1" s="6">
        <v>2014</v>
      </c>
      <c r="O1" s="5"/>
    </row>
    <row r="2" spans="1:18" ht="15.75" x14ac:dyDescent="0.25">
      <c r="A2" s="8">
        <v>2013</v>
      </c>
    </row>
    <row r="3" spans="1:18" ht="15.75" x14ac:dyDescent="0.25">
      <c r="A3" s="30" t="s">
        <v>7</v>
      </c>
      <c r="C3" s="116" t="s">
        <v>8</v>
      </c>
      <c r="D3" s="116"/>
      <c r="E3" s="28" t="s">
        <v>9</v>
      </c>
      <c r="F3" s="4" t="e">
        <f>#REF!+#REF!+#REF!+#REF!+#REF!</f>
        <v>#REF!</v>
      </c>
      <c r="H3" s="4" t="s">
        <v>3</v>
      </c>
      <c r="I3" s="2" t="e">
        <f>#REF!+#REF!+#REF!+#REF!+#REF!</f>
        <v>#REF!</v>
      </c>
    </row>
    <row r="5" spans="1:18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3" t="s">
        <v>6</v>
      </c>
      <c r="K5" s="123"/>
      <c r="L5" s="123"/>
      <c r="M5" s="122" t="s">
        <v>17</v>
      </c>
      <c r="N5" s="122"/>
      <c r="O5" s="122"/>
      <c r="Q5" s="117" t="s">
        <v>18</v>
      </c>
      <c r="R5" s="117"/>
    </row>
    <row r="6" spans="1:18" x14ac:dyDescent="0.25">
      <c r="A6" s="9">
        <f>SUBTOTAL(3,A8:A121)</f>
        <v>63</v>
      </c>
      <c r="B6" s="9">
        <f>SUBTOTAL(9,B8:B121)</f>
        <v>26725</v>
      </c>
      <c r="C6" s="47">
        <v>42344</v>
      </c>
      <c r="D6" s="9">
        <f>SUBTOTAL(3,D8:D120)</f>
        <v>44</v>
      </c>
      <c r="E6" s="1">
        <f>SUBTOTAL(9,E8:E120)</f>
        <v>20400</v>
      </c>
      <c r="F6" s="50">
        <v>42351</v>
      </c>
      <c r="G6" s="9">
        <f>SUBTOTAL(3,G8:G120)</f>
        <v>44</v>
      </c>
      <c r="H6" s="1">
        <f>SUBTOTAL(9,H8:H120)</f>
        <v>37600</v>
      </c>
      <c r="I6" s="51">
        <v>42358</v>
      </c>
      <c r="J6" s="9">
        <f>SUBTOTAL(3,J8:J115)</f>
        <v>18</v>
      </c>
      <c r="K6" s="1">
        <f>SUBTOTAL(9,K8:K115)</f>
        <v>24170</v>
      </c>
      <c r="L6" s="75">
        <v>42365</v>
      </c>
      <c r="M6" s="1">
        <f>SUBTOTAL(3,M8:M120)</f>
        <v>0</v>
      </c>
      <c r="N6" s="1">
        <f>SUBTOTAL(9,N8:N120)</f>
        <v>0</v>
      </c>
      <c r="O6" s="97"/>
      <c r="Q6" s="42">
        <f>+A6+D6+G6+J6+M6</f>
        <v>169</v>
      </c>
      <c r="R6" s="41">
        <f>+B6+E6+H6+K6+N6</f>
        <v>108895</v>
      </c>
    </row>
    <row r="7" spans="1:18" x14ac:dyDescent="0.25">
      <c r="A7" s="48" t="s">
        <v>1</v>
      </c>
      <c r="B7" s="48" t="s">
        <v>3</v>
      </c>
      <c r="C7" s="48" t="s">
        <v>2</v>
      </c>
      <c r="D7" s="49" t="s">
        <v>1</v>
      </c>
      <c r="E7" s="49" t="s">
        <v>3</v>
      </c>
      <c r="F7" s="49" t="s">
        <v>2</v>
      </c>
      <c r="G7" s="52" t="s">
        <v>1</v>
      </c>
      <c r="H7" s="52" t="s">
        <v>3</v>
      </c>
      <c r="I7" s="52" t="s">
        <v>2</v>
      </c>
      <c r="J7" s="72" t="s">
        <v>1</v>
      </c>
      <c r="K7" s="72" t="s">
        <v>3</v>
      </c>
      <c r="L7" s="72" t="s">
        <v>2</v>
      </c>
      <c r="M7" s="53" t="s">
        <v>1</v>
      </c>
      <c r="N7" s="53" t="s">
        <v>3</v>
      </c>
      <c r="O7" s="53" t="s">
        <v>2</v>
      </c>
      <c r="P7" s="39"/>
      <c r="Q7" s="54" t="s">
        <v>9</v>
      </c>
      <c r="R7" s="54" t="s">
        <v>3</v>
      </c>
    </row>
    <row r="8" spans="1:18" x14ac:dyDescent="0.25">
      <c r="A8" s="25">
        <v>10652</v>
      </c>
      <c r="B8" s="61">
        <v>400</v>
      </c>
      <c r="C8" s="26" t="s">
        <v>403</v>
      </c>
      <c r="D8" s="20">
        <v>10715</v>
      </c>
      <c r="E8" s="82"/>
      <c r="F8" s="21" t="s">
        <v>73</v>
      </c>
      <c r="G8" s="17">
        <v>10759</v>
      </c>
      <c r="H8" s="79">
        <v>200</v>
      </c>
      <c r="I8" s="18" t="s">
        <v>421</v>
      </c>
      <c r="J8" s="73">
        <v>10803</v>
      </c>
      <c r="K8" s="83">
        <v>200</v>
      </c>
      <c r="L8" s="74"/>
      <c r="M8" s="23"/>
      <c r="N8" s="23"/>
      <c r="O8" s="23"/>
      <c r="Q8" s="44"/>
      <c r="R8" s="44"/>
    </row>
    <row r="9" spans="1:18" x14ac:dyDescent="0.25">
      <c r="A9" s="25">
        <v>10653</v>
      </c>
      <c r="B9" s="61">
        <v>600</v>
      </c>
      <c r="C9" s="26" t="s">
        <v>431</v>
      </c>
      <c r="D9" s="20">
        <v>10716</v>
      </c>
      <c r="E9" s="82">
        <v>200</v>
      </c>
      <c r="F9" s="21"/>
      <c r="G9" s="17">
        <v>10760</v>
      </c>
      <c r="H9" s="79">
        <v>800</v>
      </c>
      <c r="I9" s="18" t="s">
        <v>363</v>
      </c>
      <c r="J9" s="73">
        <v>10804</v>
      </c>
      <c r="K9" s="83">
        <v>150</v>
      </c>
      <c r="L9" s="74"/>
      <c r="M9" s="23"/>
      <c r="N9" s="23"/>
      <c r="O9" s="23"/>
    </row>
    <row r="10" spans="1:18" x14ac:dyDescent="0.25">
      <c r="A10" s="25"/>
      <c r="B10" s="61"/>
      <c r="C10" s="26" t="s">
        <v>27</v>
      </c>
      <c r="D10" s="20">
        <v>10717</v>
      </c>
      <c r="E10" s="82">
        <v>600</v>
      </c>
      <c r="F10" s="21" t="s">
        <v>421</v>
      </c>
      <c r="G10" s="17"/>
      <c r="H10" s="79"/>
      <c r="I10" s="18" t="s">
        <v>27</v>
      </c>
      <c r="J10" s="73">
        <v>10805</v>
      </c>
      <c r="K10" s="83">
        <v>800</v>
      </c>
      <c r="L10" s="74" t="s">
        <v>545</v>
      </c>
      <c r="M10" s="23"/>
      <c r="N10" s="23"/>
      <c r="O10" s="23"/>
    </row>
    <row r="11" spans="1:18" x14ac:dyDescent="0.25">
      <c r="A11" s="25">
        <v>10654</v>
      </c>
      <c r="B11" s="61">
        <v>800</v>
      </c>
      <c r="C11" s="26" t="s">
        <v>149</v>
      </c>
      <c r="D11" s="20">
        <v>10718</v>
      </c>
      <c r="E11" s="82">
        <v>150</v>
      </c>
      <c r="F11" s="21"/>
      <c r="G11" s="17">
        <v>10761</v>
      </c>
      <c r="H11" s="79">
        <v>4400</v>
      </c>
      <c r="I11" s="18" t="s">
        <v>534</v>
      </c>
      <c r="J11" s="73"/>
      <c r="K11" s="106"/>
      <c r="L11" s="74" t="s">
        <v>546</v>
      </c>
      <c r="M11" s="23"/>
      <c r="N11" s="23"/>
      <c r="O11" s="23"/>
    </row>
    <row r="12" spans="1:18" x14ac:dyDescent="0.25">
      <c r="A12" s="25"/>
      <c r="B12" s="61"/>
      <c r="C12" s="26" t="s">
        <v>25</v>
      </c>
      <c r="D12" s="20">
        <v>10719</v>
      </c>
      <c r="E12" s="82">
        <v>300</v>
      </c>
      <c r="F12" s="21"/>
      <c r="G12" s="17">
        <v>10762</v>
      </c>
      <c r="H12" s="79">
        <v>150</v>
      </c>
      <c r="I12" s="18"/>
      <c r="J12" s="73">
        <v>10806</v>
      </c>
      <c r="K12" s="83">
        <v>2200</v>
      </c>
      <c r="L12" s="74" t="s">
        <v>534</v>
      </c>
      <c r="M12" s="23"/>
      <c r="N12" s="23"/>
      <c r="O12" s="23"/>
    </row>
    <row r="13" spans="1:18" x14ac:dyDescent="0.25">
      <c r="A13" s="25">
        <v>10655</v>
      </c>
      <c r="B13" s="61">
        <v>400</v>
      </c>
      <c r="C13" s="26"/>
      <c r="D13" s="20">
        <v>10720</v>
      </c>
      <c r="E13" s="82">
        <v>160</v>
      </c>
      <c r="F13" s="21" t="s">
        <v>526</v>
      </c>
      <c r="G13" s="17">
        <v>10763</v>
      </c>
      <c r="H13" s="79">
        <v>150</v>
      </c>
      <c r="I13" s="18"/>
      <c r="J13" s="73"/>
      <c r="K13" s="83"/>
      <c r="L13" s="74" t="s">
        <v>27</v>
      </c>
      <c r="M13" s="23"/>
      <c r="N13" s="23"/>
      <c r="O13" s="23"/>
    </row>
    <row r="14" spans="1:18" x14ac:dyDescent="0.25">
      <c r="A14" s="25">
        <v>10656</v>
      </c>
      <c r="B14" s="61">
        <v>800</v>
      </c>
      <c r="C14" s="26" t="s">
        <v>437</v>
      </c>
      <c r="D14" s="20">
        <v>10721</v>
      </c>
      <c r="E14" s="82">
        <v>300</v>
      </c>
      <c r="F14" s="21" t="s">
        <v>437</v>
      </c>
      <c r="G14" s="17">
        <v>10764</v>
      </c>
      <c r="H14" s="79">
        <v>400</v>
      </c>
      <c r="I14" s="18"/>
      <c r="J14" s="73">
        <v>10807</v>
      </c>
      <c r="K14" s="83">
        <v>160</v>
      </c>
      <c r="L14" s="74" t="s">
        <v>49</v>
      </c>
      <c r="M14" s="23"/>
      <c r="N14" s="23"/>
      <c r="O14" s="43"/>
    </row>
    <row r="15" spans="1:18" x14ac:dyDescent="0.25">
      <c r="A15" s="25"/>
      <c r="B15" s="61"/>
      <c r="C15" s="26" t="s">
        <v>25</v>
      </c>
      <c r="D15" s="20"/>
      <c r="E15" s="82"/>
      <c r="F15" s="21" t="s">
        <v>76</v>
      </c>
      <c r="G15" s="17">
        <v>10765</v>
      </c>
      <c r="H15" s="79">
        <v>400</v>
      </c>
      <c r="I15" s="18"/>
      <c r="J15" s="73">
        <v>10808</v>
      </c>
      <c r="K15" s="83">
        <v>200</v>
      </c>
      <c r="L15" s="74" t="s">
        <v>512</v>
      </c>
      <c r="M15" s="23"/>
      <c r="N15" s="23"/>
      <c r="O15" s="23"/>
    </row>
    <row r="16" spans="1:18" x14ac:dyDescent="0.25">
      <c r="A16" s="25">
        <v>10657</v>
      </c>
      <c r="B16" s="61">
        <v>600</v>
      </c>
      <c r="C16" s="26" t="s">
        <v>484</v>
      </c>
      <c r="D16" s="20">
        <v>10722</v>
      </c>
      <c r="E16" s="82">
        <v>400</v>
      </c>
      <c r="F16" s="21"/>
      <c r="G16" s="17">
        <v>10766</v>
      </c>
      <c r="H16" s="79">
        <v>160</v>
      </c>
      <c r="I16" s="18" t="s">
        <v>535</v>
      </c>
      <c r="J16" s="73">
        <v>10809</v>
      </c>
      <c r="K16" s="83">
        <v>400</v>
      </c>
      <c r="L16" s="74" t="s">
        <v>512</v>
      </c>
      <c r="M16" s="23"/>
      <c r="N16" s="23"/>
      <c r="O16" s="23"/>
    </row>
    <row r="17" spans="1:15" x14ac:dyDescent="0.25">
      <c r="A17" s="25"/>
      <c r="B17" s="61"/>
      <c r="C17" s="26" t="s">
        <v>27</v>
      </c>
      <c r="D17" s="20">
        <v>10723</v>
      </c>
      <c r="E17" s="82">
        <v>900</v>
      </c>
      <c r="F17" s="21" t="s">
        <v>431</v>
      </c>
      <c r="G17" s="17">
        <v>10767</v>
      </c>
      <c r="H17" s="79">
        <v>300</v>
      </c>
      <c r="I17" s="18" t="s">
        <v>403</v>
      </c>
      <c r="J17" s="73">
        <v>10810</v>
      </c>
      <c r="K17" s="83">
        <v>400</v>
      </c>
      <c r="L17" s="74"/>
      <c r="M17" s="23"/>
      <c r="N17" s="23"/>
      <c r="O17" s="23"/>
    </row>
    <row r="18" spans="1:15" x14ac:dyDescent="0.25">
      <c r="A18" s="25">
        <v>10658</v>
      </c>
      <c r="B18" s="61">
        <v>400</v>
      </c>
      <c r="C18" s="26"/>
      <c r="D18" s="20"/>
      <c r="E18" s="82"/>
      <c r="F18" s="45" t="s">
        <v>33</v>
      </c>
      <c r="G18" s="17">
        <v>10768</v>
      </c>
      <c r="H18" s="79">
        <v>400</v>
      </c>
      <c r="I18" s="18"/>
      <c r="J18" s="73">
        <v>10811</v>
      </c>
      <c r="K18" s="83">
        <v>300</v>
      </c>
      <c r="L18" s="74"/>
      <c r="M18" s="23"/>
      <c r="N18" s="23"/>
      <c r="O18" s="23"/>
    </row>
    <row r="19" spans="1:15" x14ac:dyDescent="0.25">
      <c r="A19" s="25">
        <v>10659</v>
      </c>
      <c r="B19" s="61">
        <v>400</v>
      </c>
      <c r="C19" s="26"/>
      <c r="D19" s="20">
        <v>10724</v>
      </c>
      <c r="E19" s="82"/>
      <c r="F19" s="21" t="s">
        <v>527</v>
      </c>
      <c r="G19" s="17">
        <v>10769</v>
      </c>
      <c r="H19" s="79">
        <v>800</v>
      </c>
      <c r="I19" s="18" t="s">
        <v>437</v>
      </c>
      <c r="J19" s="73">
        <v>10812</v>
      </c>
      <c r="K19" s="83">
        <v>300</v>
      </c>
      <c r="L19" s="74"/>
      <c r="M19" s="23"/>
      <c r="N19" s="23"/>
      <c r="O19" s="23"/>
    </row>
    <row r="20" spans="1:15" x14ac:dyDescent="0.25">
      <c r="A20" s="25">
        <v>10660</v>
      </c>
      <c r="B20" s="61">
        <v>400</v>
      </c>
      <c r="C20" s="26"/>
      <c r="D20" s="20">
        <v>10725</v>
      </c>
      <c r="E20" s="82"/>
      <c r="F20" s="21" t="s">
        <v>527</v>
      </c>
      <c r="G20" s="17"/>
      <c r="H20" s="79"/>
      <c r="I20" s="18" t="s">
        <v>25</v>
      </c>
      <c r="J20" s="73">
        <v>10813</v>
      </c>
      <c r="K20" s="83">
        <v>800</v>
      </c>
      <c r="L20" s="74" t="s">
        <v>149</v>
      </c>
      <c r="M20" s="23"/>
      <c r="N20" s="23"/>
      <c r="O20" s="23"/>
    </row>
    <row r="21" spans="1:15" x14ac:dyDescent="0.25">
      <c r="A21" s="25">
        <v>10661</v>
      </c>
      <c r="B21" s="61">
        <v>300</v>
      </c>
      <c r="C21" s="26" t="s">
        <v>431</v>
      </c>
      <c r="D21" s="20">
        <v>10726</v>
      </c>
      <c r="E21" s="82"/>
      <c r="F21" s="21" t="s">
        <v>527</v>
      </c>
      <c r="G21" s="17">
        <v>10770</v>
      </c>
      <c r="H21" s="79">
        <v>900</v>
      </c>
      <c r="I21" s="18" t="s">
        <v>504</v>
      </c>
      <c r="J21" s="73"/>
      <c r="K21" s="83"/>
      <c r="L21" s="74" t="s">
        <v>25</v>
      </c>
      <c r="M21" s="23"/>
      <c r="N21" s="23"/>
      <c r="O21" s="23"/>
    </row>
    <row r="22" spans="1:15" x14ac:dyDescent="0.25">
      <c r="A22" s="25"/>
      <c r="B22" s="61"/>
      <c r="C22" s="26" t="s">
        <v>86</v>
      </c>
      <c r="D22" s="20">
        <v>10727</v>
      </c>
      <c r="E22" s="82">
        <v>800</v>
      </c>
      <c r="F22" s="21" t="s">
        <v>437</v>
      </c>
      <c r="G22" s="17"/>
      <c r="H22" s="79"/>
      <c r="I22" s="18" t="s">
        <v>33</v>
      </c>
      <c r="J22" s="73">
        <v>10814</v>
      </c>
      <c r="K22" s="83">
        <v>400</v>
      </c>
      <c r="L22" s="74"/>
      <c r="M22" s="23"/>
      <c r="N22" s="23"/>
      <c r="O22" s="23"/>
    </row>
    <row r="23" spans="1:15" x14ac:dyDescent="0.25">
      <c r="A23" s="25">
        <v>10662</v>
      </c>
      <c r="B23" s="61">
        <v>160</v>
      </c>
      <c r="C23" s="26" t="s">
        <v>49</v>
      </c>
      <c r="D23" s="20"/>
      <c r="E23" s="82"/>
      <c r="F23" s="21" t="s">
        <v>25</v>
      </c>
      <c r="G23" s="17">
        <v>10771</v>
      </c>
      <c r="H23" s="79">
        <v>600</v>
      </c>
      <c r="I23" s="18" t="s">
        <v>536</v>
      </c>
      <c r="J23" s="73">
        <v>10815</v>
      </c>
      <c r="K23" s="83"/>
      <c r="L23" s="74" t="s">
        <v>44</v>
      </c>
      <c r="M23" s="23"/>
      <c r="N23" s="23"/>
      <c r="O23" s="23"/>
    </row>
    <row r="24" spans="1:15" x14ac:dyDescent="0.25">
      <c r="A24" s="25">
        <v>10663</v>
      </c>
      <c r="B24" s="61">
        <v>160</v>
      </c>
      <c r="C24" s="26" t="s">
        <v>517</v>
      </c>
      <c r="D24" s="20">
        <v>10728</v>
      </c>
      <c r="E24" s="82">
        <v>400</v>
      </c>
      <c r="F24" s="21" t="s">
        <v>403</v>
      </c>
      <c r="G24" s="17"/>
      <c r="H24" s="79"/>
      <c r="I24" s="18" t="s">
        <v>33</v>
      </c>
      <c r="J24" s="73">
        <v>10816</v>
      </c>
      <c r="K24" s="83">
        <v>960</v>
      </c>
      <c r="L24" s="74" t="s">
        <v>149</v>
      </c>
      <c r="M24" s="23"/>
      <c r="N24" s="23"/>
      <c r="O24" s="23"/>
    </row>
    <row r="25" spans="1:15" x14ac:dyDescent="0.25">
      <c r="A25" s="25">
        <v>10664</v>
      </c>
      <c r="B25" s="61">
        <v>300</v>
      </c>
      <c r="C25" s="26"/>
      <c r="D25" s="20">
        <v>10729</v>
      </c>
      <c r="E25" s="82">
        <v>400</v>
      </c>
      <c r="F25" s="21" t="s">
        <v>421</v>
      </c>
      <c r="G25" s="17">
        <v>10772</v>
      </c>
      <c r="H25" s="79">
        <v>1200</v>
      </c>
      <c r="I25" s="18" t="s">
        <v>537</v>
      </c>
      <c r="J25" s="73"/>
      <c r="K25" s="83"/>
      <c r="L25" s="74" t="s">
        <v>123</v>
      </c>
      <c r="M25" s="23"/>
      <c r="N25" s="23"/>
      <c r="O25" s="23"/>
    </row>
    <row r="26" spans="1:15" x14ac:dyDescent="0.25">
      <c r="A26" s="25">
        <v>10665</v>
      </c>
      <c r="B26" s="61">
        <v>260</v>
      </c>
      <c r="C26" s="26" t="s">
        <v>518</v>
      </c>
      <c r="D26" s="20">
        <v>10730</v>
      </c>
      <c r="E26" s="82">
        <v>1200</v>
      </c>
      <c r="F26" s="21" t="s">
        <v>431</v>
      </c>
      <c r="G26" s="17"/>
      <c r="H26" s="79"/>
      <c r="I26" s="18" t="s">
        <v>25</v>
      </c>
      <c r="J26" s="73">
        <v>10817</v>
      </c>
      <c r="K26" s="83">
        <v>800</v>
      </c>
      <c r="L26" s="74" t="s">
        <v>545</v>
      </c>
      <c r="M26" s="23"/>
      <c r="N26" s="23"/>
      <c r="O26" s="23"/>
    </row>
    <row r="27" spans="1:15" x14ac:dyDescent="0.25">
      <c r="A27" s="25">
        <v>10666</v>
      </c>
      <c r="B27" s="61">
        <v>400</v>
      </c>
      <c r="C27" s="26"/>
      <c r="D27" s="20"/>
      <c r="E27" s="82"/>
      <c r="F27" s="21" t="s">
        <v>528</v>
      </c>
      <c r="G27" s="17">
        <v>10773</v>
      </c>
      <c r="H27" s="79">
        <v>800</v>
      </c>
      <c r="I27" s="18" t="s">
        <v>437</v>
      </c>
      <c r="J27" s="73"/>
      <c r="K27" s="83"/>
      <c r="L27" s="74" t="s">
        <v>25</v>
      </c>
      <c r="M27" s="23"/>
      <c r="N27" s="23"/>
      <c r="O27" s="43"/>
    </row>
    <row r="28" spans="1:15" x14ac:dyDescent="0.25">
      <c r="A28" s="25">
        <v>10667</v>
      </c>
      <c r="B28" s="61">
        <v>500</v>
      </c>
      <c r="C28" s="26"/>
      <c r="D28" s="20">
        <v>10731</v>
      </c>
      <c r="E28" s="82">
        <v>200</v>
      </c>
      <c r="F28" s="21"/>
      <c r="G28" s="17"/>
      <c r="H28" s="79"/>
      <c r="I28" s="18" t="s">
        <v>25</v>
      </c>
      <c r="J28" s="73">
        <v>10818</v>
      </c>
      <c r="K28" s="83">
        <v>4400</v>
      </c>
      <c r="L28" s="74" t="s">
        <v>534</v>
      </c>
      <c r="M28" s="23"/>
      <c r="N28" s="23"/>
      <c r="O28" s="23"/>
    </row>
    <row r="29" spans="1:15" x14ac:dyDescent="0.25">
      <c r="A29" s="25">
        <v>10668</v>
      </c>
      <c r="B29" s="61">
        <v>285</v>
      </c>
      <c r="C29" s="26" t="s">
        <v>519</v>
      </c>
      <c r="D29" s="20">
        <v>10732</v>
      </c>
      <c r="E29" s="82">
        <v>400</v>
      </c>
      <c r="F29" s="21"/>
      <c r="G29" s="17">
        <v>10774</v>
      </c>
      <c r="H29" s="79">
        <v>160</v>
      </c>
      <c r="I29" s="18" t="s">
        <v>49</v>
      </c>
      <c r="J29" s="107">
        <v>10859</v>
      </c>
      <c r="K29" s="83">
        <v>400</v>
      </c>
      <c r="L29" s="74" t="s">
        <v>571</v>
      </c>
      <c r="M29" s="23"/>
      <c r="N29" s="23"/>
      <c r="O29" s="23"/>
    </row>
    <row r="30" spans="1:15" x14ac:dyDescent="0.25">
      <c r="A30" s="25">
        <v>10669</v>
      </c>
      <c r="B30" s="61">
        <v>800</v>
      </c>
      <c r="C30" s="26" t="s">
        <v>363</v>
      </c>
      <c r="D30" s="20">
        <v>10733</v>
      </c>
      <c r="E30" s="82">
        <v>560</v>
      </c>
      <c r="F30" s="21" t="s">
        <v>529</v>
      </c>
      <c r="G30" s="17">
        <v>10775</v>
      </c>
      <c r="H30" s="79">
        <v>200</v>
      </c>
      <c r="I30" s="18"/>
      <c r="J30" s="107">
        <v>10860</v>
      </c>
      <c r="K30" s="83">
        <v>300</v>
      </c>
      <c r="L30" s="74" t="s">
        <v>571</v>
      </c>
      <c r="M30" s="23"/>
      <c r="N30" s="23"/>
      <c r="O30" s="23"/>
    </row>
    <row r="31" spans="1:15" x14ac:dyDescent="0.25">
      <c r="A31" s="25"/>
      <c r="B31" s="61"/>
      <c r="C31" s="26" t="s">
        <v>27</v>
      </c>
      <c r="D31" s="20"/>
      <c r="E31" s="82"/>
      <c r="F31" s="21" t="s">
        <v>59</v>
      </c>
      <c r="G31" s="17">
        <v>10776</v>
      </c>
      <c r="H31" s="79">
        <v>160</v>
      </c>
      <c r="I31" s="18" t="s">
        <v>49</v>
      </c>
      <c r="J31" s="107"/>
      <c r="K31" s="83">
        <v>11000</v>
      </c>
      <c r="L31" s="74" t="s">
        <v>572</v>
      </c>
      <c r="M31" s="23"/>
      <c r="N31" s="23"/>
      <c r="O31" s="23"/>
    </row>
    <row r="32" spans="1:15" x14ac:dyDescent="0.25">
      <c r="A32" s="25">
        <v>10670</v>
      </c>
      <c r="B32" s="61">
        <v>400</v>
      </c>
      <c r="C32" s="26"/>
      <c r="D32" s="20">
        <v>10734</v>
      </c>
      <c r="E32" s="82">
        <v>400</v>
      </c>
      <c r="F32" s="21"/>
      <c r="G32" s="17">
        <v>10777</v>
      </c>
      <c r="H32" s="79">
        <v>720</v>
      </c>
      <c r="I32" s="18" t="s">
        <v>538</v>
      </c>
      <c r="J32" s="107"/>
      <c r="K32" s="83"/>
      <c r="L32" s="74"/>
      <c r="M32" s="23"/>
      <c r="N32" s="23"/>
      <c r="O32" s="23"/>
    </row>
    <row r="33" spans="1:15" x14ac:dyDescent="0.25">
      <c r="A33" s="25">
        <v>10671</v>
      </c>
      <c r="B33" s="61">
        <v>400</v>
      </c>
      <c r="C33" s="26"/>
      <c r="D33" s="20">
        <v>10735</v>
      </c>
      <c r="E33" s="82">
        <v>300</v>
      </c>
      <c r="F33" s="21"/>
      <c r="G33" s="17">
        <v>10778</v>
      </c>
      <c r="H33" s="79">
        <v>400</v>
      </c>
      <c r="I33" s="18" t="s">
        <v>539</v>
      </c>
      <c r="J33" s="73"/>
      <c r="K33" s="83"/>
      <c r="L33" s="74"/>
      <c r="M33" s="23"/>
      <c r="N33" s="23"/>
      <c r="O33" s="23"/>
    </row>
    <row r="34" spans="1:15" x14ac:dyDescent="0.25">
      <c r="A34" s="25">
        <v>10672</v>
      </c>
      <c r="B34" s="61">
        <v>300</v>
      </c>
      <c r="C34" s="26"/>
      <c r="D34" s="20">
        <v>10736</v>
      </c>
      <c r="E34" s="82">
        <v>400</v>
      </c>
      <c r="F34" s="21"/>
      <c r="G34" s="17"/>
      <c r="H34" s="79"/>
      <c r="I34" s="18" t="s">
        <v>27</v>
      </c>
      <c r="J34" s="73"/>
      <c r="K34" s="83"/>
      <c r="L34" s="74"/>
      <c r="M34" s="23"/>
      <c r="N34" s="23"/>
      <c r="O34" s="43"/>
    </row>
    <row r="35" spans="1:15" x14ac:dyDescent="0.25">
      <c r="A35" s="25">
        <v>10673</v>
      </c>
      <c r="B35" s="61">
        <v>400</v>
      </c>
      <c r="C35" s="26"/>
      <c r="D35" s="20">
        <v>10737</v>
      </c>
      <c r="E35" s="82">
        <v>400</v>
      </c>
      <c r="F35" s="21" t="s">
        <v>149</v>
      </c>
      <c r="G35" s="17">
        <v>10779</v>
      </c>
      <c r="H35" s="79">
        <v>400</v>
      </c>
      <c r="I35" s="18"/>
      <c r="J35" s="73"/>
      <c r="K35" s="83"/>
      <c r="L35" s="74"/>
      <c r="M35" s="23"/>
      <c r="N35" s="23"/>
      <c r="O35" s="23"/>
    </row>
    <row r="36" spans="1:15" x14ac:dyDescent="0.25">
      <c r="A36" s="25">
        <v>10674</v>
      </c>
      <c r="B36" s="61">
        <v>400</v>
      </c>
      <c r="C36" s="26" t="s">
        <v>437</v>
      </c>
      <c r="D36" s="20"/>
      <c r="E36" s="82"/>
      <c r="F36" s="21" t="s">
        <v>27</v>
      </c>
      <c r="G36" s="17">
        <v>10780</v>
      </c>
      <c r="H36" s="79">
        <v>400</v>
      </c>
      <c r="I36" s="18" t="s">
        <v>347</v>
      </c>
      <c r="J36" s="73"/>
      <c r="K36" s="83"/>
      <c r="L36" s="74"/>
      <c r="M36" s="23"/>
      <c r="N36" s="23"/>
      <c r="O36" s="23"/>
    </row>
    <row r="37" spans="1:15" x14ac:dyDescent="0.25">
      <c r="A37" s="25"/>
      <c r="B37" s="61"/>
      <c r="C37" s="26" t="s">
        <v>27</v>
      </c>
      <c r="D37" s="20">
        <v>10738</v>
      </c>
      <c r="E37" s="82">
        <v>350</v>
      </c>
      <c r="F37" s="21"/>
      <c r="G37" s="17"/>
      <c r="H37" s="79"/>
      <c r="I37" s="18" t="s">
        <v>27</v>
      </c>
      <c r="J37" s="73"/>
      <c r="K37" s="83"/>
      <c r="L37" s="74"/>
      <c r="M37" s="23"/>
      <c r="N37" s="23"/>
      <c r="O37" s="23"/>
    </row>
    <row r="38" spans="1:15" x14ac:dyDescent="0.25">
      <c r="A38" s="25">
        <v>10675</v>
      </c>
      <c r="B38" s="61">
        <v>400</v>
      </c>
      <c r="C38" s="26"/>
      <c r="D38" s="20">
        <v>10739</v>
      </c>
      <c r="E38" s="82">
        <v>400</v>
      </c>
      <c r="F38" s="21"/>
      <c r="G38" s="17">
        <v>10781</v>
      </c>
      <c r="H38" s="79">
        <v>800</v>
      </c>
      <c r="I38" s="18" t="s">
        <v>437</v>
      </c>
      <c r="J38" s="73"/>
      <c r="K38" s="83"/>
      <c r="L38" s="74"/>
      <c r="M38" s="23"/>
      <c r="N38" s="23"/>
      <c r="O38" s="23"/>
    </row>
    <row r="39" spans="1:15" x14ac:dyDescent="0.25">
      <c r="A39" s="25">
        <v>10676</v>
      </c>
      <c r="B39" s="61">
        <v>400</v>
      </c>
      <c r="C39" s="26" t="s">
        <v>421</v>
      </c>
      <c r="D39" s="20">
        <v>10740</v>
      </c>
      <c r="E39" s="82">
        <v>300</v>
      </c>
      <c r="F39" s="21"/>
      <c r="G39" s="17"/>
      <c r="H39" s="79"/>
      <c r="I39" s="18" t="s">
        <v>25</v>
      </c>
      <c r="J39" s="73"/>
      <c r="K39" s="83"/>
      <c r="L39" s="74"/>
      <c r="M39" s="23"/>
      <c r="N39" s="23"/>
      <c r="O39" s="23"/>
    </row>
    <row r="40" spans="1:15" x14ac:dyDescent="0.25">
      <c r="A40" s="25">
        <v>10677</v>
      </c>
      <c r="B40" s="61">
        <v>200</v>
      </c>
      <c r="C40" s="26"/>
      <c r="D40" s="20">
        <v>10741</v>
      </c>
      <c r="E40" s="82">
        <v>600</v>
      </c>
      <c r="F40" s="21" t="s">
        <v>437</v>
      </c>
      <c r="G40" s="17">
        <v>10782</v>
      </c>
      <c r="H40" s="79">
        <v>400</v>
      </c>
      <c r="I40" s="18" t="s">
        <v>421</v>
      </c>
      <c r="J40" s="73"/>
      <c r="K40" s="83"/>
      <c r="L40" s="74"/>
      <c r="M40" s="23"/>
      <c r="N40" s="23"/>
      <c r="O40" s="23"/>
    </row>
    <row r="41" spans="1:15" x14ac:dyDescent="0.25">
      <c r="A41" s="25">
        <v>10678</v>
      </c>
      <c r="B41" s="61">
        <v>400</v>
      </c>
      <c r="C41" s="26"/>
      <c r="D41" s="20"/>
      <c r="E41" s="82"/>
      <c r="F41" s="21" t="s">
        <v>33</v>
      </c>
      <c r="G41" s="17">
        <v>10783</v>
      </c>
      <c r="H41" s="79">
        <v>160</v>
      </c>
      <c r="I41" s="18" t="s">
        <v>540</v>
      </c>
      <c r="J41" s="73"/>
      <c r="K41" s="83"/>
      <c r="L41" s="74"/>
      <c r="M41" s="23"/>
      <c r="N41" s="23"/>
      <c r="O41" s="23"/>
    </row>
    <row r="42" spans="1:15" x14ac:dyDescent="0.25">
      <c r="A42" s="25">
        <v>10679</v>
      </c>
      <c r="B42" s="61">
        <v>250</v>
      </c>
      <c r="C42" s="26" t="s">
        <v>421</v>
      </c>
      <c r="D42" s="20">
        <v>10742</v>
      </c>
      <c r="E42" s="82">
        <v>400</v>
      </c>
      <c r="F42" s="21"/>
      <c r="G42" s="17">
        <v>10784</v>
      </c>
      <c r="H42" s="79">
        <v>560</v>
      </c>
      <c r="I42" s="18" t="s">
        <v>519</v>
      </c>
      <c r="J42" s="73"/>
      <c r="K42" s="83"/>
      <c r="L42" s="74"/>
      <c r="M42" s="23"/>
      <c r="N42" s="23"/>
      <c r="O42" s="23"/>
    </row>
    <row r="43" spans="1:15" x14ac:dyDescent="0.25">
      <c r="A43" s="25">
        <v>10680</v>
      </c>
      <c r="B43" s="61">
        <v>400</v>
      </c>
      <c r="C43" s="26" t="s">
        <v>421</v>
      </c>
      <c r="D43" s="20">
        <v>10743</v>
      </c>
      <c r="E43" s="82">
        <v>800</v>
      </c>
      <c r="F43" s="21" t="s">
        <v>437</v>
      </c>
      <c r="G43" s="17">
        <v>10785</v>
      </c>
      <c r="H43" s="79">
        <v>400</v>
      </c>
      <c r="I43" s="18"/>
      <c r="J43" s="73"/>
      <c r="K43" s="83"/>
      <c r="L43" s="74"/>
      <c r="M43" s="23"/>
      <c r="N43" s="23"/>
      <c r="O43" s="23"/>
    </row>
    <row r="44" spans="1:15" x14ac:dyDescent="0.25">
      <c r="A44" s="25">
        <v>10681</v>
      </c>
      <c r="B44" s="61">
        <v>300</v>
      </c>
      <c r="C44" s="26"/>
      <c r="D44" s="20"/>
      <c r="E44" s="82"/>
      <c r="F44" s="21" t="s">
        <v>25</v>
      </c>
      <c r="G44" s="17">
        <v>10786</v>
      </c>
      <c r="H44" s="79">
        <v>4400</v>
      </c>
      <c r="I44" s="18" t="s">
        <v>534</v>
      </c>
      <c r="J44" s="73"/>
      <c r="K44" s="83"/>
      <c r="L44" s="74"/>
      <c r="M44" s="23"/>
      <c r="N44" s="23"/>
      <c r="O44" s="23"/>
    </row>
    <row r="45" spans="1:15" x14ac:dyDescent="0.25">
      <c r="A45" s="25">
        <v>10682</v>
      </c>
      <c r="B45" s="61">
        <v>400</v>
      </c>
      <c r="C45" s="26"/>
      <c r="D45" s="20">
        <v>10744</v>
      </c>
      <c r="E45" s="82">
        <v>400</v>
      </c>
      <c r="F45" s="21"/>
      <c r="G45" s="17">
        <v>10787</v>
      </c>
      <c r="H45" s="79">
        <v>300</v>
      </c>
      <c r="I45" s="18" t="s">
        <v>320</v>
      </c>
      <c r="J45" s="73"/>
      <c r="K45" s="83"/>
      <c r="L45" s="74"/>
      <c r="M45" s="23"/>
      <c r="N45" s="23"/>
      <c r="O45" s="23"/>
    </row>
    <row r="46" spans="1:15" x14ac:dyDescent="0.25">
      <c r="A46" s="25">
        <v>10683</v>
      </c>
      <c r="B46" s="61">
        <v>400</v>
      </c>
      <c r="C46" s="26"/>
      <c r="D46" s="20">
        <v>10745</v>
      </c>
      <c r="E46" s="82">
        <v>160</v>
      </c>
      <c r="F46" s="21" t="s">
        <v>530</v>
      </c>
      <c r="G46" s="17">
        <v>10788</v>
      </c>
      <c r="H46" s="79">
        <v>400</v>
      </c>
      <c r="I46" s="18"/>
      <c r="J46" s="73"/>
      <c r="K46" s="83"/>
      <c r="L46" s="74"/>
      <c r="M46" s="23"/>
      <c r="N46" s="23"/>
      <c r="O46" s="23"/>
    </row>
    <row r="47" spans="1:15" x14ac:dyDescent="0.25">
      <c r="A47" s="25">
        <v>10684</v>
      </c>
      <c r="B47" s="61">
        <v>200</v>
      </c>
      <c r="C47" s="26"/>
      <c r="D47" s="20">
        <v>10746</v>
      </c>
      <c r="E47" s="82">
        <v>160</v>
      </c>
      <c r="F47" s="21" t="s">
        <v>49</v>
      </c>
      <c r="G47" s="17">
        <v>10789</v>
      </c>
      <c r="H47" s="79">
        <v>800</v>
      </c>
      <c r="I47" s="18" t="s">
        <v>437</v>
      </c>
      <c r="J47" s="73"/>
      <c r="K47" s="83"/>
      <c r="L47" s="74"/>
      <c r="M47" s="23"/>
      <c r="N47" s="23"/>
      <c r="O47" s="23"/>
    </row>
    <row r="48" spans="1:15" x14ac:dyDescent="0.25">
      <c r="A48" s="25">
        <v>10685</v>
      </c>
      <c r="B48" s="61">
        <v>160</v>
      </c>
      <c r="C48" s="26" t="s">
        <v>520</v>
      </c>
      <c r="D48" s="20">
        <v>10747</v>
      </c>
      <c r="E48" s="82">
        <v>400</v>
      </c>
      <c r="F48" s="21"/>
      <c r="G48" s="17"/>
      <c r="H48" s="79"/>
      <c r="I48" s="18" t="s">
        <v>25</v>
      </c>
      <c r="J48" s="73"/>
      <c r="K48" s="83"/>
      <c r="L48" s="74"/>
      <c r="M48" s="23"/>
      <c r="N48" s="23"/>
      <c r="O48" s="23"/>
    </row>
    <row r="49" spans="1:15" x14ac:dyDescent="0.25">
      <c r="A49" s="25">
        <v>10686</v>
      </c>
      <c r="B49" s="61">
        <v>400</v>
      </c>
      <c r="C49" s="26"/>
      <c r="D49" s="20">
        <v>10748</v>
      </c>
      <c r="E49" s="82">
        <v>1600</v>
      </c>
      <c r="F49" s="21" t="s">
        <v>363</v>
      </c>
      <c r="G49" s="17">
        <v>10790</v>
      </c>
      <c r="H49" s="79">
        <v>400</v>
      </c>
      <c r="I49" s="18"/>
      <c r="J49" s="73"/>
      <c r="K49" s="83"/>
      <c r="L49" s="74"/>
      <c r="M49" s="23"/>
      <c r="N49" s="23"/>
      <c r="O49" s="23"/>
    </row>
    <row r="50" spans="1:15" x14ac:dyDescent="0.25">
      <c r="A50" s="25">
        <v>10687</v>
      </c>
      <c r="B50" s="61">
        <v>160</v>
      </c>
      <c r="C50" s="26" t="s">
        <v>521</v>
      </c>
      <c r="D50" s="20"/>
      <c r="E50" s="82"/>
      <c r="F50" s="21" t="s">
        <v>25</v>
      </c>
      <c r="G50" s="17">
        <v>10791</v>
      </c>
      <c r="H50" s="79">
        <v>2260</v>
      </c>
      <c r="I50" s="18" t="s">
        <v>218</v>
      </c>
      <c r="J50" s="73"/>
      <c r="K50" s="83"/>
      <c r="L50" s="74"/>
      <c r="M50" s="23"/>
      <c r="N50" s="23"/>
      <c r="O50" s="23"/>
    </row>
    <row r="51" spans="1:15" x14ac:dyDescent="0.25">
      <c r="A51" s="25">
        <v>10688</v>
      </c>
      <c r="B51" s="61">
        <v>500</v>
      </c>
      <c r="C51" s="26" t="s">
        <v>437</v>
      </c>
      <c r="D51" s="20">
        <v>10749</v>
      </c>
      <c r="E51" s="82">
        <v>1600</v>
      </c>
      <c r="F51" s="21" t="s">
        <v>472</v>
      </c>
      <c r="G51" s="17"/>
      <c r="H51" s="79"/>
      <c r="I51" s="18" t="s">
        <v>541</v>
      </c>
      <c r="J51" s="73"/>
      <c r="K51" s="83"/>
      <c r="L51" s="74"/>
      <c r="M51" s="23"/>
      <c r="N51" s="23"/>
      <c r="O51" s="23"/>
    </row>
    <row r="52" spans="1:15" x14ac:dyDescent="0.25">
      <c r="A52" s="25"/>
      <c r="B52" s="61"/>
      <c r="C52" s="26" t="s">
        <v>81</v>
      </c>
      <c r="D52" s="20"/>
      <c r="E52" s="82"/>
      <c r="F52" s="21" t="s">
        <v>25</v>
      </c>
      <c r="G52" s="17"/>
      <c r="H52" s="79"/>
      <c r="I52" s="18" t="s">
        <v>542</v>
      </c>
      <c r="J52" s="73"/>
      <c r="K52" s="83"/>
      <c r="L52" s="74"/>
      <c r="M52" s="23"/>
      <c r="N52" s="23"/>
      <c r="O52" s="23"/>
    </row>
    <row r="53" spans="1:15" x14ac:dyDescent="0.25">
      <c r="A53" s="25">
        <v>10689</v>
      </c>
      <c r="B53" s="61">
        <v>400</v>
      </c>
      <c r="C53" s="26"/>
      <c r="D53" s="20">
        <v>10750</v>
      </c>
      <c r="E53" s="82">
        <v>400</v>
      </c>
      <c r="F53" s="21" t="s">
        <v>421</v>
      </c>
      <c r="G53" s="17">
        <v>10792</v>
      </c>
      <c r="H53" s="79">
        <v>200</v>
      </c>
      <c r="I53" s="18"/>
      <c r="J53" s="73"/>
      <c r="K53" s="83"/>
      <c r="L53" s="74"/>
      <c r="M53" s="23"/>
      <c r="N53" s="23"/>
      <c r="O53" s="23"/>
    </row>
    <row r="54" spans="1:15" x14ac:dyDescent="0.25">
      <c r="A54" s="25">
        <v>10690</v>
      </c>
      <c r="B54" s="61">
        <v>400</v>
      </c>
      <c r="C54" s="26"/>
      <c r="D54" s="20">
        <v>10751</v>
      </c>
      <c r="E54" s="82">
        <v>1200</v>
      </c>
      <c r="F54" s="21" t="s">
        <v>531</v>
      </c>
      <c r="G54" s="17">
        <v>10793</v>
      </c>
      <c r="H54" s="79">
        <v>600</v>
      </c>
      <c r="I54" s="18" t="s">
        <v>437</v>
      </c>
      <c r="J54" s="73"/>
      <c r="K54" s="83"/>
      <c r="L54" s="74"/>
      <c r="M54" s="23"/>
      <c r="N54" s="23"/>
      <c r="O54" s="23"/>
    </row>
    <row r="55" spans="1:15" x14ac:dyDescent="0.25">
      <c r="A55" s="25">
        <v>10691</v>
      </c>
      <c r="B55" s="61">
        <v>400</v>
      </c>
      <c r="C55" s="26"/>
      <c r="D55" s="20">
        <v>10752</v>
      </c>
      <c r="E55" s="82">
        <v>300</v>
      </c>
      <c r="F55" s="21"/>
      <c r="G55" s="17"/>
      <c r="H55" s="79"/>
      <c r="I55" s="18" t="s">
        <v>33</v>
      </c>
      <c r="J55" s="73"/>
      <c r="K55" s="83"/>
      <c r="L55" s="74"/>
      <c r="M55" s="23"/>
      <c r="N55" s="23"/>
      <c r="O55" s="23"/>
    </row>
    <row r="56" spans="1:15" x14ac:dyDescent="0.25">
      <c r="A56" s="25">
        <v>10692</v>
      </c>
      <c r="B56" s="61">
        <v>1200</v>
      </c>
      <c r="C56" s="26" t="s">
        <v>431</v>
      </c>
      <c r="D56" s="20">
        <v>10753</v>
      </c>
      <c r="E56" s="82">
        <v>160</v>
      </c>
      <c r="F56" s="21" t="s">
        <v>532</v>
      </c>
      <c r="G56" s="17">
        <v>10794</v>
      </c>
      <c r="H56" s="79">
        <v>300</v>
      </c>
      <c r="I56" s="18"/>
      <c r="J56" s="73"/>
      <c r="K56" s="83"/>
      <c r="L56" s="74"/>
      <c r="M56" s="23"/>
      <c r="N56" s="23"/>
      <c r="O56" s="23"/>
    </row>
    <row r="57" spans="1:15" x14ac:dyDescent="0.25">
      <c r="A57" s="25"/>
      <c r="B57" s="61"/>
      <c r="C57" s="26" t="s">
        <v>25</v>
      </c>
      <c r="D57" s="20">
        <v>10754</v>
      </c>
      <c r="E57" s="82">
        <v>300</v>
      </c>
      <c r="F57" s="21" t="s">
        <v>421</v>
      </c>
      <c r="G57" s="17">
        <v>10795</v>
      </c>
      <c r="H57" s="79">
        <v>1200</v>
      </c>
      <c r="I57" s="18" t="s">
        <v>504</v>
      </c>
      <c r="J57" s="73"/>
      <c r="K57" s="83"/>
      <c r="L57" s="74"/>
      <c r="M57" s="23"/>
      <c r="N57" s="23"/>
      <c r="O57" s="23"/>
    </row>
    <row r="58" spans="1:15" x14ac:dyDescent="0.25">
      <c r="A58" s="25">
        <v>10693</v>
      </c>
      <c r="B58" s="61">
        <v>400</v>
      </c>
      <c r="C58" s="26"/>
      <c r="D58" s="20">
        <v>10755</v>
      </c>
      <c r="E58" s="82">
        <v>400</v>
      </c>
      <c r="F58" s="21"/>
      <c r="G58" s="17"/>
      <c r="H58" s="79"/>
      <c r="I58" s="18" t="s">
        <v>25</v>
      </c>
      <c r="J58" s="73"/>
      <c r="K58" s="83"/>
      <c r="L58" s="74"/>
      <c r="M58" s="23"/>
      <c r="N58" s="23"/>
      <c r="O58" s="23"/>
    </row>
    <row r="59" spans="1:15" x14ac:dyDescent="0.25">
      <c r="A59" s="25">
        <v>10694</v>
      </c>
      <c r="B59" s="61">
        <v>350</v>
      </c>
      <c r="C59" s="26"/>
      <c r="D59" s="20">
        <v>10756</v>
      </c>
      <c r="E59" s="82">
        <v>400</v>
      </c>
      <c r="F59" s="21" t="s">
        <v>403</v>
      </c>
      <c r="G59" s="17">
        <v>10796</v>
      </c>
      <c r="H59" s="79">
        <v>200</v>
      </c>
      <c r="I59" s="18"/>
      <c r="J59" s="73"/>
      <c r="K59" s="83"/>
      <c r="L59" s="74"/>
      <c r="M59" s="23"/>
      <c r="N59" s="23"/>
      <c r="O59" s="23"/>
    </row>
    <row r="60" spans="1:15" x14ac:dyDescent="0.25">
      <c r="A60" s="25">
        <v>10695</v>
      </c>
      <c r="B60" s="61">
        <v>300</v>
      </c>
      <c r="C60" s="26"/>
      <c r="D60" s="20">
        <v>10757</v>
      </c>
      <c r="E60" s="82">
        <v>1200</v>
      </c>
      <c r="F60" s="21" t="s">
        <v>356</v>
      </c>
      <c r="G60" s="17">
        <v>10797</v>
      </c>
      <c r="H60" s="79">
        <v>800</v>
      </c>
      <c r="I60" s="18" t="s">
        <v>149</v>
      </c>
      <c r="J60" s="73"/>
      <c r="K60" s="83"/>
      <c r="L60" s="74"/>
      <c r="M60" s="23"/>
      <c r="N60" s="23"/>
      <c r="O60" s="23"/>
    </row>
    <row r="61" spans="1:15" x14ac:dyDescent="0.25">
      <c r="A61" s="25">
        <v>10696</v>
      </c>
      <c r="B61" s="61">
        <v>160</v>
      </c>
      <c r="C61" s="26" t="s">
        <v>49</v>
      </c>
      <c r="D61" s="20"/>
      <c r="E61" s="82"/>
      <c r="F61" s="21" t="s">
        <v>533</v>
      </c>
      <c r="G61" s="17"/>
      <c r="H61" s="79"/>
      <c r="I61" s="18" t="s">
        <v>25</v>
      </c>
      <c r="J61" s="73"/>
      <c r="K61" s="83"/>
      <c r="L61" s="74"/>
      <c r="M61" s="23"/>
      <c r="N61" s="23"/>
      <c r="O61" s="23"/>
    </row>
    <row r="62" spans="1:15" x14ac:dyDescent="0.25">
      <c r="A62" s="25">
        <v>10697</v>
      </c>
      <c r="B62" s="61">
        <v>400</v>
      </c>
      <c r="C62" s="26"/>
      <c r="D62" s="20">
        <v>10758</v>
      </c>
      <c r="E62" s="82">
        <v>400</v>
      </c>
      <c r="F62" s="21"/>
      <c r="G62" s="17">
        <v>10798</v>
      </c>
      <c r="H62" s="79">
        <v>2200</v>
      </c>
      <c r="I62" s="18" t="s">
        <v>534</v>
      </c>
      <c r="J62" s="73"/>
      <c r="K62" s="83"/>
      <c r="L62" s="74"/>
      <c r="M62" s="23"/>
      <c r="N62" s="23"/>
      <c r="O62" s="23"/>
    </row>
    <row r="63" spans="1:15" x14ac:dyDescent="0.25">
      <c r="A63" s="25">
        <v>10698</v>
      </c>
      <c r="B63" s="61">
        <v>1200</v>
      </c>
      <c r="C63" s="26" t="s">
        <v>484</v>
      </c>
      <c r="D63" s="20"/>
      <c r="E63" s="82"/>
      <c r="F63" s="21"/>
      <c r="G63" s="17">
        <v>10799</v>
      </c>
      <c r="H63" s="79">
        <v>160</v>
      </c>
      <c r="I63" s="18" t="s">
        <v>543</v>
      </c>
      <c r="J63" s="73"/>
      <c r="K63" s="83"/>
      <c r="L63" s="74"/>
      <c r="M63" s="23"/>
      <c r="N63" s="23"/>
      <c r="O63" s="23"/>
    </row>
    <row r="64" spans="1:15" x14ac:dyDescent="0.25">
      <c r="A64" s="25"/>
      <c r="B64" s="61"/>
      <c r="C64" s="26" t="s">
        <v>25</v>
      </c>
      <c r="D64" s="20"/>
      <c r="E64" s="82"/>
      <c r="F64" s="21"/>
      <c r="G64" s="17">
        <v>10800</v>
      </c>
      <c r="H64" s="79">
        <v>400</v>
      </c>
      <c r="I64" s="18"/>
      <c r="J64" s="73"/>
      <c r="K64" s="74"/>
      <c r="L64" s="74"/>
      <c r="M64" s="23"/>
      <c r="N64" s="23"/>
      <c r="O64" s="23"/>
    </row>
    <row r="65" spans="1:15" x14ac:dyDescent="0.25">
      <c r="A65" s="25">
        <v>10699</v>
      </c>
      <c r="B65" s="61">
        <v>800</v>
      </c>
      <c r="C65" s="26" t="s">
        <v>149</v>
      </c>
      <c r="D65" s="20"/>
      <c r="E65" s="82"/>
      <c r="F65" s="21"/>
      <c r="G65" s="17">
        <v>10801</v>
      </c>
      <c r="H65" s="79">
        <v>2000</v>
      </c>
      <c r="I65" s="18" t="s">
        <v>218</v>
      </c>
      <c r="J65" s="73"/>
      <c r="K65" s="74"/>
      <c r="L65" s="74"/>
      <c r="M65" s="23"/>
      <c r="N65" s="23"/>
      <c r="O65" s="23"/>
    </row>
    <row r="66" spans="1:15" x14ac:dyDescent="0.25">
      <c r="A66" s="25">
        <v>10700</v>
      </c>
      <c r="B66" s="61">
        <v>800</v>
      </c>
      <c r="C66" s="26" t="s">
        <v>437</v>
      </c>
      <c r="D66" s="20"/>
      <c r="E66" s="82"/>
      <c r="F66" s="21"/>
      <c r="G66" s="17"/>
      <c r="H66" s="79"/>
      <c r="I66" s="18" t="s">
        <v>25</v>
      </c>
      <c r="J66" s="73"/>
      <c r="K66" s="74"/>
      <c r="L66" s="74"/>
      <c r="M66" s="23"/>
      <c r="N66" s="23"/>
      <c r="O66" s="23"/>
    </row>
    <row r="67" spans="1:15" x14ac:dyDescent="0.25">
      <c r="A67" s="25"/>
      <c r="B67" s="61"/>
      <c r="C67" s="26" t="s">
        <v>25</v>
      </c>
      <c r="D67" s="20"/>
      <c r="E67" s="82"/>
      <c r="F67" s="21"/>
      <c r="G67" s="17">
        <v>10802</v>
      </c>
      <c r="H67" s="79">
        <v>4560</v>
      </c>
      <c r="I67" s="18" t="s">
        <v>534</v>
      </c>
      <c r="J67" s="73"/>
      <c r="K67" s="74"/>
      <c r="L67" s="74"/>
      <c r="M67" s="23"/>
      <c r="N67" s="23"/>
      <c r="O67" s="23"/>
    </row>
    <row r="68" spans="1:15" x14ac:dyDescent="0.25">
      <c r="A68" s="25">
        <v>10701</v>
      </c>
      <c r="B68" s="61">
        <v>600</v>
      </c>
      <c r="C68" s="26" t="s">
        <v>437</v>
      </c>
      <c r="D68" s="20"/>
      <c r="E68" s="82"/>
      <c r="F68" s="21"/>
      <c r="G68" s="17"/>
      <c r="H68" s="79"/>
      <c r="I68" s="18" t="s">
        <v>544</v>
      </c>
      <c r="J68" s="73"/>
      <c r="K68" s="74"/>
      <c r="L68" s="74"/>
      <c r="M68" s="23"/>
      <c r="N68" s="23"/>
      <c r="O68" s="23"/>
    </row>
    <row r="69" spans="1:15" x14ac:dyDescent="0.25">
      <c r="A69" s="25"/>
      <c r="B69" s="61"/>
      <c r="C69" s="26" t="s">
        <v>33</v>
      </c>
      <c r="D69" s="20"/>
      <c r="E69" s="82"/>
      <c r="F69" s="21"/>
      <c r="G69" s="17"/>
      <c r="H69" s="79"/>
      <c r="I69" s="18"/>
      <c r="J69" s="73"/>
      <c r="K69" s="74"/>
      <c r="L69" s="74"/>
      <c r="M69" s="23"/>
      <c r="N69" s="23"/>
      <c r="O69" s="23"/>
    </row>
    <row r="70" spans="1:15" x14ac:dyDescent="0.25">
      <c r="A70" s="25">
        <v>10702</v>
      </c>
      <c r="B70" s="61">
        <v>400</v>
      </c>
      <c r="C70" s="26"/>
      <c r="D70" s="20"/>
      <c r="E70" s="82"/>
      <c r="F70" s="21"/>
      <c r="G70" s="17"/>
      <c r="H70" s="79"/>
      <c r="I70" s="18"/>
      <c r="J70" s="73"/>
      <c r="K70" s="74"/>
      <c r="L70" s="74"/>
      <c r="M70" s="23"/>
      <c r="N70" s="23"/>
      <c r="O70" s="23"/>
    </row>
    <row r="71" spans="1:15" x14ac:dyDescent="0.25">
      <c r="A71" s="25">
        <v>10703</v>
      </c>
      <c r="B71" s="61">
        <v>400</v>
      </c>
      <c r="C71" s="26"/>
      <c r="D71" s="20"/>
      <c r="E71" s="82"/>
      <c r="F71" s="21"/>
      <c r="G71" s="17"/>
      <c r="H71" s="79"/>
      <c r="I71" s="18"/>
      <c r="J71" s="73"/>
      <c r="K71" s="74"/>
      <c r="L71" s="74"/>
      <c r="M71" s="23"/>
      <c r="N71" s="23"/>
      <c r="O71" s="23"/>
    </row>
    <row r="72" spans="1:15" x14ac:dyDescent="0.25">
      <c r="A72" s="25">
        <v>10704</v>
      </c>
      <c r="B72" s="61">
        <v>400</v>
      </c>
      <c r="C72" s="26"/>
      <c r="D72" s="20"/>
      <c r="E72" s="82"/>
      <c r="F72" s="21"/>
      <c r="G72" s="17"/>
      <c r="H72" s="79"/>
      <c r="I72" s="18"/>
      <c r="J72" s="73"/>
      <c r="K72" s="74"/>
      <c r="L72" s="74"/>
      <c r="M72" s="23"/>
      <c r="N72" s="23"/>
      <c r="O72" s="23"/>
    </row>
    <row r="73" spans="1:15" x14ac:dyDescent="0.25">
      <c r="A73" s="25">
        <v>10705</v>
      </c>
      <c r="B73" s="61">
        <v>150</v>
      </c>
      <c r="C73" s="26"/>
      <c r="D73" s="20"/>
      <c r="E73" s="82"/>
      <c r="F73" s="21"/>
      <c r="G73" s="17"/>
      <c r="H73" s="79"/>
      <c r="I73" s="18"/>
      <c r="J73" s="73"/>
      <c r="K73" s="74"/>
      <c r="L73" s="74"/>
      <c r="M73" s="23"/>
      <c r="N73" s="23"/>
      <c r="O73" s="23"/>
    </row>
    <row r="74" spans="1:15" x14ac:dyDescent="0.25">
      <c r="A74" s="25">
        <v>10706</v>
      </c>
      <c r="B74" s="61">
        <v>600</v>
      </c>
      <c r="C74" s="26" t="s">
        <v>390</v>
      </c>
      <c r="D74" s="20"/>
      <c r="E74" s="82"/>
      <c r="F74" s="21"/>
      <c r="G74" s="17"/>
      <c r="H74" s="79"/>
      <c r="I74" s="18"/>
      <c r="J74" s="73"/>
      <c r="K74" s="74"/>
      <c r="L74" s="74"/>
      <c r="M74" s="23"/>
      <c r="N74" s="23"/>
      <c r="O74" s="23"/>
    </row>
    <row r="75" spans="1:15" x14ac:dyDescent="0.25">
      <c r="A75" s="25"/>
      <c r="B75" s="61"/>
      <c r="C75" s="26" t="s">
        <v>33</v>
      </c>
      <c r="D75" s="20"/>
      <c r="E75" s="82"/>
      <c r="F75" s="21"/>
      <c r="G75" s="17"/>
      <c r="H75" s="79"/>
      <c r="I75" s="18"/>
      <c r="J75" s="73"/>
      <c r="K75" s="74"/>
      <c r="L75" s="74"/>
      <c r="M75" s="23"/>
      <c r="N75" s="23"/>
      <c r="O75" s="23"/>
    </row>
    <row r="76" spans="1:15" x14ac:dyDescent="0.25">
      <c r="A76" s="25">
        <v>10707</v>
      </c>
      <c r="B76" s="61">
        <v>520</v>
      </c>
      <c r="C76" s="26" t="s">
        <v>522</v>
      </c>
      <c r="D76" s="20"/>
      <c r="E76" s="82"/>
      <c r="F76" s="21"/>
      <c r="G76" s="17"/>
      <c r="H76" s="79"/>
      <c r="I76" s="18"/>
      <c r="J76" s="73"/>
      <c r="K76" s="74"/>
      <c r="L76" s="74"/>
      <c r="M76" s="23"/>
      <c r="N76" s="23"/>
      <c r="O76" s="23"/>
    </row>
    <row r="77" spans="1:15" x14ac:dyDescent="0.25">
      <c r="A77" s="25"/>
      <c r="B77" s="61"/>
      <c r="C77" s="26" t="s">
        <v>523</v>
      </c>
      <c r="D77" s="20"/>
      <c r="E77" s="82"/>
      <c r="F77" s="21"/>
      <c r="G77" s="17"/>
      <c r="H77" s="79"/>
      <c r="I77" s="18"/>
      <c r="J77" s="73"/>
      <c r="K77" s="74"/>
      <c r="L77" s="74"/>
      <c r="M77" s="23"/>
      <c r="N77" s="23"/>
      <c r="O77" s="23"/>
    </row>
    <row r="78" spans="1:15" x14ac:dyDescent="0.25">
      <c r="A78" s="25">
        <v>10708</v>
      </c>
      <c r="B78" s="61">
        <v>400</v>
      </c>
      <c r="C78" s="26"/>
      <c r="D78" s="20"/>
      <c r="E78" s="82"/>
      <c r="F78" s="21"/>
      <c r="G78" s="17"/>
      <c r="H78" s="79"/>
      <c r="I78" s="18"/>
      <c r="J78" s="73"/>
      <c r="K78" s="74"/>
      <c r="L78" s="74"/>
      <c r="M78" s="23"/>
      <c r="N78" s="23"/>
      <c r="O78" s="23"/>
    </row>
    <row r="79" spans="1:15" x14ac:dyDescent="0.25">
      <c r="A79" s="25">
        <v>10709</v>
      </c>
      <c r="B79" s="61">
        <v>150</v>
      </c>
      <c r="C79" s="26"/>
      <c r="D79" s="20"/>
      <c r="E79" s="82"/>
      <c r="F79" s="21"/>
      <c r="G79" s="17"/>
      <c r="H79" s="79"/>
      <c r="I79" s="18"/>
      <c r="J79" s="73"/>
      <c r="K79" s="74"/>
      <c r="L79" s="74"/>
      <c r="M79" s="23"/>
      <c r="N79" s="23"/>
      <c r="O79" s="23"/>
    </row>
    <row r="80" spans="1:15" x14ac:dyDescent="0.25">
      <c r="A80" s="25">
        <v>10710</v>
      </c>
      <c r="B80" s="61">
        <v>200</v>
      </c>
      <c r="C80" s="26"/>
      <c r="D80" s="20"/>
      <c r="E80" s="82"/>
      <c r="F80" s="21"/>
      <c r="G80" s="17"/>
      <c r="H80" s="79"/>
      <c r="I80" s="18"/>
      <c r="J80" s="73"/>
      <c r="K80" s="74"/>
      <c r="L80" s="74"/>
      <c r="M80" s="23"/>
      <c r="N80" s="23"/>
      <c r="O80" s="23"/>
    </row>
    <row r="81" spans="1:15" x14ac:dyDescent="0.25">
      <c r="A81" s="25">
        <v>10711</v>
      </c>
      <c r="B81" s="61">
        <v>560</v>
      </c>
      <c r="C81" s="26" t="s">
        <v>524</v>
      </c>
      <c r="D81" s="20"/>
      <c r="E81" s="82"/>
      <c r="F81" s="21"/>
      <c r="G81" s="17"/>
      <c r="H81" s="79"/>
      <c r="I81" s="18"/>
      <c r="J81" s="73"/>
      <c r="K81" s="74"/>
      <c r="L81" s="74"/>
      <c r="M81" s="23"/>
      <c r="N81" s="23"/>
      <c r="O81" s="23"/>
    </row>
    <row r="82" spans="1:15" x14ac:dyDescent="0.25">
      <c r="A82" s="25"/>
      <c r="B82" s="61"/>
      <c r="C82" s="26" t="s">
        <v>525</v>
      </c>
      <c r="D82" s="20"/>
      <c r="E82" s="82"/>
      <c r="F82" s="21"/>
      <c r="G82" s="17"/>
      <c r="H82" s="79"/>
      <c r="I82" s="18"/>
      <c r="J82" s="73"/>
      <c r="K82" s="74"/>
      <c r="L82" s="74"/>
      <c r="M82" s="23"/>
      <c r="N82" s="23"/>
      <c r="O82" s="23"/>
    </row>
    <row r="83" spans="1:15" x14ac:dyDescent="0.25">
      <c r="A83" s="25">
        <v>10712</v>
      </c>
      <c r="B83" s="61">
        <v>400</v>
      </c>
      <c r="C83" s="26"/>
      <c r="D83" s="20"/>
      <c r="E83" s="82"/>
      <c r="F83" s="21"/>
      <c r="G83" s="17"/>
      <c r="H83" s="79"/>
      <c r="I83" s="18"/>
      <c r="J83" s="73"/>
      <c r="K83" s="74"/>
      <c r="L83" s="74"/>
      <c r="M83" s="23"/>
      <c r="N83" s="23"/>
      <c r="O83" s="23"/>
    </row>
    <row r="84" spans="1:15" x14ac:dyDescent="0.25">
      <c r="A84" s="25">
        <v>10713</v>
      </c>
      <c r="B84" s="61">
        <v>300</v>
      </c>
      <c r="C84" s="26"/>
      <c r="D84" s="20"/>
      <c r="E84" s="82"/>
      <c r="F84" s="21"/>
      <c r="G84" s="17"/>
      <c r="H84" s="79"/>
      <c r="I84" s="18"/>
      <c r="J84" s="73"/>
      <c r="K84" s="74"/>
      <c r="L84" s="74"/>
      <c r="M84" s="23"/>
      <c r="N84" s="23"/>
      <c r="O84" s="23"/>
    </row>
    <row r="85" spans="1:15" x14ac:dyDescent="0.25">
      <c r="A85" s="25">
        <v>10714</v>
      </c>
      <c r="B85" s="61">
        <v>400</v>
      </c>
      <c r="C85" s="26" t="s">
        <v>421</v>
      </c>
      <c r="D85" s="20"/>
      <c r="E85" s="82"/>
      <c r="F85" s="21"/>
      <c r="G85" s="17"/>
      <c r="H85" s="79"/>
      <c r="I85" s="18"/>
      <c r="J85" s="73"/>
      <c r="K85" s="74"/>
      <c r="L85" s="74"/>
      <c r="M85" s="23"/>
      <c r="N85" s="23"/>
      <c r="O85" s="23"/>
    </row>
    <row r="86" spans="1:15" x14ac:dyDescent="0.25">
      <c r="A86" s="25"/>
      <c r="B86" s="61"/>
      <c r="C86" s="26"/>
      <c r="D86" s="20"/>
      <c r="E86" s="82"/>
      <c r="F86" s="21"/>
      <c r="G86" s="17"/>
      <c r="H86" s="79"/>
      <c r="I86" s="18"/>
      <c r="J86" s="73"/>
      <c r="K86" s="74"/>
      <c r="L86" s="74"/>
      <c r="M86" s="23"/>
      <c r="N86" s="23"/>
      <c r="O86" s="23"/>
    </row>
    <row r="87" spans="1:15" x14ac:dyDescent="0.25">
      <c r="A87" s="25"/>
      <c r="B87" s="61"/>
      <c r="C87" s="26"/>
      <c r="D87" s="20"/>
      <c r="E87" s="82"/>
      <c r="F87" s="21"/>
      <c r="G87" s="17"/>
      <c r="H87" s="79"/>
      <c r="I87" s="18"/>
      <c r="J87" s="73"/>
      <c r="K87" s="74"/>
      <c r="L87" s="74"/>
      <c r="M87" s="23"/>
      <c r="N87" s="23"/>
      <c r="O87" s="23"/>
    </row>
    <row r="88" spans="1:15" x14ac:dyDescent="0.25">
      <c r="A88" s="25"/>
      <c r="B88" s="61"/>
      <c r="C88" s="26"/>
      <c r="D88" s="20"/>
      <c r="E88" s="82"/>
      <c r="F88" s="21"/>
      <c r="G88" s="17"/>
      <c r="H88" s="79"/>
      <c r="I88" s="18"/>
      <c r="J88" s="73"/>
      <c r="K88" s="74"/>
      <c r="L88" s="74"/>
      <c r="M88" s="23"/>
      <c r="N88" s="23"/>
      <c r="O88" s="23"/>
    </row>
    <row r="89" spans="1:15" x14ac:dyDescent="0.25">
      <c r="A89" s="25"/>
      <c r="B89" s="61"/>
      <c r="C89" s="26"/>
      <c r="D89" s="20"/>
      <c r="E89" s="82"/>
      <c r="F89" s="21"/>
      <c r="G89" s="17"/>
      <c r="H89" s="79"/>
      <c r="I89" s="18"/>
      <c r="J89" s="73"/>
      <c r="K89" s="74"/>
      <c r="L89" s="74"/>
      <c r="M89" s="23"/>
      <c r="N89" s="23"/>
      <c r="O89" s="23"/>
    </row>
    <row r="90" spans="1:15" x14ac:dyDescent="0.25">
      <c r="A90" s="25"/>
      <c r="B90" s="61"/>
      <c r="C90" s="26"/>
      <c r="D90" s="20"/>
      <c r="E90" s="82"/>
      <c r="F90" s="21"/>
      <c r="G90" s="17"/>
      <c r="H90" s="79"/>
      <c r="I90" s="18"/>
      <c r="J90" s="73"/>
      <c r="K90" s="74"/>
      <c r="L90" s="74"/>
      <c r="M90" s="23"/>
      <c r="N90" s="23"/>
      <c r="O90" s="23"/>
    </row>
    <row r="91" spans="1:15" x14ac:dyDescent="0.25">
      <c r="A91" s="25"/>
      <c r="B91" s="61"/>
      <c r="C91" s="26"/>
      <c r="D91" s="20"/>
      <c r="E91" s="82"/>
      <c r="F91" s="21"/>
      <c r="G91" s="17"/>
      <c r="H91" s="79"/>
      <c r="I91" s="18"/>
      <c r="J91" s="73"/>
      <c r="K91" s="74"/>
      <c r="L91" s="74"/>
      <c r="M91" s="23"/>
      <c r="N91" s="23"/>
      <c r="O91" s="23"/>
    </row>
    <row r="92" spans="1:15" x14ac:dyDescent="0.25">
      <c r="A92" s="25"/>
      <c r="B92" s="61"/>
      <c r="C92" s="26"/>
      <c r="D92" s="20"/>
      <c r="E92" s="82"/>
      <c r="F92" s="21"/>
      <c r="G92" s="17"/>
      <c r="H92" s="79"/>
      <c r="I92" s="18"/>
      <c r="J92" s="73"/>
      <c r="K92" s="74"/>
      <c r="L92" s="74"/>
      <c r="M92" s="23"/>
      <c r="N92" s="23"/>
      <c r="O92" s="23"/>
    </row>
    <row r="93" spans="1:15" x14ac:dyDescent="0.25">
      <c r="A93" s="25"/>
      <c r="B93" s="61"/>
      <c r="C93" s="26"/>
      <c r="D93" s="20"/>
      <c r="E93" s="82"/>
      <c r="F93" s="21"/>
      <c r="G93" s="17"/>
      <c r="H93" s="79"/>
      <c r="I93" s="18"/>
      <c r="J93" s="73"/>
      <c r="K93" s="74"/>
      <c r="L93" s="74"/>
      <c r="M93" s="23"/>
      <c r="N93" s="23"/>
      <c r="O93" s="23"/>
    </row>
    <row r="94" spans="1:15" x14ac:dyDescent="0.25">
      <c r="A94" s="37"/>
      <c r="B94" s="78"/>
      <c r="C94" s="70"/>
      <c r="D94" s="37"/>
      <c r="E94" s="70"/>
      <c r="F94" s="70"/>
      <c r="G94" s="37"/>
      <c r="H94" s="70"/>
      <c r="I94" s="70"/>
      <c r="J94" s="73"/>
      <c r="K94" s="74"/>
      <c r="L94" s="74"/>
      <c r="M94" s="70"/>
      <c r="N94" s="70"/>
      <c r="O94" s="70"/>
    </row>
    <row r="95" spans="1:15" x14ac:dyDescent="0.25">
      <c r="A95" s="37"/>
      <c r="B95" s="78"/>
      <c r="C95" s="70"/>
      <c r="D95" s="37"/>
      <c r="E95" s="70"/>
      <c r="F95" s="70"/>
      <c r="G95" s="37"/>
      <c r="H95" s="70"/>
      <c r="I95" s="70"/>
      <c r="J95" s="73"/>
      <c r="K95" s="74"/>
      <c r="L95" s="74"/>
      <c r="M95" s="70"/>
      <c r="N95" s="70"/>
      <c r="O95" s="70"/>
    </row>
    <row r="96" spans="1:15" x14ac:dyDescent="0.25">
      <c r="A96" s="37"/>
      <c r="B96" s="78"/>
      <c r="C96" s="70"/>
      <c r="D96" s="37"/>
      <c r="E96" s="70"/>
      <c r="F96" s="70"/>
      <c r="G96" s="37"/>
      <c r="H96" s="70"/>
      <c r="I96" s="70"/>
      <c r="J96" s="73"/>
      <c r="K96" s="74"/>
      <c r="L96" s="74"/>
      <c r="M96" s="70"/>
      <c r="N96" s="70"/>
      <c r="O96" s="70"/>
    </row>
    <row r="97" spans="1:15" x14ac:dyDescent="0.25">
      <c r="A97" s="37"/>
      <c r="B97" s="78"/>
      <c r="C97" s="70"/>
      <c r="D97" s="37"/>
      <c r="E97" s="70"/>
      <c r="F97" s="70"/>
      <c r="G97" s="37"/>
      <c r="H97" s="70"/>
      <c r="I97" s="70"/>
      <c r="J97" s="73"/>
      <c r="K97" s="74"/>
      <c r="L97" s="74"/>
      <c r="M97" s="70"/>
      <c r="N97" s="70"/>
      <c r="O97" s="70"/>
    </row>
    <row r="98" spans="1:15" x14ac:dyDescent="0.25">
      <c r="A98" s="37"/>
      <c r="B98" s="78"/>
      <c r="C98" s="70"/>
      <c r="D98" s="37"/>
      <c r="E98" s="70"/>
      <c r="F98" s="70"/>
      <c r="G98" s="37"/>
      <c r="H98" s="70"/>
      <c r="I98" s="70"/>
      <c r="J98" s="73"/>
      <c r="K98" s="74"/>
      <c r="L98" s="74"/>
      <c r="M98" s="70"/>
      <c r="N98" s="70"/>
      <c r="O98" s="70"/>
    </row>
    <row r="99" spans="1:15" x14ac:dyDescent="0.25">
      <c r="A99" s="37"/>
      <c r="B99" s="78"/>
      <c r="C99" s="70"/>
      <c r="D99" s="37"/>
      <c r="E99" s="70"/>
      <c r="F99" s="70"/>
      <c r="G99" s="37"/>
      <c r="H99" s="70"/>
      <c r="I99" s="70"/>
      <c r="J99" s="37"/>
      <c r="K99" s="70"/>
      <c r="L99" s="70"/>
      <c r="M99" s="70"/>
      <c r="N99" s="70"/>
      <c r="O99" s="70"/>
    </row>
    <row r="100" spans="1:15" x14ac:dyDescent="0.25">
      <c r="A100" s="37"/>
      <c r="B100" s="78"/>
      <c r="C100" s="70"/>
      <c r="D100" s="37"/>
      <c r="E100" s="70"/>
      <c r="F100" s="70"/>
      <c r="G100" s="37"/>
      <c r="H100" s="70"/>
      <c r="I100" s="70"/>
      <c r="J100" s="37"/>
      <c r="K100" s="70"/>
      <c r="L100" s="70"/>
      <c r="M100" s="70"/>
      <c r="N100" s="70"/>
      <c r="O100" s="70"/>
    </row>
    <row r="101" spans="1:15" x14ac:dyDescent="0.25">
      <c r="A101" s="37"/>
      <c r="B101" s="78"/>
      <c r="C101" s="70"/>
      <c r="D101" s="37"/>
      <c r="E101" s="70"/>
      <c r="F101" s="70"/>
      <c r="G101" s="37"/>
      <c r="H101" s="70"/>
      <c r="I101" s="70"/>
      <c r="J101" s="37"/>
      <c r="K101" s="70"/>
      <c r="L101" s="70"/>
      <c r="M101" s="70"/>
      <c r="N101" s="70"/>
      <c r="O101" s="70"/>
    </row>
    <row r="102" spans="1:15" x14ac:dyDescent="0.25">
      <c r="A102" s="37"/>
      <c r="B102" s="78"/>
      <c r="C102" s="70"/>
      <c r="D102" s="37"/>
      <c r="E102" s="70"/>
      <c r="F102" s="70"/>
      <c r="G102" s="37"/>
      <c r="H102" s="70"/>
      <c r="I102" s="70"/>
      <c r="J102" s="37"/>
      <c r="K102" s="70"/>
      <c r="L102" s="70"/>
      <c r="M102" s="70"/>
      <c r="N102" s="70"/>
      <c r="O102" s="70"/>
    </row>
    <row r="103" spans="1:15" x14ac:dyDescent="0.25">
      <c r="A103" s="37"/>
      <c r="B103" s="78"/>
      <c r="C103" s="70"/>
      <c r="D103" s="37"/>
      <c r="E103" s="70"/>
      <c r="F103" s="70"/>
      <c r="G103" s="37"/>
      <c r="H103" s="70"/>
      <c r="I103" s="70"/>
      <c r="J103" s="37"/>
      <c r="K103" s="70"/>
      <c r="L103" s="70"/>
      <c r="M103" s="70"/>
      <c r="N103" s="70"/>
      <c r="O103" s="70"/>
    </row>
    <row r="104" spans="1:15" x14ac:dyDescent="0.25">
      <c r="A104" s="37"/>
      <c r="B104" s="78"/>
      <c r="C104" s="70"/>
      <c r="D104" s="37"/>
      <c r="E104" s="70"/>
      <c r="F104" s="70"/>
      <c r="G104" s="37"/>
      <c r="H104" s="70"/>
      <c r="I104" s="70"/>
      <c r="J104" s="37"/>
      <c r="K104" s="70"/>
      <c r="L104" s="70"/>
      <c r="M104" s="70"/>
      <c r="N104" s="70"/>
      <c r="O104" s="70"/>
    </row>
    <row r="105" spans="1:15" x14ac:dyDescent="0.25">
      <c r="A105" s="37"/>
      <c r="B105" s="78"/>
      <c r="C105" s="70"/>
      <c r="D105" s="37"/>
      <c r="E105" s="70"/>
      <c r="F105" s="70"/>
      <c r="G105" s="37"/>
      <c r="H105" s="70"/>
      <c r="I105" s="70"/>
      <c r="J105" s="37"/>
      <c r="K105" s="70"/>
      <c r="L105" s="70"/>
      <c r="M105" s="70"/>
      <c r="N105" s="70"/>
      <c r="O105" s="70"/>
    </row>
    <row r="106" spans="1:15" x14ac:dyDescent="0.25">
      <c r="A106" s="37"/>
      <c r="B106" s="78"/>
      <c r="C106" s="70"/>
      <c r="D106" s="37"/>
      <c r="E106" s="70"/>
      <c r="F106" s="70"/>
      <c r="G106" s="37"/>
      <c r="H106" s="70"/>
      <c r="I106" s="70"/>
      <c r="J106" s="37"/>
      <c r="K106" s="70"/>
      <c r="L106" s="70"/>
      <c r="M106" s="70"/>
      <c r="N106" s="70"/>
      <c r="O106" s="70"/>
    </row>
    <row r="107" spans="1:15" x14ac:dyDescent="0.25">
      <c r="A107" s="37"/>
      <c r="B107" s="78"/>
      <c r="C107" s="70"/>
      <c r="D107" s="37"/>
      <c r="E107" s="70"/>
      <c r="F107" s="70"/>
      <c r="G107" s="37"/>
      <c r="H107" s="70"/>
      <c r="I107" s="70"/>
      <c r="J107" s="37"/>
      <c r="K107" s="70"/>
      <c r="L107" s="70"/>
      <c r="M107" s="70"/>
      <c r="N107" s="70"/>
      <c r="O107" s="70"/>
    </row>
    <row r="108" spans="1:15" x14ac:dyDescent="0.25">
      <c r="A108" s="37"/>
      <c r="B108" s="78"/>
      <c r="C108" s="70"/>
      <c r="D108" s="37"/>
      <c r="E108" s="70"/>
      <c r="F108" s="70"/>
      <c r="G108" s="37"/>
      <c r="H108" s="70"/>
      <c r="I108" s="70"/>
      <c r="J108" s="37"/>
      <c r="K108" s="70"/>
      <c r="L108" s="70"/>
      <c r="M108" s="70"/>
      <c r="N108" s="70"/>
      <c r="O108" s="70"/>
    </row>
    <row r="109" spans="1:15" x14ac:dyDescent="0.25">
      <c r="A109" s="37"/>
      <c r="B109" s="78"/>
      <c r="C109" s="70"/>
      <c r="D109" s="37"/>
      <c r="E109" s="70"/>
      <c r="F109" s="70"/>
      <c r="G109" s="37"/>
      <c r="H109" s="70"/>
      <c r="I109" s="70"/>
      <c r="J109" s="37"/>
      <c r="K109" s="70"/>
      <c r="L109" s="70"/>
      <c r="M109" s="70"/>
      <c r="N109" s="70"/>
      <c r="O109" s="70"/>
    </row>
    <row r="110" spans="1:15" x14ac:dyDescent="0.25">
      <c r="A110" s="37"/>
      <c r="B110" s="78"/>
      <c r="C110" s="70"/>
      <c r="D110" s="37"/>
      <c r="E110" s="70"/>
      <c r="F110" s="70"/>
      <c r="G110" s="37"/>
      <c r="H110" s="70"/>
      <c r="I110" s="70"/>
      <c r="J110" s="37"/>
      <c r="K110" s="70"/>
      <c r="L110" s="70"/>
      <c r="M110" s="70"/>
      <c r="N110" s="70"/>
      <c r="O110" s="70"/>
    </row>
    <row r="111" spans="1:15" x14ac:dyDescent="0.25">
      <c r="A111" s="37"/>
      <c r="B111" s="78"/>
      <c r="C111" s="70"/>
      <c r="D111" s="37"/>
      <c r="E111" s="70"/>
      <c r="F111" s="70"/>
      <c r="G111" s="37"/>
      <c r="H111" s="70"/>
      <c r="I111" s="70"/>
      <c r="J111" s="37"/>
      <c r="K111" s="70"/>
      <c r="L111" s="70"/>
      <c r="M111" s="70"/>
      <c r="N111" s="70"/>
      <c r="O111" s="70"/>
    </row>
    <row r="112" spans="1:15" x14ac:dyDescent="0.25">
      <c r="A112" s="37"/>
      <c r="B112" s="78"/>
      <c r="C112" s="70"/>
      <c r="D112" s="37"/>
      <c r="E112" s="70"/>
      <c r="F112" s="70"/>
      <c r="G112" s="37"/>
      <c r="H112" s="70"/>
      <c r="I112" s="70"/>
      <c r="J112" s="37"/>
      <c r="K112" s="70"/>
      <c r="L112" s="70"/>
      <c r="M112" s="70"/>
      <c r="N112" s="70"/>
      <c r="O112" s="70"/>
    </row>
    <row r="113" spans="1:15" x14ac:dyDescent="0.25">
      <c r="A113" s="37"/>
      <c r="B113" s="78"/>
      <c r="C113" s="70"/>
      <c r="D113" s="37"/>
      <c r="E113" s="70"/>
      <c r="F113" s="70"/>
      <c r="G113" s="37"/>
      <c r="H113" s="70"/>
      <c r="I113" s="70"/>
      <c r="J113" s="37"/>
      <c r="K113" s="70"/>
      <c r="L113" s="70"/>
      <c r="M113" s="70"/>
      <c r="N113" s="70"/>
      <c r="O113" s="70"/>
    </row>
    <row r="114" spans="1:15" x14ac:dyDescent="0.25">
      <c r="A114" s="37"/>
      <c r="B114" s="78"/>
      <c r="C114" s="70"/>
      <c r="D114" s="37"/>
      <c r="E114" s="70"/>
      <c r="F114" s="70"/>
      <c r="G114" s="37"/>
      <c r="H114" s="70"/>
      <c r="I114" s="70"/>
      <c r="J114" s="37"/>
      <c r="K114" s="70"/>
      <c r="L114" s="70"/>
      <c r="M114" s="70"/>
      <c r="N114" s="70"/>
      <c r="O114" s="70"/>
    </row>
    <row r="115" spans="1:15" x14ac:dyDescent="0.25">
      <c r="A115" s="37"/>
      <c r="B115" s="78"/>
      <c r="C115" s="70"/>
      <c r="D115" s="37"/>
      <c r="E115" s="70"/>
      <c r="F115" s="70"/>
      <c r="G115" s="37"/>
      <c r="H115" s="70"/>
      <c r="I115" s="70"/>
      <c r="J115" s="37"/>
      <c r="K115" s="70"/>
      <c r="L115" s="70"/>
      <c r="M115" s="70"/>
      <c r="N115" s="70"/>
      <c r="O115" s="70"/>
    </row>
    <row r="116" spans="1:15" x14ac:dyDescent="0.25">
      <c r="A116" s="37"/>
      <c r="B116" s="78"/>
      <c r="C116" s="70"/>
      <c r="D116" s="37"/>
      <c r="E116" s="70"/>
      <c r="F116" s="70"/>
      <c r="G116" s="37"/>
      <c r="H116" s="70"/>
      <c r="I116" s="70"/>
      <c r="J116" s="37"/>
      <c r="K116" s="70"/>
      <c r="L116" s="70"/>
      <c r="M116" s="70"/>
      <c r="N116" s="70"/>
      <c r="O116" s="70"/>
    </row>
    <row r="117" spans="1:15" x14ac:dyDescent="0.25">
      <c r="A117" s="37"/>
      <c r="B117" s="78"/>
      <c r="C117" s="70"/>
      <c r="D117" s="37"/>
      <c r="E117" s="70"/>
      <c r="F117" s="70"/>
      <c r="G117" s="37"/>
      <c r="H117" s="70"/>
      <c r="I117" s="70"/>
      <c r="J117" s="37"/>
      <c r="K117" s="70"/>
      <c r="L117" s="70"/>
      <c r="M117" s="70"/>
      <c r="N117" s="70"/>
      <c r="O117" s="70"/>
    </row>
    <row r="118" spans="1:15" x14ac:dyDescent="0.25">
      <c r="A118" s="37"/>
      <c r="B118" s="78"/>
      <c r="C118" s="70"/>
      <c r="D118" s="37"/>
      <c r="E118" s="70"/>
      <c r="F118" s="70"/>
      <c r="G118" s="37"/>
      <c r="H118" s="70"/>
      <c r="I118" s="70"/>
      <c r="J118" s="37"/>
      <c r="K118" s="70"/>
      <c r="L118" s="70"/>
      <c r="M118" s="70"/>
      <c r="N118" s="70"/>
      <c r="O118" s="70"/>
    </row>
    <row r="119" spans="1:15" x14ac:dyDescent="0.25">
      <c r="A119" s="37"/>
      <c r="B119" s="78"/>
      <c r="C119" s="70"/>
      <c r="D119" s="37"/>
      <c r="E119" s="70"/>
      <c r="F119" s="70"/>
      <c r="G119" s="37"/>
      <c r="H119" s="70"/>
      <c r="I119" s="70"/>
      <c r="J119" s="37"/>
      <c r="K119" s="70"/>
      <c r="L119" s="70"/>
      <c r="M119" s="70"/>
      <c r="N119" s="70"/>
      <c r="O119" s="70"/>
    </row>
    <row r="120" spans="1:15" x14ac:dyDescent="0.25">
      <c r="A120" s="37"/>
      <c r="B120" s="78"/>
      <c r="C120" s="70"/>
      <c r="D120" s="37"/>
      <c r="E120" s="70"/>
      <c r="F120" s="70"/>
      <c r="G120" s="37"/>
      <c r="H120" s="70"/>
      <c r="I120" s="70"/>
      <c r="J120" s="37"/>
      <c r="K120" s="70"/>
      <c r="L120" s="70"/>
      <c r="M120" s="70"/>
      <c r="N120" s="70"/>
      <c r="O120" s="70"/>
    </row>
    <row r="121" spans="1:15" x14ac:dyDescent="0.25">
      <c r="A121" s="37"/>
      <c r="B121" s="78"/>
      <c r="C121" s="70"/>
      <c r="D121" s="37"/>
      <c r="E121" s="70"/>
      <c r="F121" s="70"/>
      <c r="G121" s="37"/>
      <c r="H121" s="70"/>
      <c r="I121" s="70"/>
      <c r="J121" s="37"/>
      <c r="K121" s="70"/>
      <c r="L121" s="70"/>
      <c r="M121" s="70"/>
      <c r="N121" s="70"/>
      <c r="O121" s="70"/>
    </row>
    <row r="122" spans="1:15" x14ac:dyDescent="0.25">
      <c r="A122" s="37"/>
      <c r="B122" s="78"/>
      <c r="C122" s="70"/>
      <c r="D122" s="37"/>
      <c r="E122" s="70"/>
      <c r="F122" s="70"/>
      <c r="G122" s="37"/>
      <c r="H122" s="70"/>
      <c r="I122" s="70"/>
      <c r="J122" s="37"/>
      <c r="K122" s="70"/>
      <c r="L122" s="70"/>
      <c r="M122" s="70"/>
      <c r="N122" s="70"/>
      <c r="O122" s="70"/>
    </row>
    <row r="123" spans="1:15" x14ac:dyDescent="0.25">
      <c r="A123" s="37"/>
      <c r="B123" s="78"/>
      <c r="C123" s="70"/>
      <c r="D123" s="37"/>
      <c r="E123" s="70"/>
      <c r="F123" s="70"/>
      <c r="G123" s="37"/>
      <c r="H123" s="70"/>
      <c r="I123" s="70"/>
      <c r="J123" s="37"/>
      <c r="K123" s="70"/>
      <c r="L123" s="70"/>
      <c r="M123" s="70"/>
      <c r="N123" s="70"/>
      <c r="O123" s="70"/>
    </row>
    <row r="124" spans="1:15" x14ac:dyDescent="0.25">
      <c r="A124" s="37"/>
      <c r="B124" s="78"/>
      <c r="C124" s="70"/>
      <c r="D124" s="37"/>
      <c r="E124" s="70"/>
      <c r="F124" s="70"/>
      <c r="G124" s="37"/>
      <c r="H124" s="70"/>
      <c r="I124" s="70"/>
      <c r="J124" s="37"/>
      <c r="K124" s="70"/>
      <c r="L124" s="70"/>
      <c r="M124" s="70"/>
      <c r="N124" s="70"/>
      <c r="O124" s="70"/>
    </row>
    <row r="125" spans="1:15" x14ac:dyDescent="0.25">
      <c r="A125" s="37"/>
      <c r="B125" s="78"/>
      <c r="C125" s="70"/>
      <c r="D125" s="37"/>
      <c r="E125" s="70"/>
      <c r="F125" s="70"/>
      <c r="G125" s="37"/>
      <c r="H125" s="70"/>
      <c r="I125" s="70"/>
      <c r="J125" s="37"/>
      <c r="K125" s="70"/>
      <c r="L125" s="70"/>
      <c r="M125" s="70"/>
      <c r="N125" s="70"/>
      <c r="O125" s="70"/>
    </row>
    <row r="126" spans="1:15" x14ac:dyDescent="0.25">
      <c r="A126" s="37"/>
      <c r="B126" s="78"/>
      <c r="C126" s="70"/>
      <c r="D126" s="37"/>
      <c r="E126" s="70"/>
      <c r="F126" s="70"/>
      <c r="G126" s="37"/>
      <c r="H126" s="70"/>
      <c r="I126" s="70"/>
      <c r="J126" s="37"/>
      <c r="K126" s="70"/>
      <c r="L126" s="70"/>
      <c r="M126" s="70"/>
      <c r="N126" s="70"/>
      <c r="O126" s="70"/>
    </row>
    <row r="127" spans="1:15" x14ac:dyDescent="0.25">
      <c r="A127" s="37"/>
      <c r="B127" s="78"/>
      <c r="C127" s="70"/>
      <c r="D127" s="37"/>
      <c r="E127" s="70"/>
      <c r="F127" s="70"/>
      <c r="G127" s="37"/>
      <c r="H127" s="70"/>
      <c r="I127" s="70"/>
      <c r="J127" s="37"/>
      <c r="K127" s="70"/>
      <c r="L127" s="70"/>
      <c r="M127" s="70"/>
      <c r="N127" s="70"/>
      <c r="O127" s="70"/>
    </row>
    <row r="128" spans="1:15" x14ac:dyDescent="0.25">
      <c r="A128" s="37"/>
      <c r="B128" s="78"/>
      <c r="C128" s="70"/>
      <c r="D128" s="37"/>
      <c r="E128" s="70"/>
      <c r="F128" s="70"/>
      <c r="G128" s="37"/>
      <c r="H128" s="70"/>
      <c r="I128" s="70"/>
      <c r="J128" s="37"/>
      <c r="K128" s="70"/>
      <c r="L128" s="70"/>
      <c r="M128" s="70"/>
      <c r="N128" s="70"/>
      <c r="O128" s="70"/>
    </row>
    <row r="129" spans="1:15" x14ac:dyDescent="0.25">
      <c r="A129" s="37"/>
      <c r="B129" s="78"/>
      <c r="C129" s="70"/>
      <c r="D129" s="37"/>
      <c r="E129" s="70"/>
      <c r="F129" s="70"/>
      <c r="G129" s="37"/>
      <c r="H129" s="70"/>
      <c r="I129" s="70"/>
      <c r="J129" s="37"/>
      <c r="K129" s="70"/>
      <c r="L129" s="70"/>
      <c r="M129" s="70"/>
      <c r="N129" s="70"/>
      <c r="O129" s="70"/>
    </row>
    <row r="130" spans="1:15" x14ac:dyDescent="0.25">
      <c r="A130" s="37"/>
      <c r="B130" s="78"/>
      <c r="C130" s="70"/>
      <c r="D130" s="37"/>
      <c r="E130" s="70"/>
      <c r="F130" s="70"/>
      <c r="G130" s="37"/>
      <c r="H130" s="70"/>
      <c r="I130" s="70"/>
      <c r="J130" s="37"/>
      <c r="K130" s="70"/>
      <c r="L130" s="70"/>
      <c r="M130" s="70"/>
      <c r="N130" s="70"/>
      <c r="O130" s="70"/>
    </row>
    <row r="131" spans="1:15" x14ac:dyDescent="0.25">
      <c r="A131" s="37"/>
      <c r="B131" s="78"/>
      <c r="C131" s="70"/>
      <c r="D131" s="37"/>
      <c r="E131" s="70"/>
      <c r="F131" s="70"/>
      <c r="G131" s="37"/>
      <c r="H131" s="70"/>
      <c r="I131" s="70"/>
      <c r="J131" s="37"/>
      <c r="K131" s="70"/>
      <c r="L131" s="70"/>
      <c r="M131" s="70"/>
      <c r="N131" s="70"/>
      <c r="O131" s="70"/>
    </row>
    <row r="132" spans="1:15" x14ac:dyDescent="0.25">
      <c r="A132" s="37"/>
      <c r="B132" s="78"/>
      <c r="C132" s="70"/>
      <c r="D132" s="37"/>
      <c r="E132" s="70"/>
      <c r="F132" s="70"/>
      <c r="G132" s="37"/>
      <c r="H132" s="70"/>
      <c r="I132" s="70"/>
      <c r="J132" s="37"/>
      <c r="K132" s="70"/>
      <c r="L132" s="70"/>
      <c r="M132" s="70"/>
      <c r="N132" s="70"/>
      <c r="O132" s="70"/>
    </row>
    <row r="133" spans="1:15" x14ac:dyDescent="0.25">
      <c r="A133" s="37"/>
      <c r="B133" s="78"/>
      <c r="C133" s="70"/>
      <c r="D133" s="37"/>
      <c r="E133" s="70"/>
      <c r="F133" s="70"/>
      <c r="G133" s="37"/>
      <c r="H133" s="70"/>
      <c r="I133" s="70"/>
      <c r="J133" s="37"/>
      <c r="K133" s="70"/>
      <c r="L133" s="70"/>
      <c r="M133" s="70"/>
      <c r="N133" s="70"/>
      <c r="O133" s="70"/>
    </row>
    <row r="134" spans="1:15" x14ac:dyDescent="0.25">
      <c r="A134" s="37"/>
      <c r="B134" s="78"/>
      <c r="C134" s="70"/>
      <c r="D134" s="37"/>
      <c r="E134" s="70"/>
      <c r="F134" s="70"/>
      <c r="G134" s="37"/>
      <c r="H134" s="70"/>
      <c r="I134" s="70"/>
      <c r="J134" s="37"/>
      <c r="K134" s="70"/>
      <c r="L134" s="70"/>
      <c r="M134" s="70"/>
      <c r="N134" s="70"/>
      <c r="O134" s="70"/>
    </row>
    <row r="135" spans="1:15" x14ac:dyDescent="0.25">
      <c r="A135" s="37"/>
      <c r="B135" s="78"/>
      <c r="C135" s="70"/>
      <c r="D135" s="37"/>
      <c r="E135" s="70"/>
      <c r="F135" s="70"/>
      <c r="G135" s="37"/>
      <c r="H135" s="70"/>
      <c r="I135" s="70"/>
      <c r="J135" s="37"/>
      <c r="K135" s="70"/>
      <c r="L135" s="70"/>
      <c r="M135" s="70"/>
      <c r="N135" s="70"/>
      <c r="O135" s="70"/>
    </row>
    <row r="136" spans="1:15" x14ac:dyDescent="0.25">
      <c r="A136" s="37"/>
      <c r="B136" s="78"/>
      <c r="C136" s="70"/>
      <c r="D136" s="37"/>
      <c r="E136" s="70"/>
      <c r="F136" s="70"/>
      <c r="G136" s="37"/>
      <c r="H136" s="70"/>
      <c r="I136" s="70"/>
      <c r="J136" s="37"/>
      <c r="K136" s="70"/>
      <c r="L136" s="70"/>
      <c r="M136" s="70"/>
      <c r="N136" s="70"/>
      <c r="O136" s="70"/>
    </row>
    <row r="137" spans="1:15" x14ac:dyDescent="0.25">
      <c r="A137" s="37"/>
      <c r="B137" s="78"/>
      <c r="C137" s="70"/>
      <c r="D137" s="37"/>
      <c r="E137" s="70"/>
      <c r="F137" s="70"/>
      <c r="G137" s="37"/>
      <c r="H137" s="70"/>
      <c r="I137" s="70"/>
      <c r="J137" s="37"/>
      <c r="K137" s="70"/>
      <c r="L137" s="70"/>
      <c r="M137" s="70"/>
      <c r="N137" s="70"/>
      <c r="O137" s="70"/>
    </row>
    <row r="138" spans="1:15" x14ac:dyDescent="0.25">
      <c r="A138" s="37"/>
      <c r="B138" s="78"/>
      <c r="C138" s="70"/>
      <c r="D138" s="37"/>
      <c r="E138" s="70"/>
      <c r="F138" s="70"/>
      <c r="G138" s="37"/>
      <c r="H138" s="70"/>
      <c r="I138" s="70"/>
      <c r="J138" s="37"/>
      <c r="K138" s="70"/>
      <c r="L138" s="70"/>
      <c r="M138" s="70"/>
      <c r="N138" s="70"/>
      <c r="O138" s="70"/>
    </row>
    <row r="139" spans="1:15" x14ac:dyDescent="0.25">
      <c r="A139" s="37"/>
      <c r="B139" s="78"/>
      <c r="C139" s="70"/>
      <c r="D139" s="37"/>
      <c r="E139" s="70"/>
      <c r="F139" s="70"/>
      <c r="G139" s="37"/>
      <c r="H139" s="70"/>
      <c r="I139" s="70"/>
      <c r="J139" s="37"/>
      <c r="K139" s="70"/>
      <c r="L139" s="70"/>
      <c r="M139" s="70"/>
      <c r="N139" s="70"/>
      <c r="O139" s="70"/>
    </row>
    <row r="140" spans="1:15" x14ac:dyDescent="0.25">
      <c r="A140" s="37"/>
      <c r="B140" s="78"/>
      <c r="C140" s="70"/>
      <c r="D140" s="37"/>
      <c r="E140" s="70"/>
      <c r="F140" s="70"/>
      <c r="G140" s="37"/>
      <c r="H140" s="70"/>
      <c r="I140" s="70"/>
      <c r="J140" s="37"/>
      <c r="K140" s="70"/>
      <c r="L140" s="70"/>
      <c r="M140" s="70"/>
      <c r="N140" s="70"/>
      <c r="O140" s="70"/>
    </row>
    <row r="141" spans="1:15" x14ac:dyDescent="0.25">
      <c r="A141" s="37"/>
      <c r="B141" s="78"/>
      <c r="C141" s="70"/>
      <c r="D141" s="37"/>
      <c r="E141" s="70"/>
      <c r="F141" s="70"/>
      <c r="G141" s="37"/>
      <c r="H141" s="70"/>
      <c r="I141" s="70"/>
      <c r="J141" s="37"/>
      <c r="K141" s="70"/>
      <c r="L141" s="70"/>
      <c r="M141" s="70"/>
      <c r="N141" s="70"/>
      <c r="O141" s="70"/>
    </row>
    <row r="142" spans="1:15" x14ac:dyDescent="0.25">
      <c r="A142" s="37"/>
      <c r="B142" s="78"/>
      <c r="C142" s="70"/>
      <c r="D142" s="37"/>
      <c r="E142" s="70"/>
      <c r="F142" s="70"/>
      <c r="G142" s="37"/>
      <c r="H142" s="70"/>
      <c r="I142" s="70"/>
      <c r="J142" s="37"/>
      <c r="K142" s="70"/>
      <c r="L142" s="70"/>
      <c r="M142" s="70"/>
      <c r="N142" s="70"/>
      <c r="O142" s="70"/>
    </row>
    <row r="143" spans="1:15" x14ac:dyDescent="0.25">
      <c r="A143" s="37"/>
      <c r="B143" s="78"/>
      <c r="C143" s="70"/>
      <c r="D143" s="37"/>
      <c r="E143" s="70"/>
      <c r="F143" s="70"/>
      <c r="G143" s="37"/>
      <c r="H143" s="70"/>
      <c r="I143" s="70"/>
      <c r="J143" s="37"/>
      <c r="K143" s="70"/>
      <c r="L143" s="70"/>
      <c r="M143" s="70"/>
      <c r="N143" s="70"/>
      <c r="O143" s="70"/>
    </row>
    <row r="144" spans="1:15" x14ac:dyDescent="0.25">
      <c r="A144" s="37"/>
      <c r="B144" s="78"/>
      <c r="C144" s="70"/>
      <c r="D144" s="37"/>
      <c r="E144" s="70"/>
      <c r="F144" s="70"/>
      <c r="G144" s="37"/>
      <c r="H144" s="70"/>
      <c r="I144" s="70"/>
      <c r="J144" s="37"/>
      <c r="K144" s="70"/>
      <c r="L144" s="70"/>
      <c r="M144" s="70"/>
      <c r="N144" s="70"/>
      <c r="O144" s="70"/>
    </row>
    <row r="145" spans="1:15" x14ac:dyDescent="0.25">
      <c r="A145" s="37"/>
      <c r="B145" s="78"/>
      <c r="C145" s="70"/>
      <c r="D145" s="37"/>
      <c r="E145" s="70"/>
      <c r="F145" s="70"/>
      <c r="G145" s="37"/>
      <c r="H145" s="70"/>
      <c r="I145" s="70"/>
      <c r="J145" s="37"/>
      <c r="K145" s="70"/>
      <c r="L145" s="70"/>
      <c r="M145" s="70"/>
      <c r="N145" s="70"/>
      <c r="O145" s="70"/>
    </row>
    <row r="146" spans="1:15" x14ac:dyDescent="0.25">
      <c r="A146" s="37"/>
      <c r="B146" s="78"/>
      <c r="C146" s="70"/>
      <c r="D146" s="37"/>
      <c r="E146" s="70"/>
      <c r="F146" s="70"/>
      <c r="G146" s="37"/>
      <c r="H146" s="70"/>
      <c r="I146" s="70"/>
      <c r="J146" s="37"/>
      <c r="K146" s="70"/>
      <c r="L146" s="70"/>
      <c r="M146" s="70"/>
      <c r="N146" s="70"/>
      <c r="O146" s="70"/>
    </row>
    <row r="147" spans="1:15" x14ac:dyDescent="0.25">
      <c r="A147" s="37"/>
      <c r="B147" s="78"/>
      <c r="C147" s="70"/>
      <c r="D147" s="37"/>
      <c r="E147" s="70"/>
      <c r="F147" s="70"/>
      <c r="G147" s="37"/>
      <c r="H147" s="70"/>
      <c r="I147" s="70"/>
      <c r="J147" s="37"/>
      <c r="K147" s="70"/>
      <c r="L147" s="70"/>
      <c r="M147" s="70"/>
      <c r="N147" s="70"/>
      <c r="O147" s="70"/>
    </row>
    <row r="148" spans="1:15" x14ac:dyDescent="0.25">
      <c r="A148" s="37"/>
      <c r="B148" s="78"/>
      <c r="C148" s="70"/>
      <c r="D148" s="37"/>
      <c r="E148" s="70"/>
      <c r="F148" s="70"/>
      <c r="G148" s="37"/>
      <c r="H148" s="70"/>
      <c r="I148" s="70"/>
      <c r="J148" s="37"/>
      <c r="K148" s="70"/>
      <c r="L148" s="70"/>
      <c r="M148" s="70"/>
      <c r="N148" s="70"/>
      <c r="O148" s="70"/>
    </row>
    <row r="149" spans="1:15" x14ac:dyDescent="0.25">
      <c r="A149" s="37"/>
      <c r="B149" s="78"/>
      <c r="C149" s="70"/>
      <c r="D149" s="37"/>
      <c r="E149" s="70"/>
      <c r="F149" s="70"/>
      <c r="G149" s="37"/>
      <c r="H149" s="70"/>
      <c r="I149" s="70"/>
      <c r="J149" s="37"/>
      <c r="K149" s="70"/>
      <c r="L149" s="70"/>
      <c r="M149" s="70"/>
      <c r="N149" s="70"/>
      <c r="O149" s="70"/>
    </row>
    <row r="150" spans="1:15" x14ac:dyDescent="0.25">
      <c r="A150" s="37"/>
      <c r="B150" s="78"/>
      <c r="C150" s="70"/>
      <c r="D150" s="37"/>
      <c r="E150" s="70"/>
      <c r="F150" s="70"/>
      <c r="G150" s="37"/>
      <c r="H150" s="70"/>
      <c r="I150" s="70"/>
      <c r="J150" s="37"/>
      <c r="K150" s="70"/>
      <c r="L150" s="70"/>
      <c r="M150" s="70"/>
      <c r="N150" s="70"/>
      <c r="O150" s="70"/>
    </row>
    <row r="151" spans="1:15" x14ac:dyDescent="0.25">
      <c r="A151" s="37"/>
      <c r="B151" s="78"/>
      <c r="C151" s="70"/>
      <c r="D151" s="37"/>
      <c r="E151" s="70"/>
      <c r="F151" s="70"/>
      <c r="G151" s="37"/>
      <c r="H151" s="70"/>
      <c r="I151" s="70"/>
      <c r="J151" s="37"/>
      <c r="K151" s="70"/>
      <c r="L151" s="70"/>
      <c r="M151" s="70"/>
      <c r="N151" s="70"/>
      <c r="O151" s="70"/>
    </row>
    <row r="152" spans="1:15" x14ac:dyDescent="0.25">
      <c r="A152" s="37"/>
      <c r="B152" s="78"/>
      <c r="C152" s="70"/>
      <c r="D152" s="37"/>
      <c r="E152" s="70"/>
      <c r="F152" s="70"/>
      <c r="G152" s="37"/>
      <c r="H152" s="70"/>
      <c r="I152" s="70"/>
      <c r="J152" s="37"/>
      <c r="K152" s="70"/>
      <c r="L152" s="70"/>
      <c r="M152" s="70"/>
      <c r="N152" s="70"/>
      <c r="O152" s="70"/>
    </row>
    <row r="153" spans="1:15" x14ac:dyDescent="0.25">
      <c r="A153" s="37"/>
      <c r="B153" s="78"/>
      <c r="C153" s="70"/>
      <c r="D153" s="37"/>
      <c r="E153" s="70"/>
      <c r="F153" s="70"/>
      <c r="G153" s="37"/>
      <c r="H153" s="70"/>
      <c r="I153" s="70"/>
      <c r="J153" s="37"/>
      <c r="K153" s="70"/>
      <c r="L153" s="70"/>
      <c r="M153" s="70"/>
      <c r="N153" s="70"/>
      <c r="O153" s="70"/>
    </row>
    <row r="154" spans="1:15" x14ac:dyDescent="0.25">
      <c r="A154" s="37"/>
      <c r="B154" s="78"/>
      <c r="C154" s="70"/>
      <c r="D154" s="37"/>
      <c r="E154" s="70"/>
      <c r="F154" s="70"/>
      <c r="G154" s="37"/>
      <c r="H154" s="70"/>
      <c r="I154" s="70"/>
      <c r="J154" s="37"/>
      <c r="K154" s="70"/>
      <c r="L154" s="70"/>
      <c r="M154" s="70"/>
      <c r="N154" s="70"/>
      <c r="O154" s="70"/>
    </row>
    <row r="155" spans="1:15" x14ac:dyDescent="0.25">
      <c r="A155" s="37"/>
      <c r="B155" s="78"/>
      <c r="C155" s="70"/>
      <c r="D155" s="37"/>
      <c r="E155" s="70"/>
      <c r="F155" s="70"/>
      <c r="G155" s="37"/>
      <c r="H155" s="70"/>
      <c r="I155" s="70"/>
      <c r="J155" s="37"/>
      <c r="K155" s="70"/>
      <c r="L155" s="70"/>
      <c r="M155" s="70"/>
      <c r="N155" s="70"/>
      <c r="O155" s="70"/>
    </row>
    <row r="156" spans="1:15" x14ac:dyDescent="0.25">
      <c r="A156" s="37"/>
      <c r="B156" s="78"/>
      <c r="C156" s="70"/>
      <c r="D156" s="37"/>
      <c r="E156" s="70"/>
      <c r="F156" s="70"/>
      <c r="G156" s="37"/>
      <c r="H156" s="70"/>
      <c r="I156" s="70"/>
      <c r="J156" s="37"/>
      <c r="K156" s="70"/>
      <c r="L156" s="70"/>
      <c r="M156" s="70"/>
      <c r="N156" s="70"/>
      <c r="O156" s="70"/>
    </row>
    <row r="157" spans="1:15" x14ac:dyDescent="0.25">
      <c r="A157" s="37"/>
      <c r="B157" s="78"/>
      <c r="C157" s="70"/>
      <c r="D157" s="37"/>
      <c r="E157" s="70"/>
      <c r="F157" s="70"/>
      <c r="G157" s="37"/>
      <c r="H157" s="70"/>
      <c r="I157" s="70"/>
      <c r="J157" s="37"/>
      <c r="K157" s="70"/>
      <c r="L157" s="70"/>
      <c r="M157" s="70"/>
      <c r="N157" s="70"/>
      <c r="O157" s="70"/>
    </row>
    <row r="158" spans="1:15" x14ac:dyDescent="0.25">
      <c r="A158" s="37"/>
      <c r="B158" s="78"/>
      <c r="C158" s="70"/>
      <c r="D158" s="37"/>
      <c r="E158" s="70"/>
      <c r="F158" s="70"/>
      <c r="G158" s="37"/>
      <c r="H158" s="70"/>
      <c r="I158" s="70"/>
      <c r="J158" s="37"/>
      <c r="K158" s="70"/>
      <c r="L158" s="70"/>
      <c r="M158" s="70"/>
      <c r="N158" s="70"/>
      <c r="O158" s="70"/>
    </row>
    <row r="159" spans="1:15" x14ac:dyDescent="0.25">
      <c r="A159" s="37"/>
      <c r="B159" s="78"/>
      <c r="C159" s="70"/>
      <c r="D159" s="37"/>
      <c r="E159" s="70"/>
      <c r="F159" s="70"/>
      <c r="G159" s="37"/>
      <c r="H159" s="70"/>
      <c r="I159" s="70"/>
      <c r="J159" s="37"/>
      <c r="K159" s="70"/>
      <c r="L159" s="70"/>
      <c r="M159" s="70"/>
      <c r="N159" s="70"/>
      <c r="O159" s="70"/>
    </row>
    <row r="160" spans="1:15" x14ac:dyDescent="0.25">
      <c r="A160" s="37"/>
      <c r="B160" s="78"/>
      <c r="C160" s="70"/>
      <c r="D160" s="37"/>
      <c r="E160" s="70"/>
      <c r="F160" s="70"/>
      <c r="G160" s="37"/>
      <c r="H160" s="70"/>
      <c r="I160" s="70"/>
      <c r="J160" s="37"/>
      <c r="K160" s="70"/>
      <c r="L160" s="70"/>
      <c r="M160" s="70"/>
      <c r="N160" s="70"/>
      <c r="O160" s="70"/>
    </row>
    <row r="161" spans="1:15" x14ac:dyDescent="0.25">
      <c r="A161" s="37"/>
      <c r="B161" s="78"/>
      <c r="C161" s="70"/>
      <c r="D161" s="37"/>
      <c r="E161" s="70"/>
      <c r="F161" s="70"/>
      <c r="G161" s="37"/>
      <c r="H161" s="70"/>
      <c r="I161" s="70"/>
      <c r="J161" s="37"/>
      <c r="K161" s="70"/>
      <c r="L161" s="70"/>
      <c r="M161" s="70"/>
      <c r="N161" s="70"/>
      <c r="O161" s="70"/>
    </row>
    <row r="162" spans="1:15" x14ac:dyDescent="0.25">
      <c r="A162" s="37"/>
      <c r="B162" s="78"/>
      <c r="C162" s="70"/>
      <c r="D162" s="37"/>
      <c r="E162" s="70"/>
      <c r="F162" s="70"/>
      <c r="G162" s="37"/>
      <c r="H162" s="70"/>
      <c r="I162" s="70"/>
      <c r="J162" s="37"/>
      <c r="K162" s="70"/>
      <c r="L162" s="70"/>
      <c r="M162" s="70"/>
      <c r="N162" s="70"/>
      <c r="O162" s="70"/>
    </row>
    <row r="163" spans="1:15" x14ac:dyDescent="0.25">
      <c r="A163" s="37"/>
      <c r="B163" s="78"/>
      <c r="C163" s="70"/>
      <c r="D163" s="37"/>
      <c r="E163" s="70"/>
      <c r="F163" s="70"/>
      <c r="G163" s="37"/>
      <c r="H163" s="70"/>
      <c r="I163" s="70"/>
      <c r="J163" s="37"/>
      <c r="K163" s="70"/>
      <c r="L163" s="70"/>
      <c r="M163" s="70"/>
      <c r="N163" s="70"/>
      <c r="O163" s="70"/>
    </row>
    <row r="164" spans="1:15" x14ac:dyDescent="0.25">
      <c r="A164" s="37"/>
      <c r="B164" s="78"/>
      <c r="C164" s="70"/>
      <c r="D164" s="37"/>
      <c r="E164" s="70"/>
      <c r="F164" s="70"/>
      <c r="G164" s="37"/>
      <c r="H164" s="70"/>
      <c r="I164" s="70"/>
      <c r="J164" s="37"/>
      <c r="K164" s="70"/>
      <c r="L164" s="70"/>
      <c r="M164" s="70"/>
      <c r="N164" s="70"/>
      <c r="O164" s="70"/>
    </row>
    <row r="165" spans="1:15" x14ac:dyDescent="0.25">
      <c r="A165" s="37"/>
      <c r="B165" s="78"/>
      <c r="C165" s="70"/>
      <c r="D165" s="37"/>
      <c r="E165" s="70"/>
      <c r="F165" s="70"/>
      <c r="G165" s="37"/>
      <c r="H165" s="70"/>
      <c r="I165" s="70"/>
      <c r="J165" s="37"/>
      <c r="K165" s="70"/>
      <c r="L165" s="70"/>
      <c r="M165" s="70"/>
      <c r="N165" s="70"/>
      <c r="O165" s="70"/>
    </row>
    <row r="166" spans="1:15" x14ac:dyDescent="0.25">
      <c r="A166" s="37"/>
      <c r="B166" s="78"/>
      <c r="C166" s="70"/>
      <c r="D166" s="37"/>
      <c r="E166" s="70"/>
      <c r="F166" s="70"/>
      <c r="G166" s="37"/>
      <c r="H166" s="70"/>
      <c r="I166" s="70"/>
      <c r="J166" s="37"/>
      <c r="K166" s="70"/>
      <c r="L166" s="70"/>
      <c r="M166" s="70"/>
      <c r="N166" s="70"/>
      <c r="O166" s="70"/>
    </row>
    <row r="167" spans="1:15" x14ac:dyDescent="0.25">
      <c r="A167" s="37"/>
      <c r="B167" s="78"/>
      <c r="C167" s="70"/>
      <c r="D167" s="37"/>
      <c r="E167" s="70"/>
      <c r="F167" s="70"/>
      <c r="G167" s="37"/>
      <c r="H167" s="70"/>
      <c r="I167" s="70"/>
      <c r="J167" s="37"/>
      <c r="K167" s="70"/>
      <c r="L167" s="70"/>
      <c r="M167" s="70"/>
      <c r="N167" s="70"/>
      <c r="O167" s="70"/>
    </row>
    <row r="168" spans="1:15" x14ac:dyDescent="0.25">
      <c r="A168" s="37"/>
      <c r="B168" s="78"/>
      <c r="C168" s="70"/>
      <c r="D168" s="37"/>
      <c r="E168" s="70"/>
      <c r="F168" s="70"/>
      <c r="G168" s="37"/>
      <c r="H168" s="70"/>
      <c r="I168" s="70"/>
      <c r="J168" s="37"/>
      <c r="K168" s="70"/>
      <c r="L168" s="70"/>
      <c r="M168" s="70"/>
      <c r="N168" s="70"/>
      <c r="O168" s="70"/>
    </row>
    <row r="169" spans="1:15" x14ac:dyDescent="0.25">
      <c r="A169" s="37"/>
      <c r="B169" s="78"/>
      <c r="C169" s="70"/>
      <c r="D169" s="37"/>
      <c r="E169" s="70"/>
      <c r="F169" s="70"/>
      <c r="G169" s="37"/>
      <c r="H169" s="70"/>
      <c r="I169" s="70"/>
      <c r="J169" s="37"/>
      <c r="K169" s="70"/>
      <c r="L169" s="70"/>
      <c r="M169" s="70"/>
      <c r="N169" s="70"/>
      <c r="O169" s="70"/>
    </row>
    <row r="170" spans="1:15" x14ac:dyDescent="0.25">
      <c r="A170" s="37"/>
      <c r="B170" s="78"/>
      <c r="C170" s="70"/>
      <c r="D170" s="37"/>
      <c r="E170" s="70"/>
      <c r="F170" s="70"/>
      <c r="G170" s="37"/>
      <c r="H170" s="70"/>
      <c r="I170" s="70"/>
      <c r="J170" s="37"/>
      <c r="K170" s="70"/>
      <c r="L170" s="70"/>
      <c r="M170" s="70"/>
      <c r="N170" s="70"/>
      <c r="O170" s="70"/>
    </row>
    <row r="171" spans="1:15" x14ac:dyDescent="0.25">
      <c r="A171" s="37"/>
      <c r="B171" s="78"/>
      <c r="C171" s="70"/>
      <c r="D171" s="37"/>
      <c r="E171" s="70"/>
      <c r="F171" s="70"/>
      <c r="G171" s="37"/>
      <c r="H171" s="70"/>
      <c r="I171" s="70"/>
      <c r="J171" s="37"/>
      <c r="K171" s="70"/>
      <c r="L171" s="70"/>
      <c r="M171" s="70"/>
      <c r="N171" s="70"/>
      <c r="O171" s="70"/>
    </row>
    <row r="172" spans="1:15" x14ac:dyDescent="0.25">
      <c r="A172" s="37"/>
      <c r="B172" s="78"/>
      <c r="C172" s="70"/>
      <c r="D172" s="37"/>
      <c r="E172" s="70"/>
      <c r="F172" s="70"/>
      <c r="G172" s="37"/>
      <c r="H172" s="70"/>
      <c r="I172" s="70"/>
      <c r="J172" s="37"/>
      <c r="K172" s="70"/>
      <c r="L172" s="70"/>
      <c r="M172" s="70"/>
      <c r="N172" s="70"/>
      <c r="O172" s="70"/>
    </row>
    <row r="173" spans="1:15" x14ac:dyDescent="0.25">
      <c r="A173" s="37"/>
      <c r="B173" s="78"/>
      <c r="C173" s="70"/>
      <c r="D173" s="37"/>
      <c r="E173" s="70"/>
      <c r="F173" s="70"/>
      <c r="G173" s="37"/>
      <c r="H173" s="70"/>
      <c r="I173" s="70"/>
      <c r="J173" s="37"/>
      <c r="K173" s="70"/>
      <c r="L173" s="70"/>
      <c r="M173" s="70"/>
      <c r="N173" s="70"/>
      <c r="O173" s="70"/>
    </row>
    <row r="174" spans="1:15" x14ac:dyDescent="0.25">
      <c r="A174" s="37"/>
      <c r="B174" s="78"/>
      <c r="C174" s="70"/>
      <c r="D174" s="37"/>
      <c r="E174" s="70"/>
      <c r="F174" s="70"/>
      <c r="G174" s="37"/>
      <c r="H174" s="70"/>
      <c r="I174" s="70"/>
      <c r="J174" s="37"/>
      <c r="K174" s="70"/>
      <c r="L174" s="70"/>
      <c r="M174" s="70"/>
      <c r="N174" s="70"/>
      <c r="O174" s="70"/>
    </row>
    <row r="175" spans="1:15" x14ac:dyDescent="0.25">
      <c r="A175" s="37"/>
      <c r="B175" s="78"/>
      <c r="C175" s="70"/>
      <c r="D175" s="37"/>
      <c r="E175" s="70"/>
      <c r="F175" s="70"/>
      <c r="G175" s="37"/>
      <c r="H175" s="70"/>
      <c r="I175" s="70"/>
      <c r="J175" s="37"/>
      <c r="K175" s="70"/>
      <c r="L175" s="70"/>
      <c r="M175" s="70"/>
      <c r="N175" s="70"/>
      <c r="O175" s="70"/>
    </row>
    <row r="176" spans="1:15" x14ac:dyDescent="0.25">
      <c r="A176" s="37"/>
      <c r="B176" s="78"/>
      <c r="C176" s="70"/>
      <c r="D176" s="37"/>
      <c r="E176" s="70"/>
      <c r="F176" s="70"/>
      <c r="G176" s="37"/>
      <c r="H176" s="70"/>
      <c r="I176" s="70"/>
      <c r="J176" s="37"/>
      <c r="K176" s="70"/>
      <c r="L176" s="70"/>
      <c r="M176" s="70"/>
      <c r="N176" s="70"/>
      <c r="O176" s="70"/>
    </row>
    <row r="177" spans="1:15" x14ac:dyDescent="0.25">
      <c r="A177" s="37"/>
      <c r="B177" s="78"/>
      <c r="C177" s="70"/>
      <c r="D177" s="37"/>
      <c r="E177" s="70"/>
      <c r="F177" s="70"/>
      <c r="G177" s="37"/>
      <c r="H177" s="70"/>
      <c r="I177" s="70"/>
      <c r="J177" s="37"/>
      <c r="K177" s="70"/>
      <c r="L177" s="70"/>
      <c r="M177" s="70"/>
      <c r="N177" s="70"/>
      <c r="O177" s="70"/>
    </row>
    <row r="178" spans="1:15" x14ac:dyDescent="0.25">
      <c r="A178" s="37"/>
      <c r="B178" s="78"/>
      <c r="C178" s="70"/>
      <c r="D178" s="37"/>
      <c r="E178" s="70"/>
      <c r="F178" s="70"/>
      <c r="G178" s="37"/>
      <c r="H178" s="70"/>
      <c r="I178" s="70"/>
      <c r="J178" s="37"/>
      <c r="K178" s="70"/>
      <c r="L178" s="70"/>
      <c r="M178" s="70"/>
      <c r="N178" s="70"/>
      <c r="O178" s="70"/>
    </row>
    <row r="179" spans="1:15" x14ac:dyDescent="0.25">
      <c r="A179" s="37"/>
      <c r="B179" s="78"/>
      <c r="C179" s="70"/>
      <c r="D179" s="37"/>
      <c r="E179" s="70"/>
      <c r="F179" s="70"/>
      <c r="G179" s="37"/>
      <c r="H179" s="70"/>
      <c r="I179" s="70"/>
      <c r="J179" s="37"/>
      <c r="K179" s="70"/>
      <c r="L179" s="70"/>
      <c r="M179" s="70"/>
      <c r="N179" s="70"/>
      <c r="O179" s="70"/>
    </row>
    <row r="180" spans="1:15" x14ac:dyDescent="0.25">
      <c r="A180" s="37"/>
      <c r="B180" s="78"/>
      <c r="C180" s="70"/>
      <c r="D180" s="37"/>
      <c r="E180" s="70"/>
      <c r="F180" s="70"/>
      <c r="G180" s="37"/>
      <c r="H180" s="70"/>
      <c r="I180" s="70"/>
      <c r="J180" s="37"/>
      <c r="K180" s="70"/>
      <c r="L180" s="70"/>
      <c r="M180" s="70"/>
      <c r="N180" s="70"/>
      <c r="O180" s="70"/>
    </row>
    <row r="181" spans="1:15" x14ac:dyDescent="0.25">
      <c r="A181" s="37"/>
      <c r="B181" s="78"/>
      <c r="C181" s="70"/>
      <c r="D181" s="37"/>
      <c r="E181" s="70"/>
      <c r="F181" s="70"/>
      <c r="G181" s="37"/>
      <c r="H181" s="70"/>
      <c r="I181" s="70"/>
      <c r="J181" s="37"/>
      <c r="K181" s="70"/>
      <c r="L181" s="70"/>
      <c r="M181" s="70"/>
      <c r="N181" s="70"/>
      <c r="O181" s="70"/>
    </row>
    <row r="182" spans="1:15" x14ac:dyDescent="0.25">
      <c r="A182" s="37"/>
      <c r="B182" s="78"/>
      <c r="C182" s="70"/>
      <c r="D182" s="37"/>
      <c r="E182" s="70"/>
      <c r="F182" s="70"/>
      <c r="G182" s="37"/>
      <c r="H182" s="70"/>
      <c r="I182" s="70"/>
      <c r="J182" s="37"/>
      <c r="K182" s="70"/>
      <c r="L182" s="70"/>
      <c r="M182" s="70"/>
      <c r="N182" s="70"/>
      <c r="O182" s="70"/>
    </row>
    <row r="183" spans="1:15" x14ac:dyDescent="0.25">
      <c r="A183" s="37"/>
      <c r="B183" s="78"/>
      <c r="C183" s="70"/>
      <c r="D183" s="37"/>
      <c r="E183" s="70"/>
      <c r="F183" s="70"/>
      <c r="G183" s="37"/>
      <c r="H183" s="70"/>
      <c r="I183" s="70"/>
      <c r="J183" s="37"/>
      <c r="K183" s="70"/>
      <c r="L183" s="70"/>
      <c r="M183" s="70"/>
      <c r="N183" s="70"/>
      <c r="O183" s="70"/>
    </row>
    <row r="184" spans="1:15" x14ac:dyDescent="0.25">
      <c r="A184" s="37"/>
      <c r="B184" s="78"/>
      <c r="C184" s="70"/>
      <c r="D184" s="37"/>
      <c r="E184" s="70"/>
      <c r="F184" s="70"/>
      <c r="G184" s="37"/>
      <c r="H184" s="70"/>
      <c r="I184" s="70"/>
      <c r="J184" s="37"/>
      <c r="K184" s="70"/>
      <c r="L184" s="70"/>
      <c r="M184" s="70"/>
      <c r="N184" s="70"/>
      <c r="O184" s="70"/>
    </row>
    <row r="185" spans="1:15" x14ac:dyDescent="0.25">
      <c r="A185" s="37"/>
      <c r="B185" s="78"/>
      <c r="C185" s="70"/>
      <c r="D185" s="37"/>
      <c r="E185" s="70"/>
      <c r="F185" s="70"/>
      <c r="G185" s="37"/>
      <c r="H185" s="70"/>
      <c r="I185" s="70"/>
      <c r="J185" s="37"/>
      <c r="K185" s="70"/>
      <c r="L185" s="70"/>
      <c r="M185" s="70"/>
      <c r="N185" s="70"/>
      <c r="O185" s="70"/>
    </row>
    <row r="186" spans="1:15" x14ac:dyDescent="0.25">
      <c r="A186" s="37"/>
      <c r="B186" s="78"/>
      <c r="C186" s="70"/>
      <c r="D186" s="37"/>
      <c r="E186" s="70"/>
      <c r="F186" s="70"/>
      <c r="G186" s="37"/>
      <c r="H186" s="70"/>
      <c r="I186" s="70"/>
      <c r="J186" s="37"/>
      <c r="K186" s="70"/>
      <c r="L186" s="70"/>
      <c r="M186" s="70"/>
      <c r="N186" s="70"/>
      <c r="O186" s="70"/>
    </row>
    <row r="187" spans="1:15" x14ac:dyDescent="0.25">
      <c r="A187" s="37"/>
      <c r="B187" s="78"/>
      <c r="C187" s="70"/>
      <c r="D187" s="37"/>
      <c r="E187" s="70"/>
      <c r="F187" s="70"/>
      <c r="G187" s="37"/>
      <c r="H187" s="70"/>
      <c r="I187" s="70"/>
      <c r="J187" s="37"/>
      <c r="K187" s="70"/>
      <c r="L187" s="70"/>
      <c r="M187" s="70"/>
      <c r="N187" s="70"/>
      <c r="O187" s="70"/>
    </row>
    <row r="188" spans="1:15" x14ac:dyDescent="0.25">
      <c r="A188" s="37"/>
      <c r="B188" s="78"/>
      <c r="C188" s="70"/>
      <c r="D188" s="37"/>
      <c r="E188" s="70"/>
      <c r="F188" s="70"/>
      <c r="G188" s="37"/>
      <c r="H188" s="70"/>
      <c r="I188" s="70"/>
      <c r="J188" s="37"/>
      <c r="K188" s="70"/>
      <c r="L188" s="70"/>
      <c r="M188" s="70"/>
      <c r="N188" s="70"/>
      <c r="O188" s="70"/>
    </row>
    <row r="189" spans="1:15" x14ac:dyDescent="0.25">
      <c r="A189" s="37"/>
      <c r="B189" s="78"/>
      <c r="C189" s="70"/>
      <c r="D189" s="37"/>
      <c r="E189" s="70"/>
      <c r="F189" s="70"/>
      <c r="G189" s="37"/>
      <c r="H189" s="70"/>
      <c r="I189" s="70"/>
      <c r="J189" s="37"/>
      <c r="K189" s="70"/>
      <c r="L189" s="70"/>
      <c r="M189" s="70"/>
      <c r="N189" s="70"/>
      <c r="O189" s="70"/>
    </row>
    <row r="190" spans="1:15" x14ac:dyDescent="0.25">
      <c r="A190" s="37"/>
      <c r="B190" s="78"/>
      <c r="C190" s="70"/>
      <c r="D190" s="37"/>
      <c r="E190" s="70"/>
      <c r="F190" s="70"/>
      <c r="G190" s="37"/>
      <c r="H190" s="70"/>
      <c r="I190" s="70"/>
      <c r="J190" s="37"/>
      <c r="K190" s="70"/>
      <c r="L190" s="70"/>
      <c r="M190" s="70"/>
      <c r="N190" s="70"/>
      <c r="O190" s="70"/>
    </row>
    <row r="191" spans="1:15" x14ac:dyDescent="0.25">
      <c r="A191" s="37"/>
      <c r="B191" s="78"/>
      <c r="C191" s="70"/>
      <c r="D191" s="37"/>
      <c r="E191" s="70"/>
      <c r="F191" s="70"/>
      <c r="G191" s="37"/>
      <c r="H191" s="70"/>
      <c r="I191" s="70"/>
      <c r="J191" s="37"/>
      <c r="K191" s="70"/>
      <c r="L191" s="70"/>
      <c r="M191" s="70"/>
      <c r="N191" s="70"/>
      <c r="O191" s="70"/>
    </row>
    <row r="192" spans="1:15" x14ac:dyDescent="0.25">
      <c r="A192" s="37"/>
      <c r="B192" s="78"/>
      <c r="C192" s="70"/>
      <c r="D192" s="37"/>
      <c r="E192" s="70"/>
      <c r="F192" s="70"/>
      <c r="G192" s="37"/>
      <c r="H192" s="70"/>
      <c r="I192" s="70"/>
      <c r="J192" s="37"/>
      <c r="K192" s="70"/>
      <c r="L192" s="70"/>
      <c r="M192" s="70"/>
      <c r="N192" s="70"/>
      <c r="O192" s="70"/>
    </row>
    <row r="193" spans="1:15" x14ac:dyDescent="0.25">
      <c r="A193" s="37"/>
      <c r="B193" s="78"/>
      <c r="C193" s="70"/>
      <c r="D193" s="37"/>
      <c r="E193" s="70"/>
      <c r="F193" s="70"/>
      <c r="G193" s="37"/>
      <c r="H193" s="70"/>
      <c r="I193" s="70"/>
      <c r="J193" s="37"/>
      <c r="K193" s="70"/>
      <c r="L193" s="70"/>
      <c r="M193" s="70"/>
      <c r="N193" s="70"/>
      <c r="O193" s="70"/>
    </row>
    <row r="194" spans="1:15" x14ac:dyDescent="0.25">
      <c r="A194" s="37"/>
      <c r="B194" s="78"/>
      <c r="C194" s="70"/>
      <c r="D194" s="37"/>
      <c r="E194" s="70"/>
      <c r="F194" s="70"/>
      <c r="G194" s="37"/>
      <c r="H194" s="70"/>
      <c r="I194" s="70"/>
      <c r="J194" s="37"/>
      <c r="K194" s="70"/>
      <c r="L194" s="70"/>
      <c r="M194" s="70"/>
      <c r="N194" s="70"/>
      <c r="O194" s="70"/>
    </row>
    <row r="195" spans="1:15" x14ac:dyDescent="0.25">
      <c r="A195" s="37"/>
      <c r="B195" s="78"/>
      <c r="C195" s="70"/>
      <c r="D195" s="37"/>
      <c r="E195" s="70"/>
      <c r="F195" s="70"/>
      <c r="G195" s="37"/>
      <c r="H195" s="70"/>
      <c r="I195" s="70"/>
      <c r="J195" s="37"/>
      <c r="K195" s="70"/>
      <c r="L195" s="70"/>
      <c r="M195" s="70"/>
      <c r="N195" s="70"/>
      <c r="O195" s="70"/>
    </row>
    <row r="196" spans="1:15" x14ac:dyDescent="0.25">
      <c r="A196" s="37"/>
      <c r="B196" s="78"/>
      <c r="C196" s="70"/>
      <c r="D196" s="37"/>
      <c r="E196" s="70"/>
      <c r="F196" s="70"/>
      <c r="G196" s="37"/>
      <c r="H196" s="70"/>
      <c r="I196" s="70"/>
      <c r="J196" s="37"/>
      <c r="K196" s="70"/>
      <c r="L196" s="70"/>
      <c r="M196" s="70"/>
      <c r="N196" s="70"/>
      <c r="O196" s="70"/>
    </row>
    <row r="197" spans="1:15" x14ac:dyDescent="0.25">
      <c r="A197" s="37"/>
      <c r="B197" s="78"/>
      <c r="C197" s="70"/>
      <c r="D197" s="37"/>
      <c r="E197" s="70"/>
      <c r="F197" s="70"/>
      <c r="G197" s="37"/>
      <c r="H197" s="70"/>
      <c r="I197" s="70"/>
      <c r="J197" s="37"/>
      <c r="K197" s="70"/>
      <c r="L197" s="70"/>
      <c r="M197" s="70"/>
      <c r="N197" s="70"/>
      <c r="O197" s="70"/>
    </row>
    <row r="198" spans="1:15" x14ac:dyDescent="0.25">
      <c r="A198" s="37"/>
      <c r="B198" s="78"/>
      <c r="C198" s="70"/>
      <c r="D198" s="37"/>
      <c r="E198" s="70"/>
      <c r="F198" s="70"/>
      <c r="G198" s="37"/>
      <c r="H198" s="70"/>
      <c r="I198" s="70"/>
      <c r="J198" s="37"/>
      <c r="K198" s="70"/>
      <c r="L198" s="70"/>
      <c r="M198" s="70"/>
      <c r="N198" s="70"/>
      <c r="O198" s="70"/>
    </row>
    <row r="199" spans="1:15" x14ac:dyDescent="0.25">
      <c r="A199" s="37"/>
      <c r="B199" s="78"/>
      <c r="C199" s="70"/>
      <c r="D199" s="37"/>
      <c r="E199" s="70"/>
      <c r="F199" s="70"/>
      <c r="G199" s="37"/>
      <c r="H199" s="70"/>
      <c r="I199" s="70"/>
      <c r="J199" s="37"/>
      <c r="K199" s="70"/>
      <c r="L199" s="70"/>
      <c r="M199" s="70"/>
      <c r="N199" s="70"/>
      <c r="O199" s="70"/>
    </row>
    <row r="200" spans="1:15" x14ac:dyDescent="0.25">
      <c r="A200" s="37"/>
      <c r="B200" s="78"/>
      <c r="C200" s="70"/>
      <c r="D200" s="37"/>
      <c r="E200" s="70"/>
      <c r="F200" s="70"/>
      <c r="G200" s="37"/>
      <c r="H200" s="70"/>
      <c r="I200" s="70"/>
      <c r="J200" s="37"/>
      <c r="K200" s="70"/>
      <c r="L200" s="70"/>
      <c r="M200" s="70"/>
      <c r="N200" s="70"/>
      <c r="O200" s="70"/>
    </row>
    <row r="201" spans="1:15" x14ac:dyDescent="0.25">
      <c r="A201" s="37"/>
      <c r="B201" s="78"/>
      <c r="C201" s="70"/>
      <c r="D201" s="37"/>
      <c r="E201" s="70"/>
      <c r="F201" s="70"/>
      <c r="G201" s="37"/>
      <c r="H201" s="70"/>
      <c r="I201" s="70"/>
      <c r="J201" s="37"/>
      <c r="K201" s="70"/>
      <c r="L201" s="70"/>
      <c r="M201" s="70"/>
      <c r="N201" s="70"/>
      <c r="O201" s="70"/>
    </row>
    <row r="202" spans="1:15" x14ac:dyDescent="0.25">
      <c r="A202" s="37"/>
      <c r="B202" s="78"/>
      <c r="C202" s="70"/>
      <c r="D202" s="37"/>
      <c r="E202" s="70"/>
      <c r="F202" s="70"/>
      <c r="G202" s="37"/>
      <c r="H202" s="70"/>
      <c r="I202" s="70"/>
      <c r="J202" s="37"/>
      <c r="K202" s="70"/>
      <c r="L202" s="70"/>
      <c r="M202" s="70"/>
      <c r="N202" s="70"/>
      <c r="O202" s="70"/>
    </row>
    <row r="203" spans="1:15" x14ac:dyDescent="0.25">
      <c r="A203" s="37"/>
      <c r="B203" s="78"/>
      <c r="C203" s="70"/>
      <c r="D203" s="37"/>
      <c r="E203" s="70"/>
      <c r="F203" s="70"/>
      <c r="G203" s="37"/>
      <c r="H203" s="70"/>
      <c r="I203" s="70"/>
      <c r="J203" s="37"/>
      <c r="K203" s="70"/>
      <c r="L203" s="70"/>
      <c r="M203" s="70"/>
      <c r="N203" s="70"/>
      <c r="O203" s="70"/>
    </row>
    <row r="204" spans="1:15" x14ac:dyDescent="0.25">
      <c r="A204" s="37"/>
      <c r="B204" s="78"/>
      <c r="C204" s="70"/>
      <c r="D204" s="37"/>
      <c r="E204" s="70"/>
      <c r="F204" s="70"/>
      <c r="G204" s="37"/>
      <c r="H204" s="70"/>
      <c r="I204" s="70"/>
      <c r="J204" s="37"/>
      <c r="K204" s="70"/>
      <c r="L204" s="70"/>
      <c r="M204" s="70"/>
      <c r="N204" s="70"/>
      <c r="O204" s="70"/>
    </row>
    <row r="205" spans="1:15" x14ac:dyDescent="0.25">
      <c r="A205" s="37"/>
      <c r="B205" s="78"/>
      <c r="C205" s="70"/>
      <c r="D205" s="37"/>
      <c r="E205" s="70"/>
      <c r="F205" s="70"/>
      <c r="G205" s="37"/>
      <c r="H205" s="70"/>
      <c r="I205" s="70"/>
      <c r="J205" s="37"/>
      <c r="K205" s="70"/>
      <c r="L205" s="70"/>
      <c r="M205" s="70"/>
      <c r="N205" s="70"/>
      <c r="O205" s="70"/>
    </row>
    <row r="206" spans="1:15" x14ac:dyDescent="0.25">
      <c r="A206" s="37"/>
      <c r="B206" s="78"/>
      <c r="C206" s="70"/>
      <c r="D206" s="37"/>
      <c r="E206" s="70"/>
      <c r="F206" s="70"/>
      <c r="G206" s="37"/>
      <c r="H206" s="70"/>
      <c r="I206" s="70"/>
      <c r="J206" s="37"/>
      <c r="K206" s="70"/>
      <c r="L206" s="70"/>
      <c r="M206" s="70"/>
      <c r="N206" s="70"/>
      <c r="O206" s="70"/>
    </row>
    <row r="207" spans="1:15" x14ac:dyDescent="0.25">
      <c r="A207" s="37"/>
      <c r="B207" s="78"/>
      <c r="C207" s="70"/>
      <c r="D207" s="37"/>
      <c r="E207" s="70"/>
      <c r="F207" s="70"/>
      <c r="G207" s="37"/>
      <c r="H207" s="70"/>
      <c r="I207" s="70"/>
      <c r="J207" s="37"/>
      <c r="K207" s="70"/>
      <c r="L207" s="70"/>
      <c r="M207" s="70"/>
      <c r="N207" s="70"/>
      <c r="O207" s="70"/>
    </row>
    <row r="208" spans="1:15" x14ac:dyDescent="0.25">
      <c r="A208" s="37"/>
      <c r="B208" s="78"/>
      <c r="C208" s="70"/>
      <c r="D208" s="37"/>
      <c r="E208" s="70"/>
      <c r="F208" s="70"/>
      <c r="G208" s="37"/>
      <c r="H208" s="70"/>
      <c r="I208" s="70"/>
      <c r="J208" s="37"/>
      <c r="K208" s="70"/>
      <c r="L208" s="70"/>
      <c r="M208" s="70"/>
      <c r="N208" s="70"/>
      <c r="O208" s="70"/>
    </row>
    <row r="209" spans="1:15" x14ac:dyDescent="0.25">
      <c r="A209" s="37"/>
      <c r="B209" s="78"/>
      <c r="C209" s="70"/>
      <c r="D209" s="37"/>
      <c r="E209" s="70"/>
      <c r="F209" s="70"/>
      <c r="G209" s="37"/>
      <c r="H209" s="70"/>
      <c r="I209" s="70"/>
      <c r="J209" s="37"/>
      <c r="K209" s="70"/>
      <c r="L209" s="70"/>
      <c r="M209" s="70"/>
      <c r="N209" s="70"/>
      <c r="O209" s="70"/>
    </row>
    <row r="210" spans="1:15" x14ac:dyDescent="0.25">
      <c r="A210" s="37"/>
      <c r="B210" s="78"/>
      <c r="C210" s="70"/>
      <c r="D210" s="37"/>
      <c r="E210" s="70"/>
      <c r="F210" s="70"/>
      <c r="G210" s="37"/>
      <c r="H210" s="70"/>
      <c r="I210" s="70"/>
      <c r="J210" s="37"/>
      <c r="K210" s="70"/>
      <c r="L210" s="70"/>
      <c r="M210" s="70"/>
      <c r="N210" s="70"/>
      <c r="O210" s="70"/>
    </row>
    <row r="211" spans="1:15" x14ac:dyDescent="0.25">
      <c r="A211" s="37"/>
      <c r="B211" s="78"/>
      <c r="C211" s="70"/>
      <c r="D211" s="37"/>
      <c r="E211" s="70"/>
      <c r="F211" s="70"/>
      <c r="G211" s="37"/>
      <c r="H211" s="70"/>
      <c r="I211" s="70"/>
      <c r="J211" s="37"/>
      <c r="K211" s="70"/>
      <c r="L211" s="70"/>
      <c r="M211" s="70"/>
      <c r="N211" s="70"/>
      <c r="O211" s="70"/>
    </row>
    <row r="212" spans="1:15" x14ac:dyDescent="0.25">
      <c r="A212" s="37"/>
      <c r="B212" s="78"/>
      <c r="C212" s="70"/>
      <c r="D212" s="37"/>
      <c r="E212" s="70"/>
      <c r="F212" s="70"/>
      <c r="G212" s="37"/>
      <c r="H212" s="70"/>
      <c r="I212" s="70"/>
      <c r="J212" s="37"/>
      <c r="K212" s="70"/>
      <c r="L212" s="70"/>
      <c r="M212" s="70"/>
      <c r="N212" s="70"/>
      <c r="O212" s="70"/>
    </row>
    <row r="213" spans="1:15" x14ac:dyDescent="0.25">
      <c r="A213" s="37"/>
      <c r="B213" s="78"/>
      <c r="C213" s="70"/>
      <c r="D213" s="37"/>
      <c r="E213" s="70"/>
      <c r="F213" s="70"/>
      <c r="G213" s="37"/>
      <c r="H213" s="70"/>
      <c r="I213" s="70"/>
      <c r="J213" s="37"/>
      <c r="K213" s="70"/>
      <c r="L213" s="70"/>
      <c r="M213" s="70"/>
      <c r="N213" s="70"/>
      <c r="O213" s="70"/>
    </row>
    <row r="214" spans="1:15" x14ac:dyDescent="0.25">
      <c r="A214" s="37"/>
      <c r="B214" s="78"/>
      <c r="C214" s="70"/>
      <c r="D214" s="37"/>
      <c r="E214" s="70"/>
      <c r="F214" s="70"/>
      <c r="G214" s="37"/>
      <c r="H214" s="70"/>
      <c r="I214" s="70"/>
      <c r="J214" s="37"/>
      <c r="K214" s="70"/>
      <c r="L214" s="70"/>
      <c r="M214" s="70"/>
      <c r="N214" s="70"/>
      <c r="O214" s="70"/>
    </row>
    <row r="215" spans="1:15" x14ac:dyDescent="0.25">
      <c r="A215" s="37"/>
      <c r="B215" s="78"/>
      <c r="C215" s="70"/>
      <c r="D215" s="37"/>
      <c r="E215" s="70"/>
      <c r="F215" s="70"/>
      <c r="G215" s="37"/>
      <c r="H215" s="70"/>
      <c r="I215" s="70"/>
      <c r="J215" s="37"/>
      <c r="K215" s="70"/>
      <c r="L215" s="70"/>
      <c r="M215" s="70"/>
      <c r="N215" s="70"/>
      <c r="O215" s="70"/>
    </row>
    <row r="216" spans="1:15" x14ac:dyDescent="0.25">
      <c r="A216" s="37"/>
      <c r="B216" s="78"/>
      <c r="C216" s="70"/>
      <c r="D216" s="37"/>
      <c r="E216" s="70"/>
      <c r="F216" s="70"/>
      <c r="G216" s="37"/>
      <c r="H216" s="70"/>
      <c r="I216" s="70"/>
      <c r="J216" s="37"/>
      <c r="K216" s="70"/>
      <c r="L216" s="70"/>
      <c r="M216" s="70"/>
      <c r="N216" s="70"/>
      <c r="O216" s="70"/>
    </row>
    <row r="217" spans="1:15" x14ac:dyDescent="0.25">
      <c r="A217" s="37"/>
      <c r="B217" s="78"/>
      <c r="C217" s="70"/>
      <c r="D217" s="37"/>
      <c r="E217" s="70"/>
      <c r="F217" s="70"/>
      <c r="G217" s="37"/>
      <c r="H217" s="70"/>
      <c r="I217" s="70"/>
      <c r="J217" s="37"/>
      <c r="K217" s="70"/>
      <c r="L217" s="70"/>
      <c r="M217" s="70"/>
      <c r="N217" s="70"/>
      <c r="O217" s="70"/>
    </row>
    <row r="218" spans="1:15" x14ac:dyDescent="0.25">
      <c r="A218" s="37"/>
      <c r="B218" s="78"/>
      <c r="C218" s="70"/>
      <c r="D218" s="37"/>
      <c r="E218" s="70"/>
      <c r="F218" s="70"/>
      <c r="G218" s="37"/>
      <c r="H218" s="70"/>
      <c r="I218" s="70"/>
      <c r="J218" s="37"/>
      <c r="K218" s="70"/>
      <c r="L218" s="70"/>
      <c r="M218" s="70"/>
      <c r="N218" s="70"/>
      <c r="O218" s="70"/>
    </row>
    <row r="219" spans="1:15" x14ac:dyDescent="0.25">
      <c r="A219" s="37"/>
      <c r="B219" s="78"/>
      <c r="C219" s="70"/>
      <c r="D219" s="37"/>
      <c r="E219" s="70"/>
      <c r="F219" s="70"/>
      <c r="G219" s="37"/>
      <c r="H219" s="70"/>
      <c r="I219" s="70"/>
      <c r="J219" s="37"/>
      <c r="K219" s="70"/>
      <c r="L219" s="70"/>
      <c r="M219" s="70"/>
      <c r="N219" s="70"/>
      <c r="O219" s="70"/>
    </row>
    <row r="220" spans="1:15" x14ac:dyDescent="0.25">
      <c r="A220" s="37"/>
      <c r="B220" s="78"/>
      <c r="C220" s="70"/>
      <c r="D220" s="37"/>
      <c r="E220" s="70"/>
      <c r="F220" s="70"/>
      <c r="G220" s="37"/>
      <c r="H220" s="70"/>
      <c r="I220" s="70"/>
      <c r="J220" s="37"/>
      <c r="K220" s="70"/>
      <c r="L220" s="70"/>
      <c r="M220" s="70"/>
      <c r="N220" s="70"/>
      <c r="O220" s="70"/>
    </row>
    <row r="221" spans="1:15" x14ac:dyDescent="0.25">
      <c r="A221" s="37"/>
      <c r="B221" s="78"/>
      <c r="C221" s="70"/>
      <c r="D221" s="37"/>
      <c r="E221" s="70"/>
      <c r="F221" s="70"/>
      <c r="G221" s="37"/>
      <c r="H221" s="70"/>
      <c r="I221" s="70"/>
      <c r="J221" s="37"/>
      <c r="K221" s="70"/>
      <c r="L221" s="70"/>
      <c r="M221" s="70"/>
      <c r="N221" s="70"/>
      <c r="O221" s="70"/>
    </row>
    <row r="222" spans="1:15" x14ac:dyDescent="0.25">
      <c r="A222" s="37"/>
      <c r="B222" s="78"/>
      <c r="C222" s="70"/>
      <c r="D222" s="37"/>
      <c r="E222" s="70"/>
      <c r="F222" s="70"/>
      <c r="G222" s="37"/>
      <c r="H222" s="70"/>
      <c r="I222" s="70"/>
      <c r="J222" s="37"/>
      <c r="K222" s="70"/>
      <c r="L222" s="70"/>
      <c r="M222" s="70"/>
      <c r="N222" s="70"/>
      <c r="O222" s="70"/>
    </row>
    <row r="223" spans="1:15" x14ac:dyDescent="0.25">
      <c r="A223" s="37"/>
      <c r="B223" s="78"/>
      <c r="C223" s="70"/>
      <c r="D223" s="37"/>
      <c r="E223" s="70"/>
      <c r="F223" s="70"/>
      <c r="G223" s="37"/>
      <c r="H223" s="70"/>
      <c r="I223" s="70"/>
      <c r="J223" s="37"/>
      <c r="K223" s="70"/>
      <c r="L223" s="70"/>
      <c r="M223" s="70"/>
      <c r="N223" s="70"/>
      <c r="O223" s="70"/>
    </row>
    <row r="224" spans="1:15" x14ac:dyDescent="0.25">
      <c r="A224" s="37"/>
      <c r="B224" s="78"/>
      <c r="C224" s="70"/>
      <c r="D224" s="37"/>
      <c r="E224" s="70"/>
      <c r="F224" s="70"/>
      <c r="G224" s="37"/>
      <c r="H224" s="70"/>
      <c r="I224" s="70"/>
      <c r="J224" s="37"/>
      <c r="K224" s="70"/>
      <c r="L224" s="70"/>
      <c r="M224" s="70"/>
      <c r="N224" s="70"/>
      <c r="O224" s="70"/>
    </row>
    <row r="225" spans="1:15" x14ac:dyDescent="0.25">
      <c r="A225" s="37"/>
      <c r="B225" s="78"/>
      <c r="C225" s="70"/>
      <c r="D225" s="37"/>
      <c r="E225" s="70"/>
      <c r="F225" s="70"/>
      <c r="G225" s="37"/>
      <c r="H225" s="70"/>
      <c r="I225" s="70"/>
      <c r="J225" s="37"/>
      <c r="K225" s="70"/>
      <c r="L225" s="70"/>
      <c r="M225" s="70"/>
      <c r="N225" s="70"/>
      <c r="O225" s="70"/>
    </row>
    <row r="226" spans="1:15" x14ac:dyDescent="0.25">
      <c r="A226" s="37"/>
      <c r="B226" s="78"/>
      <c r="C226" s="70"/>
      <c r="D226" s="37"/>
      <c r="E226" s="70"/>
      <c r="F226" s="70"/>
      <c r="G226" s="37"/>
      <c r="H226" s="70"/>
      <c r="I226" s="70"/>
      <c r="J226" s="37"/>
      <c r="K226" s="70"/>
      <c r="L226" s="70"/>
      <c r="M226" s="70"/>
      <c r="N226" s="70"/>
      <c r="O226" s="70"/>
    </row>
    <row r="227" spans="1:15" x14ac:dyDescent="0.25">
      <c r="A227" s="37"/>
      <c r="B227" s="78"/>
      <c r="C227" s="70"/>
      <c r="D227" s="37"/>
      <c r="E227" s="70"/>
      <c r="F227" s="70"/>
      <c r="G227" s="37"/>
      <c r="H227" s="70"/>
      <c r="I227" s="70"/>
      <c r="J227" s="37"/>
      <c r="K227" s="70"/>
      <c r="L227" s="70"/>
      <c r="M227" s="70"/>
      <c r="N227" s="70"/>
      <c r="O227" s="70"/>
    </row>
    <row r="228" spans="1:15" x14ac:dyDescent="0.25">
      <c r="A228" s="37"/>
      <c r="B228" s="78"/>
      <c r="C228" s="70"/>
      <c r="D228" s="37"/>
      <c r="E228" s="70"/>
      <c r="F228" s="70"/>
      <c r="G228" s="37"/>
      <c r="H228" s="70"/>
      <c r="I228" s="70"/>
      <c r="J228" s="37"/>
      <c r="K228" s="70"/>
      <c r="L228" s="70"/>
      <c r="M228" s="70"/>
      <c r="N228" s="70"/>
      <c r="O228" s="70"/>
    </row>
    <row r="229" spans="1:15" x14ac:dyDescent="0.25">
      <c r="A229" s="37"/>
      <c r="B229" s="78"/>
      <c r="C229" s="70"/>
      <c r="D229" s="37"/>
      <c r="E229" s="70"/>
      <c r="F229" s="70"/>
      <c r="G229" s="37"/>
      <c r="H229" s="70"/>
      <c r="I229" s="70"/>
      <c r="J229" s="37"/>
      <c r="K229" s="70"/>
      <c r="L229" s="70"/>
      <c r="M229" s="70"/>
      <c r="N229" s="70"/>
      <c r="O229" s="70"/>
    </row>
    <row r="230" spans="1:15" x14ac:dyDescent="0.25">
      <c r="A230" s="37"/>
      <c r="B230" s="78"/>
      <c r="C230" s="70"/>
      <c r="D230" s="37"/>
      <c r="E230" s="70"/>
      <c r="F230" s="70"/>
      <c r="G230" s="37"/>
      <c r="H230" s="70"/>
      <c r="I230" s="70"/>
      <c r="J230" s="37"/>
      <c r="K230" s="70"/>
      <c r="L230" s="70"/>
      <c r="M230" s="70"/>
      <c r="N230" s="70"/>
      <c r="O230" s="70"/>
    </row>
    <row r="231" spans="1:15" x14ac:dyDescent="0.25">
      <c r="A231" s="37"/>
      <c r="B231" s="78"/>
      <c r="C231" s="70"/>
      <c r="D231" s="37"/>
      <c r="E231" s="70"/>
      <c r="F231" s="70"/>
      <c r="G231" s="37"/>
      <c r="H231" s="70"/>
      <c r="I231" s="70"/>
      <c r="J231" s="37"/>
      <c r="K231" s="70"/>
      <c r="L231" s="70"/>
      <c r="M231" s="70"/>
      <c r="N231" s="70"/>
      <c r="O231" s="70"/>
    </row>
    <row r="232" spans="1:15" x14ac:dyDescent="0.25">
      <c r="A232" s="37"/>
      <c r="B232" s="78"/>
      <c r="C232" s="70"/>
      <c r="D232" s="37"/>
      <c r="E232" s="70"/>
      <c r="F232" s="70"/>
      <c r="G232" s="37"/>
      <c r="H232" s="70"/>
      <c r="I232" s="70"/>
      <c r="J232" s="37"/>
      <c r="K232" s="70"/>
      <c r="L232" s="70"/>
      <c r="M232" s="70"/>
      <c r="N232" s="70"/>
      <c r="O232" s="70"/>
    </row>
    <row r="233" spans="1:15" x14ac:dyDescent="0.25">
      <c r="A233" s="37"/>
      <c r="B233" s="78"/>
      <c r="C233" s="70"/>
      <c r="D233" s="37"/>
      <c r="E233" s="70"/>
      <c r="F233" s="70"/>
      <c r="G233" s="37"/>
      <c r="H233" s="70"/>
      <c r="I233" s="70"/>
      <c r="J233" s="37"/>
      <c r="K233" s="70"/>
      <c r="L233" s="70"/>
      <c r="M233" s="70"/>
      <c r="N233" s="70"/>
      <c r="O233" s="70"/>
    </row>
    <row r="234" spans="1:15" x14ac:dyDescent="0.25">
      <c r="A234" s="37"/>
      <c r="B234" s="78"/>
      <c r="C234" s="70"/>
      <c r="D234" s="37"/>
      <c r="E234" s="70"/>
      <c r="F234" s="70"/>
      <c r="G234" s="37"/>
      <c r="H234" s="70"/>
      <c r="I234" s="70"/>
      <c r="J234" s="37"/>
      <c r="K234" s="70"/>
      <c r="L234" s="70"/>
      <c r="M234" s="70"/>
      <c r="N234" s="70"/>
      <c r="O234" s="70"/>
    </row>
    <row r="235" spans="1:15" x14ac:dyDescent="0.25">
      <c r="A235" s="37"/>
      <c r="B235" s="78"/>
      <c r="C235" s="70"/>
      <c r="D235" s="37"/>
      <c r="E235" s="70"/>
      <c r="F235" s="70"/>
      <c r="G235" s="37"/>
      <c r="H235" s="70"/>
      <c r="I235" s="70"/>
      <c r="J235" s="37"/>
      <c r="K235" s="70"/>
      <c r="L235" s="70"/>
      <c r="M235" s="70"/>
      <c r="N235" s="70"/>
      <c r="O235" s="70"/>
    </row>
    <row r="236" spans="1:15" x14ac:dyDescent="0.25">
      <c r="A236" s="37"/>
      <c r="B236" s="78"/>
      <c r="C236" s="70"/>
      <c r="D236" s="37"/>
      <c r="E236" s="70"/>
      <c r="F236" s="70"/>
      <c r="G236" s="37"/>
      <c r="H236" s="70"/>
      <c r="I236" s="70"/>
      <c r="J236" s="37"/>
      <c r="K236" s="70"/>
      <c r="L236" s="70"/>
      <c r="M236" s="70"/>
      <c r="N236" s="70"/>
      <c r="O236" s="70"/>
    </row>
    <row r="237" spans="1:15" x14ac:dyDescent="0.25">
      <c r="A237" s="37"/>
      <c r="B237" s="78"/>
      <c r="C237" s="70"/>
      <c r="D237" s="37"/>
      <c r="E237" s="70"/>
      <c r="F237" s="70"/>
      <c r="G237" s="37"/>
      <c r="H237" s="70"/>
      <c r="I237" s="70"/>
      <c r="J237" s="37"/>
      <c r="K237" s="70"/>
      <c r="L237" s="70"/>
      <c r="M237" s="70"/>
      <c r="N237" s="70"/>
      <c r="O237" s="70"/>
    </row>
    <row r="238" spans="1:15" x14ac:dyDescent="0.25">
      <c r="A238" s="37"/>
      <c r="B238" s="78"/>
      <c r="C238" s="70"/>
      <c r="D238" s="37"/>
      <c r="E238" s="70"/>
      <c r="F238" s="70"/>
      <c r="G238" s="37"/>
      <c r="H238" s="70"/>
      <c r="I238" s="70"/>
      <c r="J238" s="37"/>
      <c r="K238" s="70"/>
      <c r="L238" s="70"/>
      <c r="M238" s="70"/>
      <c r="N238" s="70"/>
      <c r="O238" s="70"/>
    </row>
    <row r="239" spans="1:15" x14ac:dyDescent="0.25">
      <c r="A239" s="37"/>
      <c r="B239" s="78"/>
      <c r="C239" s="70"/>
      <c r="D239" s="37"/>
      <c r="E239" s="70"/>
      <c r="F239" s="70"/>
      <c r="G239" s="37"/>
      <c r="H239" s="70"/>
      <c r="I239" s="70"/>
      <c r="J239" s="37"/>
      <c r="K239" s="70"/>
      <c r="L239" s="70"/>
      <c r="M239" s="70"/>
      <c r="N239" s="70"/>
      <c r="O239" s="70"/>
    </row>
    <row r="240" spans="1:15" x14ac:dyDescent="0.25">
      <c r="A240" s="37"/>
      <c r="B240" s="78"/>
      <c r="C240" s="70"/>
      <c r="D240" s="37"/>
      <c r="E240" s="70"/>
      <c r="F240" s="70"/>
      <c r="G240" s="37"/>
      <c r="H240" s="70"/>
      <c r="I240" s="70"/>
      <c r="J240" s="37"/>
      <c r="K240" s="70"/>
      <c r="L240" s="70"/>
      <c r="M240" s="70"/>
      <c r="N240" s="70"/>
      <c r="O240" s="70"/>
    </row>
    <row r="241" spans="1:15" x14ac:dyDescent="0.25">
      <c r="A241" s="37"/>
      <c r="B241" s="78"/>
      <c r="C241" s="70"/>
      <c r="D241" s="37"/>
      <c r="E241" s="70"/>
      <c r="F241" s="70"/>
      <c r="G241" s="37"/>
      <c r="H241" s="70"/>
      <c r="I241" s="70"/>
      <c r="J241" s="37"/>
      <c r="K241" s="70"/>
      <c r="L241" s="70"/>
      <c r="M241" s="70"/>
      <c r="N241" s="70"/>
      <c r="O241" s="70"/>
    </row>
    <row r="242" spans="1:15" x14ac:dyDescent="0.25">
      <c r="A242" s="37"/>
      <c r="B242" s="78"/>
      <c r="C242" s="70"/>
      <c r="D242" s="37"/>
      <c r="E242" s="70"/>
      <c r="F242" s="70"/>
      <c r="G242" s="37"/>
      <c r="H242" s="70"/>
      <c r="I242" s="70"/>
      <c r="J242" s="37"/>
      <c r="K242" s="70"/>
      <c r="L242" s="70"/>
      <c r="M242" s="70"/>
      <c r="N242" s="70"/>
      <c r="O242" s="70"/>
    </row>
    <row r="243" spans="1:15" x14ac:dyDescent="0.25">
      <c r="A243" s="37"/>
      <c r="B243" s="78"/>
      <c r="C243" s="70"/>
      <c r="D243" s="37"/>
      <c r="E243" s="70"/>
      <c r="F243" s="70"/>
      <c r="G243" s="37"/>
      <c r="H243" s="70"/>
      <c r="I243" s="70"/>
      <c r="J243" s="37"/>
      <c r="K243" s="70"/>
      <c r="L243" s="70"/>
      <c r="M243" s="70"/>
      <c r="N243" s="70"/>
      <c r="O243" s="70"/>
    </row>
    <row r="244" spans="1:15" x14ac:dyDescent="0.25">
      <c r="A244" s="37"/>
      <c r="B244" s="78"/>
      <c r="C244" s="70"/>
      <c r="D244" s="37"/>
      <c r="E244" s="70"/>
      <c r="F244" s="70"/>
      <c r="G244" s="37"/>
      <c r="H244" s="70"/>
      <c r="I244" s="70"/>
      <c r="J244" s="37"/>
      <c r="K244" s="70"/>
      <c r="L244" s="70"/>
      <c r="M244" s="70"/>
      <c r="N244" s="70"/>
      <c r="O244" s="70"/>
    </row>
    <row r="245" spans="1:15" x14ac:dyDescent="0.25">
      <c r="A245" s="37"/>
      <c r="B245" s="78"/>
      <c r="C245" s="70"/>
      <c r="D245" s="37"/>
      <c r="E245" s="70"/>
      <c r="F245" s="70"/>
      <c r="G245" s="37"/>
      <c r="H245" s="70"/>
      <c r="I245" s="70"/>
      <c r="J245" s="37"/>
      <c r="K245" s="70"/>
      <c r="L245" s="70"/>
      <c r="M245" s="70"/>
      <c r="N245" s="70"/>
      <c r="O245" s="70"/>
    </row>
    <row r="246" spans="1:15" x14ac:dyDescent="0.25">
      <c r="A246" s="37"/>
      <c r="B246" s="78"/>
      <c r="C246" s="70"/>
      <c r="D246" s="37"/>
      <c r="E246" s="70"/>
      <c r="F246" s="70"/>
      <c r="G246" s="37"/>
      <c r="H246" s="70"/>
      <c r="I246" s="70"/>
      <c r="J246" s="37"/>
      <c r="K246" s="70"/>
      <c r="L246" s="70"/>
      <c r="M246" s="70"/>
      <c r="N246" s="70"/>
      <c r="O246" s="70"/>
    </row>
    <row r="247" spans="1:15" x14ac:dyDescent="0.25">
      <c r="A247" s="37"/>
      <c r="B247" s="78"/>
      <c r="C247" s="70"/>
      <c r="D247" s="37"/>
      <c r="E247" s="70"/>
      <c r="F247" s="70"/>
      <c r="G247" s="37"/>
      <c r="H247" s="70"/>
      <c r="I247" s="70"/>
      <c r="J247" s="37"/>
      <c r="K247" s="70"/>
      <c r="L247" s="70"/>
      <c r="M247" s="70"/>
      <c r="N247" s="70"/>
      <c r="O247" s="70"/>
    </row>
    <row r="248" spans="1:15" x14ac:dyDescent="0.25">
      <c r="A248" s="37"/>
      <c r="B248" s="78"/>
      <c r="C248" s="70"/>
      <c r="D248" s="37"/>
      <c r="E248" s="70"/>
      <c r="F248" s="70"/>
      <c r="G248" s="37"/>
      <c r="H248" s="70"/>
      <c r="I248" s="70"/>
      <c r="J248" s="37"/>
      <c r="K248" s="70"/>
      <c r="L248" s="70"/>
      <c r="M248" s="70"/>
      <c r="N248" s="70"/>
      <c r="O248" s="70"/>
    </row>
    <row r="249" spans="1:15" x14ac:dyDescent="0.25">
      <c r="A249" s="37"/>
      <c r="B249" s="78"/>
      <c r="C249" s="70"/>
      <c r="D249" s="37"/>
      <c r="E249" s="70"/>
      <c r="F249" s="70"/>
      <c r="G249" s="37"/>
      <c r="H249" s="70"/>
      <c r="I249" s="70"/>
      <c r="J249" s="37"/>
      <c r="K249" s="70"/>
      <c r="L249" s="70"/>
      <c r="M249" s="70"/>
      <c r="N249" s="70"/>
      <c r="O249" s="70"/>
    </row>
    <row r="250" spans="1:15" x14ac:dyDescent="0.25">
      <c r="A250" s="37"/>
      <c r="B250" s="78"/>
      <c r="C250" s="70"/>
      <c r="D250" s="37"/>
      <c r="E250" s="70"/>
      <c r="F250" s="70"/>
      <c r="G250" s="37"/>
      <c r="H250" s="70"/>
      <c r="I250" s="70"/>
      <c r="J250" s="37"/>
      <c r="K250" s="70"/>
      <c r="L250" s="70"/>
      <c r="M250" s="70"/>
      <c r="N250" s="70"/>
      <c r="O250" s="70"/>
    </row>
    <row r="251" spans="1:15" x14ac:dyDescent="0.25">
      <c r="A251" s="37"/>
      <c r="B251" s="78"/>
      <c r="C251" s="70"/>
      <c r="D251" s="37"/>
      <c r="E251" s="70"/>
      <c r="F251" s="70"/>
      <c r="G251" s="37"/>
      <c r="H251" s="70"/>
      <c r="I251" s="70"/>
      <c r="J251" s="37"/>
      <c r="K251" s="70"/>
      <c r="L251" s="70"/>
      <c r="M251" s="70"/>
      <c r="N251" s="70"/>
      <c r="O251" s="70"/>
    </row>
    <row r="252" spans="1:15" x14ac:dyDescent="0.25">
      <c r="A252" s="37"/>
      <c r="B252" s="78"/>
      <c r="C252" s="70"/>
      <c r="D252" s="37"/>
      <c r="E252" s="70"/>
      <c r="F252" s="70"/>
      <c r="G252" s="37"/>
      <c r="H252" s="70"/>
      <c r="I252" s="70"/>
      <c r="J252" s="37"/>
      <c r="K252" s="70"/>
      <c r="L252" s="70"/>
      <c r="M252" s="70"/>
      <c r="N252" s="70"/>
      <c r="O252" s="70"/>
    </row>
    <row r="253" spans="1:15" x14ac:dyDescent="0.25">
      <c r="A253" s="37"/>
      <c r="B253" s="78"/>
      <c r="C253" s="70"/>
      <c r="D253" s="37"/>
      <c r="E253" s="70"/>
      <c r="F253" s="70"/>
      <c r="G253" s="37"/>
      <c r="H253" s="70"/>
      <c r="I253" s="70"/>
      <c r="J253" s="37"/>
      <c r="K253" s="70"/>
      <c r="L253" s="70"/>
      <c r="M253" s="70"/>
      <c r="N253" s="70"/>
      <c r="O253" s="70"/>
    </row>
    <row r="254" spans="1:15" x14ac:dyDescent="0.25">
      <c r="A254" s="37"/>
      <c r="B254" s="78"/>
      <c r="C254" s="70"/>
      <c r="D254" s="37"/>
      <c r="E254" s="70"/>
      <c r="F254" s="70"/>
      <c r="G254" s="37"/>
      <c r="H254" s="70"/>
      <c r="I254" s="70"/>
      <c r="J254" s="37"/>
      <c r="K254" s="70"/>
      <c r="L254" s="70"/>
      <c r="M254" s="70"/>
      <c r="N254" s="70"/>
      <c r="O254" s="70"/>
    </row>
    <row r="255" spans="1:15" x14ac:dyDescent="0.25">
      <c r="A255" s="37"/>
      <c r="B255" s="78"/>
      <c r="C255" s="70"/>
      <c r="D255" s="37"/>
      <c r="E255" s="70"/>
      <c r="F255" s="70"/>
      <c r="G255" s="37"/>
      <c r="H255" s="70"/>
      <c r="I255" s="70"/>
      <c r="J255" s="37"/>
      <c r="K255" s="70"/>
      <c r="L255" s="70"/>
      <c r="M255" s="70"/>
      <c r="N255" s="70"/>
      <c r="O255" s="70"/>
    </row>
    <row r="256" spans="1:15" x14ac:dyDescent="0.25">
      <c r="A256" s="37"/>
      <c r="B256" s="78"/>
      <c r="C256" s="70"/>
      <c r="D256" s="37"/>
      <c r="E256" s="70"/>
      <c r="F256" s="70"/>
      <c r="G256" s="37"/>
      <c r="H256" s="70"/>
      <c r="I256" s="70"/>
      <c r="J256" s="37"/>
      <c r="K256" s="70"/>
      <c r="L256" s="70"/>
      <c r="M256" s="70"/>
      <c r="N256" s="70"/>
      <c r="O256" s="70"/>
    </row>
    <row r="257" spans="1:15" x14ac:dyDescent="0.25">
      <c r="A257" s="37"/>
      <c r="B257" s="78"/>
      <c r="C257" s="70"/>
      <c r="D257" s="37"/>
      <c r="E257" s="70"/>
      <c r="F257" s="70"/>
      <c r="G257" s="37"/>
      <c r="H257" s="70"/>
      <c r="I257" s="70"/>
      <c r="J257" s="37"/>
      <c r="K257" s="70"/>
      <c r="L257" s="70"/>
      <c r="M257" s="70"/>
      <c r="N257" s="70"/>
      <c r="O257" s="70"/>
    </row>
    <row r="258" spans="1:15" x14ac:dyDescent="0.25">
      <c r="A258" s="37"/>
      <c r="B258" s="78"/>
      <c r="C258" s="70"/>
      <c r="D258" s="37"/>
      <c r="E258" s="70"/>
      <c r="F258" s="70"/>
      <c r="G258" s="37"/>
      <c r="H258" s="70"/>
      <c r="I258" s="70"/>
      <c r="J258" s="37"/>
      <c r="K258" s="70"/>
      <c r="L258" s="70"/>
      <c r="M258" s="70"/>
      <c r="N258" s="70"/>
      <c r="O258" s="70"/>
    </row>
    <row r="259" spans="1:15" x14ac:dyDescent="0.25">
      <c r="A259" s="37"/>
      <c r="B259" s="78"/>
      <c r="C259" s="70"/>
      <c r="D259" s="37"/>
      <c r="E259" s="70"/>
      <c r="F259" s="70"/>
      <c r="G259" s="37"/>
      <c r="H259" s="70"/>
      <c r="I259" s="70"/>
      <c r="J259" s="37"/>
      <c r="K259" s="70"/>
      <c r="L259" s="70"/>
      <c r="M259" s="70"/>
      <c r="N259" s="70"/>
      <c r="O259" s="70"/>
    </row>
    <row r="260" spans="1:15" x14ac:dyDescent="0.25">
      <c r="A260" s="37"/>
      <c r="B260" s="78"/>
      <c r="C260" s="70"/>
      <c r="D260" s="37"/>
      <c r="E260" s="70"/>
      <c r="F260" s="70"/>
      <c r="G260" s="37"/>
      <c r="H260" s="70"/>
      <c r="I260" s="70"/>
      <c r="J260" s="37"/>
      <c r="K260" s="70"/>
      <c r="L260" s="70"/>
      <c r="M260" s="70"/>
      <c r="N260" s="70"/>
      <c r="O260" s="70"/>
    </row>
    <row r="261" spans="1:15" x14ac:dyDescent="0.25">
      <c r="A261" s="37"/>
      <c r="B261" s="78"/>
      <c r="C261" s="70"/>
      <c r="D261" s="37"/>
      <c r="E261" s="70"/>
      <c r="F261" s="70"/>
      <c r="G261" s="37"/>
      <c r="H261" s="70"/>
      <c r="I261" s="70"/>
      <c r="J261" s="37"/>
      <c r="K261" s="70"/>
      <c r="L261" s="70"/>
      <c r="M261" s="70"/>
      <c r="N261" s="70"/>
      <c r="O261" s="70"/>
    </row>
    <row r="262" spans="1:15" x14ac:dyDescent="0.25">
      <c r="A262" s="37"/>
      <c r="B262" s="78"/>
      <c r="C262" s="70"/>
      <c r="D262" s="37"/>
      <c r="E262" s="70"/>
      <c r="F262" s="70"/>
      <c r="G262" s="37"/>
      <c r="H262" s="70"/>
      <c r="I262" s="70"/>
      <c r="J262" s="37"/>
      <c r="K262" s="70"/>
      <c r="L262" s="70"/>
      <c r="M262" s="70"/>
      <c r="N262" s="70"/>
      <c r="O262" s="70"/>
    </row>
    <row r="263" spans="1:15" x14ac:dyDescent="0.25">
      <c r="A263" s="37"/>
      <c r="B263" s="78"/>
      <c r="C263" s="70"/>
      <c r="D263" s="37"/>
      <c r="E263" s="70"/>
      <c r="F263" s="70"/>
      <c r="G263" s="37"/>
      <c r="H263" s="70"/>
      <c r="I263" s="70"/>
      <c r="J263" s="37"/>
      <c r="K263" s="70"/>
      <c r="L263" s="70"/>
      <c r="M263" s="70"/>
      <c r="N263" s="70"/>
      <c r="O263" s="70"/>
    </row>
    <row r="264" spans="1:15" x14ac:dyDescent="0.25">
      <c r="A264" s="37"/>
      <c r="B264" s="78"/>
      <c r="C264" s="70"/>
      <c r="D264" s="37"/>
      <c r="E264" s="70"/>
      <c r="F264" s="70"/>
      <c r="G264" s="37"/>
      <c r="H264" s="70"/>
      <c r="I264" s="70"/>
      <c r="J264" s="37"/>
      <c r="K264" s="70"/>
      <c r="L264" s="70"/>
      <c r="M264" s="70"/>
      <c r="N264" s="70"/>
      <c r="O264" s="70"/>
    </row>
    <row r="265" spans="1:15" x14ac:dyDescent="0.25">
      <c r="A265" s="37"/>
      <c r="B265" s="78"/>
      <c r="C265" s="70"/>
      <c r="D265" s="37"/>
      <c r="E265" s="70"/>
      <c r="F265" s="70"/>
      <c r="G265" s="37"/>
      <c r="H265" s="70"/>
      <c r="I265" s="70"/>
      <c r="J265" s="37"/>
      <c r="K265" s="70"/>
      <c r="L265" s="70"/>
      <c r="M265" s="70"/>
      <c r="N265" s="70"/>
      <c r="O265" s="70"/>
    </row>
    <row r="266" spans="1:15" x14ac:dyDescent="0.25">
      <c r="A266" s="37"/>
      <c r="B266" s="78"/>
      <c r="C266" s="70"/>
      <c r="D266" s="37"/>
      <c r="E266" s="70"/>
      <c r="F266" s="70"/>
      <c r="G266" s="37"/>
      <c r="H266" s="70"/>
      <c r="I266" s="70"/>
      <c r="J266" s="37"/>
      <c r="K266" s="70"/>
      <c r="L266" s="70"/>
      <c r="M266" s="70"/>
      <c r="N266" s="70"/>
      <c r="O266" s="70"/>
    </row>
    <row r="267" spans="1:15" x14ac:dyDescent="0.25">
      <c r="A267" s="37"/>
      <c r="B267" s="78"/>
      <c r="C267" s="70"/>
      <c r="D267" s="37"/>
      <c r="E267" s="70"/>
      <c r="F267" s="70"/>
      <c r="G267" s="37"/>
      <c r="H267" s="70"/>
      <c r="I267" s="70"/>
      <c r="J267" s="37"/>
      <c r="K267" s="70"/>
      <c r="L267" s="70"/>
      <c r="M267" s="70"/>
      <c r="N267" s="70"/>
      <c r="O267" s="70"/>
    </row>
    <row r="268" spans="1:15" x14ac:dyDescent="0.25">
      <c r="A268" s="37"/>
      <c r="B268" s="78"/>
      <c r="C268" s="70"/>
      <c r="D268" s="37"/>
      <c r="E268" s="70"/>
      <c r="F268" s="70"/>
      <c r="G268" s="37"/>
      <c r="H268" s="70"/>
      <c r="I268" s="70"/>
      <c r="J268" s="37"/>
      <c r="K268" s="70"/>
      <c r="L268" s="70"/>
      <c r="M268" s="70"/>
      <c r="N268" s="70"/>
      <c r="O268" s="70"/>
    </row>
    <row r="269" spans="1:15" x14ac:dyDescent="0.25">
      <c r="A269" s="37"/>
      <c r="B269" s="78"/>
      <c r="C269" s="70"/>
      <c r="D269" s="37"/>
      <c r="E269" s="70"/>
      <c r="F269" s="70"/>
      <c r="G269" s="37"/>
      <c r="H269" s="70"/>
      <c r="I269" s="70"/>
      <c r="J269" s="37"/>
      <c r="K269" s="70"/>
      <c r="L269" s="70"/>
      <c r="M269" s="70"/>
      <c r="N269" s="70"/>
      <c r="O269" s="70"/>
    </row>
    <row r="270" spans="1:15" x14ac:dyDescent="0.25">
      <c r="A270" s="37"/>
      <c r="B270" s="78"/>
      <c r="C270" s="70"/>
      <c r="D270" s="37"/>
      <c r="E270" s="70"/>
      <c r="F270" s="70"/>
      <c r="G270" s="37"/>
      <c r="H270" s="70"/>
      <c r="I270" s="70"/>
      <c r="J270" s="37"/>
      <c r="K270" s="70"/>
      <c r="L270" s="70"/>
      <c r="M270" s="70"/>
      <c r="N270" s="70"/>
      <c r="O270" s="70"/>
    </row>
    <row r="271" spans="1:15" x14ac:dyDescent="0.25">
      <c r="A271" s="37"/>
      <c r="B271" s="78"/>
      <c r="C271" s="70"/>
      <c r="D271" s="37"/>
      <c r="E271" s="70"/>
      <c r="F271" s="70"/>
      <c r="G271" s="37"/>
      <c r="H271" s="70"/>
      <c r="I271" s="70"/>
      <c r="J271" s="37"/>
      <c r="K271" s="70"/>
      <c r="L271" s="70"/>
      <c r="M271" s="70"/>
      <c r="N271" s="70"/>
      <c r="O271" s="70"/>
    </row>
    <row r="272" spans="1:15" x14ac:dyDescent="0.25">
      <c r="A272" s="37"/>
      <c r="B272" s="78"/>
      <c r="C272" s="70"/>
      <c r="D272" s="37"/>
      <c r="E272" s="70"/>
      <c r="F272" s="70"/>
      <c r="G272" s="37"/>
      <c r="H272" s="70"/>
      <c r="I272" s="70"/>
      <c r="J272" s="37"/>
      <c r="K272" s="70"/>
      <c r="L272" s="70"/>
      <c r="M272" s="70"/>
      <c r="N272" s="70"/>
      <c r="O272" s="70"/>
    </row>
    <row r="273" spans="1:15" x14ac:dyDescent="0.25">
      <c r="A273" s="37"/>
      <c r="B273" s="78"/>
      <c r="C273" s="70"/>
      <c r="D273" s="37"/>
      <c r="E273" s="70"/>
      <c r="F273" s="70"/>
      <c r="G273" s="37"/>
      <c r="H273" s="70"/>
      <c r="I273" s="70"/>
      <c r="J273" s="37"/>
      <c r="K273" s="70"/>
      <c r="L273" s="70"/>
      <c r="M273" s="70"/>
      <c r="N273" s="70"/>
      <c r="O273" s="70"/>
    </row>
    <row r="274" spans="1:15" x14ac:dyDescent="0.25">
      <c r="A274" s="37"/>
      <c r="B274" s="78"/>
      <c r="C274" s="70"/>
      <c r="D274" s="37"/>
      <c r="E274" s="70"/>
      <c r="F274" s="70"/>
      <c r="G274" s="37"/>
      <c r="H274" s="70"/>
      <c r="I274" s="70"/>
      <c r="J274" s="37"/>
      <c r="K274" s="70"/>
      <c r="L274" s="70"/>
      <c r="M274" s="70"/>
      <c r="N274" s="70"/>
      <c r="O274" s="70"/>
    </row>
    <row r="275" spans="1:15" x14ac:dyDescent="0.25">
      <c r="A275" s="37"/>
      <c r="B275" s="78"/>
      <c r="C275" s="70"/>
      <c r="D275" s="37"/>
      <c r="E275" s="70"/>
      <c r="F275" s="70"/>
      <c r="G275" s="37"/>
      <c r="H275" s="70"/>
      <c r="I275" s="70"/>
      <c r="J275" s="37"/>
      <c r="K275" s="70"/>
      <c r="L275" s="70"/>
      <c r="M275" s="70"/>
      <c r="N275" s="70"/>
      <c r="O275" s="70"/>
    </row>
    <row r="276" spans="1:15" x14ac:dyDescent="0.25">
      <c r="A276" s="37"/>
      <c r="B276" s="78"/>
      <c r="C276" s="70"/>
      <c r="D276" s="37"/>
      <c r="E276" s="70"/>
      <c r="F276" s="70"/>
      <c r="G276" s="37"/>
      <c r="H276" s="70"/>
      <c r="I276" s="70"/>
      <c r="J276" s="37"/>
      <c r="K276" s="70"/>
      <c r="L276" s="70"/>
      <c r="M276" s="70"/>
      <c r="N276" s="70"/>
      <c r="O276" s="70"/>
    </row>
    <row r="277" spans="1:15" x14ac:dyDescent="0.25">
      <c r="A277" s="37"/>
      <c r="B277" s="78"/>
      <c r="C277" s="70"/>
      <c r="D277" s="37"/>
      <c r="E277" s="70"/>
      <c r="F277" s="70"/>
      <c r="G277" s="37"/>
      <c r="H277" s="70"/>
      <c r="I277" s="70"/>
      <c r="J277" s="37"/>
      <c r="K277" s="70"/>
      <c r="L277" s="70"/>
      <c r="M277" s="70"/>
      <c r="N277" s="70"/>
      <c r="O277" s="70"/>
    </row>
    <row r="278" spans="1:15" x14ac:dyDescent="0.25">
      <c r="A278" s="37"/>
      <c r="B278" s="78"/>
      <c r="C278" s="70"/>
      <c r="D278" s="37"/>
      <c r="E278" s="70"/>
      <c r="F278" s="70"/>
      <c r="G278" s="37"/>
      <c r="H278" s="70"/>
      <c r="I278" s="70"/>
      <c r="J278" s="37"/>
      <c r="K278" s="70"/>
      <c r="L278" s="70"/>
      <c r="M278" s="70"/>
      <c r="N278" s="70"/>
      <c r="O278" s="70"/>
    </row>
    <row r="279" spans="1:15" x14ac:dyDescent="0.25">
      <c r="A279" s="37"/>
      <c r="B279" s="78"/>
      <c r="C279" s="70"/>
      <c r="D279" s="37"/>
      <c r="E279" s="70"/>
      <c r="F279" s="70"/>
      <c r="G279" s="37"/>
      <c r="H279" s="70"/>
      <c r="I279" s="70"/>
      <c r="J279" s="37"/>
      <c r="K279" s="70"/>
      <c r="L279" s="70"/>
      <c r="M279" s="70"/>
      <c r="N279" s="70"/>
      <c r="O279" s="70"/>
    </row>
    <row r="280" spans="1:15" x14ac:dyDescent="0.25">
      <c r="A280" s="37"/>
      <c r="B280" s="78"/>
      <c r="C280" s="70"/>
      <c r="D280" s="37"/>
      <c r="E280" s="70"/>
      <c r="F280" s="70"/>
      <c r="G280" s="37"/>
      <c r="H280" s="70"/>
      <c r="I280" s="70"/>
      <c r="J280" s="37"/>
      <c r="K280" s="70"/>
      <c r="L280" s="70"/>
      <c r="M280" s="70"/>
      <c r="N280" s="70"/>
      <c r="O280" s="70"/>
    </row>
    <row r="281" spans="1:15" x14ac:dyDescent="0.25">
      <c r="A281" s="37"/>
      <c r="B281" s="78"/>
      <c r="C281" s="70"/>
      <c r="D281" s="37"/>
      <c r="E281" s="70"/>
      <c r="F281" s="70"/>
      <c r="G281" s="37"/>
      <c r="H281" s="70"/>
      <c r="I281" s="70"/>
      <c r="J281" s="37"/>
      <c r="K281" s="70"/>
      <c r="L281" s="70"/>
      <c r="M281" s="70"/>
      <c r="N281" s="70"/>
      <c r="O281" s="70"/>
    </row>
    <row r="282" spans="1:15" x14ac:dyDescent="0.25">
      <c r="A282" s="37"/>
      <c r="B282" s="78"/>
      <c r="C282" s="70"/>
      <c r="D282" s="37"/>
      <c r="E282" s="70"/>
      <c r="F282" s="70"/>
      <c r="G282" s="37"/>
      <c r="H282" s="70"/>
      <c r="I282" s="70"/>
      <c r="J282" s="37"/>
      <c r="K282" s="70"/>
      <c r="L282" s="70"/>
      <c r="M282" s="70"/>
      <c r="N282" s="70"/>
      <c r="O282" s="70"/>
    </row>
    <row r="283" spans="1:15" x14ac:dyDescent="0.25">
      <c r="A283" s="37"/>
      <c r="B283" s="78"/>
      <c r="C283" s="70"/>
      <c r="D283" s="37"/>
      <c r="E283" s="70"/>
      <c r="F283" s="70"/>
      <c r="G283" s="37"/>
      <c r="H283" s="70"/>
      <c r="I283" s="70"/>
      <c r="J283" s="37"/>
      <c r="K283" s="70"/>
      <c r="L283" s="70"/>
      <c r="M283" s="70"/>
      <c r="N283" s="70"/>
      <c r="O283" s="70"/>
    </row>
    <row r="284" spans="1:15" x14ac:dyDescent="0.25">
      <c r="A284" s="37"/>
      <c r="B284" s="78"/>
      <c r="C284" s="70"/>
      <c r="D284" s="37"/>
      <c r="E284" s="70"/>
      <c r="F284" s="70"/>
      <c r="G284" s="37"/>
      <c r="H284" s="70"/>
      <c r="I284" s="70"/>
      <c r="J284" s="37"/>
      <c r="K284" s="70"/>
      <c r="L284" s="70"/>
      <c r="M284" s="70"/>
      <c r="N284" s="70"/>
      <c r="O284" s="70"/>
    </row>
    <row r="285" spans="1:15" x14ac:dyDescent="0.25">
      <c r="A285" s="37"/>
      <c r="B285" s="78"/>
      <c r="C285" s="70"/>
      <c r="D285" s="37"/>
      <c r="E285" s="70"/>
      <c r="F285" s="70"/>
      <c r="G285" s="37"/>
      <c r="H285" s="70"/>
      <c r="I285" s="70"/>
      <c r="J285" s="37"/>
      <c r="K285" s="70"/>
      <c r="L285" s="70"/>
      <c r="M285" s="70"/>
      <c r="N285" s="70"/>
      <c r="O285" s="70"/>
    </row>
    <row r="286" spans="1:15" x14ac:dyDescent="0.25">
      <c r="A286" s="37"/>
      <c r="B286" s="78"/>
      <c r="C286" s="70"/>
      <c r="D286" s="37"/>
      <c r="E286" s="70"/>
      <c r="F286" s="70"/>
      <c r="G286" s="37"/>
      <c r="H286" s="70"/>
      <c r="I286" s="70"/>
      <c r="J286" s="37"/>
      <c r="K286" s="70"/>
      <c r="L286" s="70"/>
      <c r="M286" s="70"/>
      <c r="N286" s="70"/>
      <c r="O286" s="70"/>
    </row>
    <row r="287" spans="1:15" x14ac:dyDescent="0.25">
      <c r="A287" s="37"/>
      <c r="B287" s="78"/>
      <c r="C287" s="70"/>
      <c r="D287" s="37"/>
      <c r="E287" s="70"/>
      <c r="F287" s="70"/>
      <c r="G287" s="37"/>
      <c r="H287" s="70"/>
      <c r="I287" s="70"/>
      <c r="J287" s="37"/>
      <c r="K287" s="70"/>
      <c r="L287" s="70"/>
      <c r="M287" s="70"/>
      <c r="N287" s="70"/>
      <c r="O287" s="70"/>
    </row>
    <row r="288" spans="1:15" x14ac:dyDescent="0.25">
      <c r="A288" s="37"/>
      <c r="B288" s="78"/>
      <c r="C288" s="70"/>
      <c r="D288" s="37"/>
      <c r="E288" s="70"/>
      <c r="F288" s="70"/>
      <c r="G288" s="37"/>
      <c r="H288" s="70"/>
      <c r="I288" s="70"/>
      <c r="J288" s="37"/>
      <c r="K288" s="70"/>
      <c r="L288" s="70"/>
      <c r="M288" s="70"/>
      <c r="N288" s="70"/>
      <c r="O288" s="70"/>
    </row>
    <row r="289" spans="1:15" x14ac:dyDescent="0.25">
      <c r="A289" s="37"/>
      <c r="B289" s="78"/>
      <c r="C289" s="70"/>
      <c r="D289" s="37"/>
      <c r="E289" s="70"/>
      <c r="F289" s="70"/>
      <c r="G289" s="37"/>
      <c r="H289" s="70"/>
      <c r="I289" s="70"/>
      <c r="J289" s="37"/>
      <c r="K289" s="70"/>
      <c r="L289" s="70"/>
      <c r="M289" s="70"/>
      <c r="N289" s="70"/>
      <c r="O289" s="70"/>
    </row>
    <row r="290" spans="1:15" x14ac:dyDescent="0.25">
      <c r="A290" s="37"/>
      <c r="B290" s="78"/>
      <c r="C290" s="70"/>
      <c r="D290" s="37"/>
      <c r="E290" s="70"/>
      <c r="F290" s="70"/>
      <c r="G290" s="37"/>
      <c r="H290" s="70"/>
      <c r="I290" s="70"/>
      <c r="J290" s="37"/>
      <c r="K290" s="70"/>
      <c r="L290" s="70"/>
      <c r="M290" s="70"/>
      <c r="N290" s="70"/>
      <c r="O290" s="70"/>
    </row>
    <row r="291" spans="1:15" x14ac:dyDescent="0.25">
      <c r="A291" s="37"/>
      <c r="B291" s="78"/>
      <c r="C291" s="70"/>
      <c r="D291" s="37"/>
      <c r="E291" s="70"/>
      <c r="F291" s="70"/>
      <c r="G291" s="37"/>
      <c r="H291" s="70"/>
      <c r="I291" s="70"/>
      <c r="J291" s="37"/>
      <c r="K291" s="70"/>
      <c r="L291" s="70"/>
      <c r="M291" s="70"/>
      <c r="N291" s="70"/>
      <c r="O291" s="70"/>
    </row>
    <row r="292" spans="1:15" x14ac:dyDescent="0.25">
      <c r="A292" s="37"/>
      <c r="B292" s="78"/>
      <c r="C292" s="70"/>
      <c r="D292" s="37"/>
      <c r="E292" s="70"/>
      <c r="F292" s="70"/>
      <c r="G292" s="37"/>
      <c r="H292" s="70"/>
      <c r="I292" s="70"/>
      <c r="J292" s="37"/>
      <c r="K292" s="70"/>
      <c r="L292" s="70"/>
      <c r="M292" s="70"/>
      <c r="N292" s="70"/>
      <c r="O292" s="70"/>
    </row>
    <row r="293" spans="1:15" x14ac:dyDescent="0.25">
      <c r="A293" s="37"/>
      <c r="B293" s="78"/>
      <c r="C293" s="70"/>
      <c r="D293" s="37"/>
      <c r="E293" s="70"/>
      <c r="F293" s="70"/>
      <c r="G293" s="37"/>
      <c r="H293" s="70"/>
      <c r="I293" s="70"/>
      <c r="J293" s="37"/>
      <c r="K293" s="70"/>
      <c r="L293" s="70"/>
      <c r="M293" s="70"/>
      <c r="N293" s="70"/>
      <c r="O293" s="70"/>
    </row>
    <row r="294" spans="1:15" x14ac:dyDescent="0.25">
      <c r="A294" s="37"/>
      <c r="B294" s="78"/>
      <c r="C294" s="70"/>
      <c r="D294" s="37"/>
      <c r="E294" s="70"/>
      <c r="F294" s="70"/>
      <c r="G294" s="37"/>
      <c r="H294" s="70"/>
      <c r="I294" s="70"/>
      <c r="J294" s="37"/>
      <c r="K294" s="70"/>
      <c r="L294" s="70"/>
      <c r="M294" s="70"/>
      <c r="N294" s="70"/>
      <c r="O294" s="70"/>
    </row>
    <row r="295" spans="1:15" x14ac:dyDescent="0.25">
      <c r="A295" s="37"/>
      <c r="B295" s="78"/>
      <c r="C295" s="70"/>
      <c r="D295" s="37"/>
      <c r="E295" s="70"/>
      <c r="F295" s="70"/>
      <c r="G295" s="37"/>
      <c r="H295" s="70"/>
      <c r="I295" s="70"/>
      <c r="J295" s="37"/>
      <c r="K295" s="70"/>
      <c r="L295" s="70"/>
      <c r="M295" s="70"/>
      <c r="N295" s="70"/>
      <c r="O295" s="70"/>
    </row>
    <row r="296" spans="1:15" x14ac:dyDescent="0.25">
      <c r="A296" s="37"/>
      <c r="B296" s="78"/>
      <c r="C296" s="70"/>
      <c r="D296" s="37"/>
      <c r="E296" s="70"/>
      <c r="F296" s="70"/>
      <c r="G296" s="37"/>
      <c r="H296" s="70"/>
      <c r="I296" s="70"/>
      <c r="J296" s="37"/>
      <c r="K296" s="70"/>
      <c r="L296" s="70"/>
      <c r="M296" s="70"/>
      <c r="N296" s="70"/>
      <c r="O296" s="70"/>
    </row>
    <row r="297" spans="1:15" x14ac:dyDescent="0.25">
      <c r="A297" s="37"/>
      <c r="B297" s="78"/>
      <c r="C297" s="70"/>
      <c r="D297" s="37"/>
      <c r="E297" s="70"/>
      <c r="F297" s="70"/>
      <c r="G297" s="37"/>
      <c r="H297" s="70"/>
      <c r="I297" s="70"/>
      <c r="J297" s="37"/>
      <c r="K297" s="70"/>
      <c r="L297" s="70"/>
      <c r="M297" s="70"/>
      <c r="N297" s="70"/>
      <c r="O297" s="70"/>
    </row>
    <row r="298" spans="1:15" x14ac:dyDescent="0.25">
      <c r="A298" s="37"/>
      <c r="B298" s="78"/>
      <c r="C298" s="70"/>
      <c r="D298" s="37"/>
      <c r="E298" s="70"/>
      <c r="F298" s="70"/>
      <c r="G298" s="37"/>
      <c r="H298" s="70"/>
      <c r="I298" s="70"/>
      <c r="J298" s="37"/>
      <c r="K298" s="70"/>
      <c r="L298" s="70"/>
      <c r="M298" s="70"/>
      <c r="N298" s="70"/>
      <c r="O298" s="70"/>
    </row>
    <row r="299" spans="1:15" x14ac:dyDescent="0.25">
      <c r="A299" s="37"/>
      <c r="B299" s="78"/>
      <c r="C299" s="70"/>
      <c r="D299" s="37"/>
      <c r="E299" s="70"/>
      <c r="F299" s="70"/>
      <c r="G299" s="37"/>
      <c r="H299" s="70"/>
      <c r="I299" s="70"/>
      <c r="J299" s="37"/>
      <c r="K299" s="70"/>
      <c r="L299" s="70"/>
      <c r="M299" s="70"/>
      <c r="N299" s="70"/>
      <c r="O299" s="70"/>
    </row>
    <row r="300" spans="1:15" x14ac:dyDescent="0.25">
      <c r="A300" s="37"/>
      <c r="B300" s="78"/>
      <c r="C300" s="70"/>
      <c r="D300" s="37"/>
      <c r="E300" s="70"/>
      <c r="F300" s="70"/>
      <c r="G300" s="37"/>
      <c r="H300" s="70"/>
      <c r="I300" s="70"/>
      <c r="J300" s="37"/>
      <c r="K300" s="70"/>
      <c r="L300" s="70"/>
      <c r="M300" s="70"/>
      <c r="N300" s="70"/>
      <c r="O300" s="70"/>
    </row>
    <row r="301" spans="1:15" x14ac:dyDescent="0.25">
      <c r="A301" s="37"/>
      <c r="B301" s="78"/>
      <c r="C301" s="70"/>
      <c r="D301" s="37"/>
      <c r="E301" s="70"/>
      <c r="F301" s="70"/>
      <c r="G301" s="37"/>
      <c r="H301" s="70"/>
      <c r="I301" s="70"/>
      <c r="J301" s="37"/>
      <c r="K301" s="70"/>
      <c r="L301" s="70"/>
      <c r="M301" s="70"/>
      <c r="N301" s="70"/>
      <c r="O301" s="70"/>
    </row>
    <row r="302" spans="1:15" x14ac:dyDescent="0.25">
      <c r="A302" s="37"/>
      <c r="B302" s="78"/>
      <c r="C302" s="70"/>
      <c r="D302" s="37"/>
      <c r="E302" s="70"/>
      <c r="F302" s="70"/>
      <c r="G302" s="37"/>
      <c r="H302" s="70"/>
      <c r="I302" s="70"/>
      <c r="J302" s="37"/>
      <c r="K302" s="70"/>
      <c r="L302" s="70"/>
      <c r="M302" s="70"/>
      <c r="N302" s="70"/>
      <c r="O302" s="70"/>
    </row>
    <row r="303" spans="1:15" x14ac:dyDescent="0.25">
      <c r="A303" s="37"/>
      <c r="B303" s="78"/>
      <c r="C303" s="70"/>
      <c r="D303" s="37"/>
      <c r="E303" s="70"/>
      <c r="F303" s="70"/>
      <c r="G303" s="37"/>
      <c r="H303" s="70"/>
      <c r="I303" s="70"/>
      <c r="J303" s="37"/>
      <c r="K303" s="70"/>
      <c r="L303" s="70"/>
      <c r="M303" s="70"/>
      <c r="N303" s="70"/>
      <c r="O303" s="70"/>
    </row>
    <row r="304" spans="1:15" x14ac:dyDescent="0.25">
      <c r="A304" s="37"/>
      <c r="B304" s="78"/>
      <c r="C304" s="70"/>
      <c r="D304" s="37"/>
      <c r="E304" s="70"/>
      <c r="F304" s="70"/>
      <c r="G304" s="37"/>
      <c r="H304" s="70"/>
      <c r="I304" s="70"/>
      <c r="J304" s="37"/>
      <c r="K304" s="70"/>
      <c r="L304" s="70"/>
      <c r="M304" s="70"/>
      <c r="N304" s="70"/>
      <c r="O304" s="70"/>
    </row>
    <row r="305" spans="1:15" x14ac:dyDescent="0.25">
      <c r="A305" s="37"/>
      <c r="B305" s="78"/>
      <c r="C305" s="70"/>
      <c r="D305" s="37"/>
      <c r="E305" s="70"/>
      <c r="F305" s="70"/>
      <c r="G305" s="37"/>
      <c r="H305" s="70"/>
      <c r="I305" s="70"/>
      <c r="J305" s="37"/>
      <c r="K305" s="70"/>
      <c r="L305" s="70"/>
      <c r="M305" s="70"/>
      <c r="N305" s="70"/>
      <c r="O305" s="70"/>
    </row>
    <row r="306" spans="1:15" x14ac:dyDescent="0.25">
      <c r="A306" s="37"/>
      <c r="B306" s="78"/>
      <c r="C306" s="70"/>
      <c r="D306" s="37"/>
      <c r="E306" s="70"/>
      <c r="F306" s="70"/>
      <c r="G306" s="37"/>
      <c r="H306" s="70"/>
      <c r="I306" s="70"/>
      <c r="J306" s="37"/>
      <c r="K306" s="70"/>
      <c r="L306" s="70"/>
      <c r="M306" s="70"/>
      <c r="N306" s="70"/>
      <c r="O306" s="70"/>
    </row>
    <row r="307" spans="1:15" x14ac:dyDescent="0.25">
      <c r="A307" s="37"/>
      <c r="B307" s="78"/>
      <c r="C307" s="70"/>
      <c r="D307" s="37"/>
      <c r="E307" s="70"/>
      <c r="F307" s="70"/>
      <c r="G307" s="37"/>
      <c r="H307" s="70"/>
      <c r="I307" s="70"/>
      <c r="J307" s="37"/>
      <c r="K307" s="70"/>
      <c r="L307" s="70"/>
      <c r="M307" s="70"/>
      <c r="N307" s="70"/>
      <c r="O307" s="70"/>
    </row>
    <row r="308" spans="1:15" x14ac:dyDescent="0.25">
      <c r="A308" s="37"/>
      <c r="B308" s="78"/>
      <c r="C308" s="70"/>
      <c r="D308" s="37"/>
      <c r="E308" s="70"/>
      <c r="F308" s="70"/>
      <c r="G308" s="37"/>
      <c r="H308" s="70"/>
      <c r="I308" s="70"/>
      <c r="J308" s="37"/>
      <c r="K308" s="70"/>
      <c r="L308" s="70"/>
      <c r="M308" s="70"/>
      <c r="N308" s="70"/>
      <c r="O308" s="70"/>
    </row>
    <row r="309" spans="1:15" x14ac:dyDescent="0.25">
      <c r="A309" s="37"/>
      <c r="B309" s="78"/>
      <c r="C309" s="70"/>
      <c r="D309" s="37"/>
      <c r="E309" s="70"/>
      <c r="F309" s="70"/>
      <c r="G309" s="37"/>
      <c r="H309" s="70"/>
      <c r="I309" s="70"/>
      <c r="J309" s="37"/>
      <c r="K309" s="70"/>
      <c r="L309" s="70"/>
      <c r="M309" s="70"/>
      <c r="N309" s="70"/>
      <c r="O309" s="70"/>
    </row>
    <row r="310" spans="1:15" x14ac:dyDescent="0.25">
      <c r="A310" s="37"/>
      <c r="B310" s="78"/>
      <c r="C310" s="70"/>
      <c r="D310" s="37"/>
      <c r="E310" s="70"/>
      <c r="F310" s="70"/>
      <c r="G310" s="37"/>
      <c r="H310" s="70"/>
      <c r="I310" s="70"/>
      <c r="J310" s="37"/>
      <c r="K310" s="70"/>
      <c r="L310" s="70"/>
      <c r="M310" s="70"/>
      <c r="N310" s="70"/>
      <c r="O310" s="70"/>
    </row>
    <row r="311" spans="1:15" x14ac:dyDescent="0.25">
      <c r="A311" s="37"/>
      <c r="B311" s="78"/>
      <c r="C311" s="70"/>
      <c r="D311" s="37"/>
      <c r="E311" s="70"/>
      <c r="F311" s="70"/>
      <c r="G311" s="37"/>
      <c r="H311" s="70"/>
      <c r="I311" s="70"/>
      <c r="J311" s="37"/>
      <c r="K311" s="70"/>
      <c r="L311" s="70"/>
      <c r="M311" s="70"/>
      <c r="N311" s="70"/>
      <c r="O311" s="70"/>
    </row>
    <row r="312" spans="1:15" x14ac:dyDescent="0.25">
      <c r="A312" s="37"/>
      <c r="B312" s="78"/>
      <c r="C312" s="70"/>
      <c r="D312" s="37"/>
      <c r="E312" s="70"/>
      <c r="F312" s="70"/>
      <c r="G312" s="37"/>
      <c r="H312" s="70"/>
      <c r="I312" s="70"/>
      <c r="J312" s="37"/>
      <c r="K312" s="70"/>
      <c r="L312" s="70"/>
      <c r="M312" s="70"/>
      <c r="N312" s="70"/>
      <c r="O312" s="70"/>
    </row>
    <row r="313" spans="1:15" x14ac:dyDescent="0.25">
      <c r="A313" s="37"/>
      <c r="B313" s="78"/>
      <c r="C313" s="70"/>
      <c r="D313" s="37"/>
      <c r="E313" s="70"/>
      <c r="F313" s="70"/>
      <c r="G313" s="37"/>
      <c r="H313" s="70"/>
      <c r="I313" s="70"/>
      <c r="J313" s="37"/>
      <c r="K313" s="70"/>
      <c r="L313" s="70"/>
      <c r="M313" s="70"/>
      <c r="N313" s="70"/>
      <c r="O313" s="70"/>
    </row>
    <row r="314" spans="1:15" x14ac:dyDescent="0.25">
      <c r="A314" s="37"/>
      <c r="B314" s="78"/>
      <c r="C314" s="70"/>
      <c r="D314" s="37"/>
      <c r="E314" s="70"/>
      <c r="F314" s="70"/>
      <c r="G314" s="37"/>
      <c r="H314" s="70"/>
      <c r="I314" s="70"/>
      <c r="J314" s="37"/>
      <c r="K314" s="70"/>
      <c r="L314" s="70"/>
      <c r="M314" s="70"/>
      <c r="N314" s="70"/>
      <c r="O314" s="70"/>
    </row>
    <row r="315" spans="1:15" x14ac:dyDescent="0.25">
      <c r="A315" s="37"/>
      <c r="B315" s="78"/>
      <c r="C315" s="70"/>
      <c r="D315" s="37"/>
      <c r="E315" s="70"/>
      <c r="F315" s="70"/>
      <c r="G315" s="37"/>
      <c r="H315" s="70"/>
      <c r="I315" s="70"/>
      <c r="J315" s="37"/>
      <c r="K315" s="70"/>
      <c r="L315" s="70"/>
      <c r="M315" s="70"/>
      <c r="N315" s="70"/>
      <c r="O315" s="70"/>
    </row>
    <row r="316" spans="1:15" x14ac:dyDescent="0.25">
      <c r="A316" s="37"/>
      <c r="B316" s="78"/>
      <c r="C316" s="70"/>
      <c r="D316" s="37"/>
      <c r="E316" s="70"/>
      <c r="F316" s="70"/>
      <c r="G316" s="37"/>
      <c r="H316" s="70"/>
      <c r="I316" s="70"/>
      <c r="J316" s="37"/>
      <c r="K316" s="70"/>
      <c r="L316" s="70"/>
      <c r="M316" s="70"/>
      <c r="N316" s="70"/>
      <c r="O316" s="70"/>
    </row>
    <row r="317" spans="1:15" x14ac:dyDescent="0.25">
      <c r="A317" s="37"/>
      <c r="B317" s="78"/>
      <c r="C317" s="70"/>
      <c r="D317" s="37"/>
      <c r="E317" s="70"/>
      <c r="F317" s="70"/>
      <c r="G317" s="37"/>
      <c r="H317" s="70"/>
      <c r="I317" s="70"/>
      <c r="J317" s="37"/>
      <c r="K317" s="70"/>
      <c r="L317" s="70"/>
      <c r="M317" s="70"/>
      <c r="N317" s="70"/>
      <c r="O317" s="70"/>
    </row>
    <row r="318" spans="1:15" x14ac:dyDescent="0.25">
      <c r="A318" s="37"/>
      <c r="B318" s="78"/>
      <c r="C318" s="70"/>
      <c r="D318" s="37"/>
      <c r="E318" s="70"/>
      <c r="F318" s="70"/>
      <c r="G318" s="37"/>
      <c r="H318" s="70"/>
      <c r="I318" s="70"/>
      <c r="J318" s="37"/>
      <c r="K318" s="70"/>
      <c r="L318" s="70"/>
      <c r="M318" s="70"/>
      <c r="N318" s="70"/>
      <c r="O318" s="70"/>
    </row>
    <row r="319" spans="1:15" x14ac:dyDescent="0.25">
      <c r="A319" s="37"/>
      <c r="B319" s="78"/>
      <c r="C319" s="70"/>
      <c r="D319" s="37"/>
      <c r="E319" s="70"/>
      <c r="F319" s="70"/>
      <c r="G319" s="37"/>
      <c r="H319" s="70"/>
      <c r="I319" s="70"/>
      <c r="J319" s="37"/>
      <c r="K319" s="70"/>
      <c r="L319" s="70"/>
      <c r="M319" s="70"/>
      <c r="N319" s="70"/>
      <c r="O319" s="70"/>
    </row>
    <row r="320" spans="1:15" x14ac:dyDescent="0.25">
      <c r="A320" s="37"/>
      <c r="B320" s="78"/>
      <c r="C320" s="70"/>
      <c r="D320" s="37"/>
      <c r="E320" s="70"/>
      <c r="F320" s="70"/>
      <c r="G320" s="37"/>
      <c r="H320" s="70"/>
      <c r="I320" s="70"/>
      <c r="J320" s="37"/>
      <c r="K320" s="70"/>
      <c r="L320" s="70"/>
      <c r="M320" s="70"/>
      <c r="N320" s="70"/>
      <c r="O320" s="70"/>
    </row>
    <row r="321" spans="1:15" x14ac:dyDescent="0.25">
      <c r="A321" s="37"/>
      <c r="B321" s="78"/>
      <c r="C321" s="70"/>
      <c r="D321" s="37"/>
      <c r="E321" s="70"/>
      <c r="F321" s="70"/>
      <c r="G321" s="37"/>
      <c r="H321" s="70"/>
      <c r="I321" s="70"/>
      <c r="J321" s="37"/>
      <c r="K321" s="70"/>
      <c r="L321" s="70"/>
      <c r="M321" s="70"/>
      <c r="N321" s="70"/>
      <c r="O321" s="70"/>
    </row>
    <row r="322" spans="1:15" x14ac:dyDescent="0.25">
      <c r="A322" s="37"/>
      <c r="B322" s="78"/>
      <c r="C322" s="70"/>
      <c r="D322" s="37"/>
      <c r="E322" s="70"/>
      <c r="F322" s="70"/>
      <c r="G322" s="37"/>
      <c r="H322" s="70"/>
      <c r="I322" s="70"/>
      <c r="J322" s="37"/>
      <c r="K322" s="70"/>
      <c r="L322" s="70"/>
      <c r="M322" s="70"/>
      <c r="N322" s="70"/>
      <c r="O322" s="70"/>
    </row>
    <row r="323" spans="1:15" x14ac:dyDescent="0.25">
      <c r="A323" s="37"/>
      <c r="B323" s="78"/>
      <c r="C323" s="70"/>
      <c r="D323" s="37"/>
      <c r="E323" s="70"/>
      <c r="F323" s="70"/>
      <c r="G323" s="37"/>
      <c r="H323" s="70"/>
      <c r="I323" s="70"/>
      <c r="J323" s="37"/>
      <c r="K323" s="70"/>
      <c r="L323" s="70"/>
      <c r="M323" s="70"/>
      <c r="N323" s="70"/>
      <c r="O323" s="70"/>
    </row>
    <row r="324" spans="1:15" x14ac:dyDescent="0.25">
      <c r="A324" s="37"/>
      <c r="B324" s="78"/>
      <c r="C324" s="70"/>
      <c r="D324" s="37"/>
      <c r="E324" s="70"/>
      <c r="F324" s="70"/>
      <c r="G324" s="37"/>
      <c r="H324" s="70"/>
      <c r="I324" s="70"/>
      <c r="J324" s="37"/>
      <c r="K324" s="70"/>
      <c r="L324" s="70"/>
      <c r="M324" s="70"/>
      <c r="N324" s="70"/>
      <c r="O324" s="70"/>
    </row>
    <row r="325" spans="1:15" x14ac:dyDescent="0.25">
      <c r="A325" s="37"/>
      <c r="B325" s="78"/>
      <c r="C325" s="70"/>
      <c r="D325" s="37"/>
      <c r="E325" s="70"/>
      <c r="F325" s="70"/>
      <c r="G325" s="37"/>
      <c r="H325" s="70"/>
      <c r="I325" s="70"/>
      <c r="J325" s="37"/>
      <c r="K325" s="70"/>
      <c r="L325" s="70"/>
      <c r="M325" s="70"/>
      <c r="N325" s="70"/>
      <c r="O325" s="70"/>
    </row>
    <row r="326" spans="1:15" x14ac:dyDescent="0.25">
      <c r="A326" s="37"/>
      <c r="B326" s="78"/>
      <c r="C326" s="70"/>
      <c r="D326" s="37"/>
      <c r="E326" s="70"/>
      <c r="F326" s="70"/>
      <c r="G326" s="37"/>
      <c r="H326" s="70"/>
      <c r="I326" s="70"/>
      <c r="J326" s="37"/>
      <c r="K326" s="70"/>
      <c r="L326" s="70"/>
      <c r="M326" s="70"/>
      <c r="N326" s="70"/>
      <c r="O326" s="70"/>
    </row>
    <row r="327" spans="1:15" x14ac:dyDescent="0.25">
      <c r="A327" s="37"/>
      <c r="B327" s="78"/>
      <c r="C327" s="70"/>
      <c r="D327" s="37"/>
      <c r="E327" s="70"/>
      <c r="F327" s="70"/>
      <c r="G327" s="37"/>
      <c r="H327" s="70"/>
      <c r="I327" s="70"/>
      <c r="J327" s="37"/>
      <c r="K327" s="70"/>
      <c r="L327" s="70"/>
      <c r="M327" s="70"/>
      <c r="N327" s="70"/>
      <c r="O327" s="70"/>
    </row>
    <row r="328" spans="1:15" x14ac:dyDescent="0.25">
      <c r="A328" s="37"/>
      <c r="B328" s="78"/>
      <c r="C328" s="70"/>
      <c r="D328" s="37"/>
      <c r="E328" s="70"/>
      <c r="F328" s="70"/>
      <c r="G328" s="37"/>
      <c r="H328" s="70"/>
      <c r="I328" s="70"/>
      <c r="J328" s="37"/>
      <c r="K328" s="70"/>
      <c r="L328" s="70"/>
      <c r="M328" s="70"/>
      <c r="N328" s="70"/>
      <c r="O328" s="70"/>
    </row>
    <row r="329" spans="1:15" x14ac:dyDescent="0.25">
      <c r="A329" s="37"/>
      <c r="B329" s="78"/>
      <c r="C329" s="70"/>
      <c r="D329" s="37"/>
      <c r="E329" s="70"/>
      <c r="F329" s="70"/>
      <c r="G329" s="37"/>
      <c r="H329" s="70"/>
      <c r="I329" s="70"/>
      <c r="J329" s="37"/>
      <c r="K329" s="70"/>
      <c r="L329" s="70"/>
      <c r="M329" s="70"/>
      <c r="N329" s="70"/>
      <c r="O329" s="70"/>
    </row>
    <row r="330" spans="1:15" x14ac:dyDescent="0.25">
      <c r="A330" s="37"/>
      <c r="B330" s="78"/>
      <c r="C330" s="70"/>
      <c r="D330" s="37"/>
      <c r="E330" s="70"/>
      <c r="F330" s="70"/>
      <c r="G330" s="37"/>
      <c r="H330" s="70"/>
      <c r="I330" s="70"/>
      <c r="J330" s="37"/>
      <c r="K330" s="70"/>
      <c r="L330" s="70"/>
      <c r="M330" s="70"/>
      <c r="N330" s="70"/>
      <c r="O330" s="70"/>
    </row>
    <row r="331" spans="1:15" x14ac:dyDescent="0.25">
      <c r="A331" s="37"/>
      <c r="B331" s="78"/>
      <c r="C331" s="70"/>
      <c r="D331" s="37"/>
      <c r="E331" s="70"/>
      <c r="F331" s="70"/>
      <c r="G331" s="37"/>
      <c r="H331" s="70"/>
      <c r="I331" s="70"/>
      <c r="J331" s="37"/>
      <c r="K331" s="70"/>
      <c r="L331" s="70"/>
      <c r="M331" s="70"/>
      <c r="N331" s="70"/>
      <c r="O331" s="70"/>
    </row>
    <row r="332" spans="1:15" x14ac:dyDescent="0.25">
      <c r="A332" s="37"/>
      <c r="B332" s="78"/>
      <c r="C332" s="70"/>
      <c r="D332" s="37"/>
      <c r="E332" s="70"/>
      <c r="F332" s="70"/>
      <c r="G332" s="37"/>
      <c r="H332" s="70"/>
      <c r="I332" s="70"/>
      <c r="J332" s="37"/>
      <c r="K332" s="70"/>
      <c r="L332" s="70"/>
      <c r="M332" s="70"/>
      <c r="N332" s="70"/>
      <c r="O332" s="70"/>
    </row>
    <row r="333" spans="1:15" x14ac:dyDescent="0.25">
      <c r="A333" s="37"/>
      <c r="B333" s="78"/>
      <c r="C333" s="70"/>
      <c r="D333" s="37"/>
      <c r="E333" s="70"/>
      <c r="F333" s="70"/>
      <c r="G333" s="37"/>
      <c r="H333" s="70"/>
      <c r="I333" s="70"/>
      <c r="J333" s="37"/>
      <c r="K333" s="70"/>
      <c r="L333" s="70"/>
      <c r="M333" s="70"/>
      <c r="N333" s="70"/>
      <c r="O333" s="70"/>
    </row>
    <row r="334" spans="1:15" x14ac:dyDescent="0.25">
      <c r="A334" s="37"/>
      <c r="B334" s="78"/>
      <c r="C334" s="70"/>
      <c r="D334" s="37"/>
      <c r="E334" s="70"/>
      <c r="F334" s="70"/>
      <c r="G334" s="37"/>
      <c r="H334" s="70"/>
      <c r="I334" s="70"/>
      <c r="J334" s="37"/>
      <c r="K334" s="70"/>
      <c r="L334" s="70"/>
      <c r="M334" s="70"/>
      <c r="N334" s="70"/>
      <c r="O334" s="70"/>
    </row>
    <row r="335" spans="1:15" x14ac:dyDescent="0.25">
      <c r="A335" s="37"/>
      <c r="B335" s="78"/>
      <c r="C335" s="70"/>
      <c r="D335" s="37"/>
      <c r="E335" s="70"/>
      <c r="F335" s="70"/>
      <c r="G335" s="37"/>
      <c r="H335" s="70"/>
      <c r="I335" s="70"/>
      <c r="J335" s="37"/>
      <c r="K335" s="70"/>
      <c r="L335" s="70"/>
      <c r="M335" s="70"/>
      <c r="N335" s="70"/>
      <c r="O335" s="70"/>
    </row>
    <row r="336" spans="1:15" x14ac:dyDescent="0.25">
      <c r="A336" s="37"/>
      <c r="B336" s="78"/>
      <c r="C336" s="70"/>
      <c r="D336" s="37"/>
      <c r="E336" s="70"/>
      <c r="F336" s="70"/>
      <c r="G336" s="37"/>
      <c r="H336" s="70"/>
      <c r="I336" s="70"/>
      <c r="J336" s="37"/>
      <c r="K336" s="70"/>
      <c r="L336" s="70"/>
      <c r="M336" s="70"/>
      <c r="N336" s="70"/>
      <c r="O336" s="70"/>
    </row>
    <row r="337" spans="1:15" x14ac:dyDescent="0.25">
      <c r="A337" s="37"/>
      <c r="B337" s="78"/>
      <c r="C337" s="70"/>
      <c r="D337" s="37"/>
      <c r="E337" s="70"/>
      <c r="F337" s="70"/>
      <c r="G337" s="37"/>
      <c r="H337" s="70"/>
      <c r="I337" s="70"/>
      <c r="J337" s="37"/>
      <c r="K337" s="70"/>
      <c r="L337" s="70"/>
      <c r="M337" s="70"/>
      <c r="N337" s="70"/>
      <c r="O337" s="70"/>
    </row>
    <row r="338" spans="1:15" x14ac:dyDescent="0.25">
      <c r="A338" s="37"/>
      <c r="B338" s="78"/>
      <c r="C338" s="70"/>
      <c r="D338" s="37"/>
      <c r="E338" s="70"/>
      <c r="F338" s="70"/>
      <c r="G338" s="37"/>
      <c r="H338" s="70"/>
      <c r="I338" s="70"/>
      <c r="J338" s="37"/>
      <c r="K338" s="70"/>
      <c r="L338" s="70"/>
      <c r="M338" s="70"/>
      <c r="N338" s="70"/>
      <c r="O338" s="70"/>
    </row>
    <row r="339" spans="1:15" x14ac:dyDescent="0.25">
      <c r="A339" s="37"/>
      <c r="B339" s="78"/>
      <c r="C339" s="70"/>
      <c r="D339" s="37"/>
      <c r="E339" s="70"/>
      <c r="F339" s="70"/>
      <c r="G339" s="37"/>
      <c r="H339" s="70"/>
      <c r="I339" s="70"/>
      <c r="J339" s="37"/>
      <c r="K339" s="70"/>
      <c r="L339" s="70"/>
      <c r="M339" s="70"/>
      <c r="N339" s="70"/>
      <c r="O339" s="70"/>
    </row>
    <row r="340" spans="1:15" x14ac:dyDescent="0.25">
      <c r="A340" s="37"/>
      <c r="B340" s="78"/>
      <c r="C340" s="70"/>
      <c r="D340" s="37"/>
      <c r="E340" s="70"/>
      <c r="F340" s="70"/>
      <c r="G340" s="37"/>
      <c r="H340" s="70"/>
      <c r="I340" s="70"/>
      <c r="J340" s="37"/>
      <c r="K340" s="70"/>
      <c r="L340" s="70"/>
      <c r="M340" s="70"/>
      <c r="N340" s="70"/>
      <c r="O340" s="70"/>
    </row>
    <row r="341" spans="1:15" x14ac:dyDescent="0.25">
      <c r="A341" s="37"/>
      <c r="B341" s="78"/>
      <c r="C341" s="70"/>
      <c r="D341" s="37"/>
      <c r="E341" s="70"/>
      <c r="F341" s="70"/>
      <c r="G341" s="37"/>
      <c r="H341" s="70"/>
      <c r="I341" s="70"/>
      <c r="J341" s="37"/>
      <c r="K341" s="70"/>
      <c r="L341" s="70"/>
      <c r="M341" s="70"/>
      <c r="N341" s="70"/>
      <c r="O341" s="70"/>
    </row>
    <row r="342" spans="1:15" x14ac:dyDescent="0.25">
      <c r="A342" s="37"/>
      <c r="B342" s="78"/>
      <c r="C342" s="70"/>
      <c r="D342" s="37"/>
      <c r="E342" s="70"/>
      <c r="F342" s="70"/>
      <c r="G342" s="37"/>
      <c r="H342" s="70"/>
      <c r="I342" s="70"/>
      <c r="J342" s="37"/>
      <c r="K342" s="70"/>
      <c r="L342" s="70"/>
      <c r="M342" s="70"/>
      <c r="N342" s="70"/>
      <c r="O342" s="70"/>
    </row>
    <row r="343" spans="1:15" x14ac:dyDescent="0.25">
      <c r="A343" s="37"/>
      <c r="B343" s="78"/>
      <c r="C343" s="70"/>
      <c r="D343" s="37"/>
      <c r="E343" s="70"/>
      <c r="F343" s="70"/>
      <c r="G343" s="37"/>
      <c r="H343" s="70"/>
      <c r="I343" s="70"/>
      <c r="J343" s="37"/>
      <c r="K343" s="70"/>
      <c r="L343" s="70"/>
      <c r="M343" s="70"/>
      <c r="N343" s="70"/>
      <c r="O343" s="70"/>
    </row>
    <row r="344" spans="1:15" x14ac:dyDescent="0.25">
      <c r="A344" s="37"/>
      <c r="B344" s="78"/>
      <c r="C344" s="70"/>
      <c r="D344" s="37"/>
      <c r="E344" s="70"/>
      <c r="F344" s="70"/>
      <c r="G344" s="37"/>
      <c r="H344" s="70"/>
      <c r="I344" s="70"/>
      <c r="J344" s="37"/>
      <c r="K344" s="70"/>
      <c r="L344" s="70"/>
      <c r="M344" s="70"/>
      <c r="N344" s="70"/>
      <c r="O344" s="70"/>
    </row>
    <row r="345" spans="1:15" x14ac:dyDescent="0.25">
      <c r="A345" s="37"/>
      <c r="B345" s="78"/>
      <c r="C345" s="70"/>
      <c r="D345" s="37"/>
      <c r="E345" s="70"/>
      <c r="F345" s="70"/>
      <c r="G345" s="37"/>
      <c r="H345" s="70"/>
      <c r="I345" s="70"/>
      <c r="J345" s="37"/>
      <c r="K345" s="70"/>
      <c r="L345" s="70"/>
      <c r="M345" s="70"/>
      <c r="N345" s="70"/>
      <c r="O345" s="70"/>
    </row>
    <row r="346" spans="1:15" x14ac:dyDescent="0.25">
      <c r="A346" s="37"/>
      <c r="B346" s="78"/>
      <c r="C346" s="70"/>
      <c r="D346" s="37"/>
      <c r="E346" s="70"/>
      <c r="F346" s="70"/>
      <c r="G346" s="37"/>
      <c r="H346" s="70"/>
      <c r="I346" s="70"/>
      <c r="J346" s="37"/>
      <c r="K346" s="70"/>
      <c r="L346" s="70"/>
      <c r="M346" s="70"/>
      <c r="N346" s="70"/>
      <c r="O346" s="70"/>
    </row>
    <row r="347" spans="1:15" x14ac:dyDescent="0.25">
      <c r="A347" s="37"/>
      <c r="B347" s="78"/>
      <c r="C347" s="70"/>
      <c r="D347" s="37"/>
      <c r="E347" s="70"/>
      <c r="F347" s="70"/>
      <c r="G347" s="37"/>
      <c r="H347" s="70"/>
      <c r="I347" s="70"/>
      <c r="J347" s="37"/>
      <c r="K347" s="70"/>
      <c r="L347" s="70"/>
      <c r="M347" s="70"/>
      <c r="N347" s="70"/>
      <c r="O347" s="70"/>
    </row>
    <row r="348" spans="1:15" x14ac:dyDescent="0.25">
      <c r="A348" s="37"/>
      <c r="B348" s="78"/>
      <c r="C348" s="70"/>
      <c r="D348" s="37"/>
      <c r="E348" s="70"/>
      <c r="F348" s="70"/>
      <c r="G348" s="37"/>
      <c r="H348" s="70"/>
      <c r="I348" s="70"/>
      <c r="J348" s="37"/>
      <c r="K348" s="70"/>
      <c r="L348" s="70"/>
      <c r="M348" s="70"/>
      <c r="N348" s="70"/>
      <c r="O348" s="70"/>
    </row>
    <row r="349" spans="1:15" x14ac:dyDescent="0.25">
      <c r="A349" s="37"/>
      <c r="B349" s="78"/>
      <c r="C349" s="70"/>
      <c r="D349" s="37"/>
      <c r="E349" s="70"/>
      <c r="F349" s="70"/>
      <c r="G349" s="37"/>
      <c r="H349" s="70"/>
      <c r="I349" s="70"/>
      <c r="J349" s="37"/>
      <c r="K349" s="70"/>
      <c r="L349" s="70"/>
      <c r="M349" s="70"/>
      <c r="N349" s="70"/>
      <c r="O349" s="70"/>
    </row>
    <row r="350" spans="1:15" x14ac:dyDescent="0.25">
      <c r="A350" s="37"/>
      <c r="B350" s="78"/>
      <c r="C350" s="70"/>
      <c r="D350" s="37"/>
      <c r="E350" s="70"/>
      <c r="F350" s="70"/>
      <c r="G350" s="37"/>
      <c r="H350" s="70"/>
      <c r="I350" s="70"/>
      <c r="J350" s="37"/>
      <c r="K350" s="70"/>
      <c r="L350" s="70"/>
      <c r="M350" s="70"/>
      <c r="N350" s="70"/>
      <c r="O350" s="70"/>
    </row>
    <row r="351" spans="1:15" x14ac:dyDescent="0.25">
      <c r="A351" s="37"/>
      <c r="B351" s="78"/>
      <c r="C351" s="70"/>
      <c r="D351" s="37"/>
      <c r="E351" s="70"/>
      <c r="F351" s="70"/>
      <c r="G351" s="37"/>
      <c r="H351" s="70"/>
      <c r="I351" s="70"/>
      <c r="J351" s="37"/>
      <c r="K351" s="70"/>
      <c r="L351" s="70"/>
      <c r="M351" s="70"/>
      <c r="N351" s="70"/>
      <c r="O351" s="70"/>
    </row>
    <row r="352" spans="1:15" x14ac:dyDescent="0.25">
      <c r="A352" s="37"/>
      <c r="B352" s="78"/>
      <c r="C352" s="70"/>
      <c r="D352" s="37"/>
      <c r="E352" s="70"/>
      <c r="F352" s="70"/>
      <c r="G352" s="37"/>
      <c r="H352" s="70"/>
      <c r="I352" s="70"/>
      <c r="J352" s="37"/>
      <c r="K352" s="70"/>
      <c r="L352" s="70"/>
      <c r="M352" s="70"/>
      <c r="N352" s="70"/>
      <c r="O352" s="70"/>
    </row>
    <row r="353" spans="1:15" x14ac:dyDescent="0.25">
      <c r="A353" s="37"/>
      <c r="B353" s="78"/>
      <c r="C353" s="70"/>
      <c r="D353" s="37"/>
      <c r="E353" s="70"/>
      <c r="F353" s="70"/>
      <c r="G353" s="37"/>
      <c r="H353" s="70"/>
      <c r="I353" s="70"/>
      <c r="J353" s="37"/>
      <c r="K353" s="70"/>
      <c r="L353" s="70"/>
      <c r="M353" s="70"/>
      <c r="N353" s="70"/>
      <c r="O353" s="70"/>
    </row>
    <row r="354" spans="1:15" x14ac:dyDescent="0.25">
      <c r="A354" s="37"/>
      <c r="B354" s="78"/>
      <c r="C354" s="70"/>
      <c r="D354" s="37"/>
      <c r="E354" s="70"/>
      <c r="F354" s="70"/>
      <c r="G354" s="37"/>
      <c r="H354" s="70"/>
      <c r="I354" s="70"/>
      <c r="J354" s="37"/>
      <c r="K354" s="70"/>
      <c r="L354" s="70"/>
      <c r="M354" s="70"/>
      <c r="N354" s="70"/>
      <c r="O354" s="70"/>
    </row>
    <row r="355" spans="1:15" x14ac:dyDescent="0.25">
      <c r="A355" s="37"/>
      <c r="B355" s="78"/>
      <c r="C355" s="70"/>
      <c r="D355" s="37"/>
      <c r="E355" s="70"/>
      <c r="F355" s="70"/>
      <c r="G355" s="37"/>
      <c r="H355" s="70"/>
      <c r="I355" s="70"/>
      <c r="J355" s="37"/>
      <c r="K355" s="70"/>
      <c r="L355" s="70"/>
      <c r="M355" s="70"/>
      <c r="N355" s="70"/>
      <c r="O355" s="70"/>
    </row>
    <row r="356" spans="1:15" x14ac:dyDescent="0.25">
      <c r="A356" s="37"/>
      <c r="B356" s="78"/>
      <c r="C356" s="70"/>
      <c r="D356" s="37"/>
      <c r="E356" s="70"/>
      <c r="F356" s="70"/>
      <c r="G356" s="37"/>
      <c r="H356" s="70"/>
      <c r="I356" s="70"/>
      <c r="J356" s="37"/>
      <c r="K356" s="70"/>
      <c r="L356" s="70"/>
      <c r="M356" s="70"/>
      <c r="N356" s="70"/>
      <c r="O356" s="70"/>
    </row>
    <row r="357" spans="1:15" x14ac:dyDescent="0.25">
      <c r="A357" s="37"/>
      <c r="B357" s="78"/>
      <c r="C357" s="70"/>
      <c r="D357" s="37"/>
      <c r="E357" s="70"/>
      <c r="F357" s="70"/>
      <c r="G357" s="37"/>
      <c r="H357" s="70"/>
      <c r="I357" s="70"/>
      <c r="J357" s="37"/>
      <c r="K357" s="70"/>
      <c r="L357" s="70"/>
      <c r="M357" s="70"/>
      <c r="N357" s="70"/>
      <c r="O357" s="70"/>
    </row>
    <row r="358" spans="1:15" x14ac:dyDescent="0.25">
      <c r="A358" s="37"/>
      <c r="B358" s="78"/>
      <c r="C358" s="70"/>
      <c r="D358" s="37"/>
      <c r="E358" s="70"/>
      <c r="F358" s="70"/>
      <c r="G358" s="37"/>
      <c r="H358" s="70"/>
      <c r="I358" s="70"/>
      <c r="J358" s="37"/>
      <c r="K358" s="70"/>
      <c r="L358" s="70"/>
      <c r="M358" s="70"/>
      <c r="N358" s="70"/>
      <c r="O358" s="70"/>
    </row>
    <row r="359" spans="1:15" x14ac:dyDescent="0.25">
      <c r="A359" s="37"/>
      <c r="B359" s="78"/>
      <c r="C359" s="70"/>
      <c r="D359" s="37"/>
      <c r="E359" s="70"/>
      <c r="F359" s="70"/>
      <c r="G359" s="37"/>
      <c r="H359" s="70"/>
      <c r="I359" s="70"/>
      <c r="J359" s="37"/>
      <c r="K359" s="70"/>
      <c r="L359" s="70"/>
      <c r="M359" s="70"/>
      <c r="N359" s="70"/>
      <c r="O359" s="70"/>
    </row>
    <row r="360" spans="1:15" x14ac:dyDescent="0.25">
      <c r="A360" s="37"/>
      <c r="B360" s="78"/>
      <c r="C360" s="70"/>
      <c r="D360" s="37"/>
      <c r="E360" s="70"/>
      <c r="F360" s="70"/>
      <c r="G360" s="37"/>
      <c r="H360" s="70"/>
      <c r="I360" s="70"/>
      <c r="J360" s="37"/>
      <c r="K360" s="70"/>
      <c r="L360" s="70"/>
      <c r="M360" s="70"/>
      <c r="N360" s="70"/>
      <c r="O360" s="70"/>
    </row>
    <row r="361" spans="1:15" x14ac:dyDescent="0.25">
      <c r="A361" s="37"/>
      <c r="B361" s="78"/>
      <c r="C361" s="70"/>
      <c r="D361" s="37"/>
      <c r="E361" s="70"/>
      <c r="F361" s="70"/>
      <c r="G361" s="37"/>
      <c r="H361" s="70"/>
      <c r="I361" s="70"/>
      <c r="J361" s="37"/>
      <c r="K361" s="70"/>
      <c r="L361" s="70"/>
      <c r="M361" s="70"/>
      <c r="N361" s="70"/>
      <c r="O361" s="70"/>
    </row>
    <row r="362" spans="1:15" x14ac:dyDescent="0.25">
      <c r="A362" s="37"/>
      <c r="B362" s="78"/>
      <c r="C362" s="70"/>
      <c r="D362" s="37"/>
      <c r="E362" s="70"/>
      <c r="F362" s="70"/>
      <c r="G362" s="37"/>
      <c r="H362" s="70"/>
      <c r="I362" s="70"/>
      <c r="J362" s="37"/>
      <c r="K362" s="70"/>
      <c r="L362" s="70"/>
      <c r="M362" s="70"/>
      <c r="N362" s="70"/>
      <c r="O362" s="70"/>
    </row>
    <row r="363" spans="1:15" x14ac:dyDescent="0.25">
      <c r="A363" s="37"/>
      <c r="B363" s="78"/>
      <c r="C363" s="70"/>
      <c r="D363" s="37"/>
      <c r="E363" s="70"/>
      <c r="F363" s="70"/>
      <c r="G363" s="37"/>
      <c r="H363" s="70"/>
      <c r="I363" s="70"/>
      <c r="J363" s="37"/>
      <c r="K363" s="70"/>
      <c r="L363" s="70"/>
      <c r="M363" s="70"/>
      <c r="N363" s="70"/>
      <c r="O363" s="70"/>
    </row>
    <row r="364" spans="1:15" x14ac:dyDescent="0.25">
      <c r="A364" s="37"/>
      <c r="B364" s="78"/>
      <c r="C364" s="70"/>
      <c r="D364" s="37"/>
      <c r="E364" s="70"/>
      <c r="F364" s="70"/>
      <c r="G364" s="37"/>
      <c r="H364" s="70"/>
      <c r="I364" s="70"/>
      <c r="J364" s="37"/>
      <c r="K364" s="70"/>
      <c r="L364" s="70"/>
      <c r="M364" s="70"/>
      <c r="N364" s="70"/>
      <c r="O364" s="70"/>
    </row>
    <row r="365" spans="1:15" x14ac:dyDescent="0.25">
      <c r="A365" s="37"/>
      <c r="B365" s="78"/>
      <c r="C365" s="70"/>
      <c r="D365" s="37"/>
      <c r="E365" s="70"/>
      <c r="F365" s="70"/>
      <c r="G365" s="37"/>
      <c r="H365" s="70"/>
      <c r="I365" s="70"/>
      <c r="J365" s="37"/>
      <c r="K365" s="70"/>
      <c r="L365" s="70"/>
      <c r="M365" s="70"/>
      <c r="N365" s="70"/>
      <c r="O365" s="70"/>
    </row>
    <row r="366" spans="1:15" x14ac:dyDescent="0.25">
      <c r="A366" s="37"/>
      <c r="B366" s="78"/>
      <c r="C366" s="70"/>
      <c r="D366" s="37"/>
      <c r="E366" s="70"/>
      <c r="F366" s="70"/>
      <c r="G366" s="37"/>
      <c r="H366" s="70"/>
      <c r="I366" s="70"/>
      <c r="J366" s="37"/>
      <c r="K366" s="70"/>
      <c r="L366" s="70"/>
      <c r="M366" s="70"/>
      <c r="N366" s="70"/>
      <c r="O366" s="70"/>
    </row>
    <row r="367" spans="1:15" x14ac:dyDescent="0.25">
      <c r="A367" s="37"/>
      <c r="B367" s="78"/>
      <c r="C367" s="70"/>
      <c r="D367" s="37"/>
      <c r="E367" s="70"/>
      <c r="F367" s="70"/>
      <c r="G367" s="37"/>
      <c r="H367" s="70"/>
      <c r="I367" s="70"/>
      <c r="J367" s="37"/>
      <c r="K367" s="70"/>
      <c r="L367" s="70"/>
      <c r="M367" s="70"/>
      <c r="N367" s="70"/>
      <c r="O367" s="70"/>
    </row>
    <row r="368" spans="1:15" x14ac:dyDescent="0.25">
      <c r="A368" s="37"/>
      <c r="B368" s="78"/>
      <c r="C368" s="70"/>
      <c r="D368" s="37"/>
      <c r="E368" s="70"/>
      <c r="F368" s="70"/>
      <c r="G368" s="37"/>
      <c r="H368" s="70"/>
      <c r="I368" s="70"/>
      <c r="J368" s="37"/>
      <c r="K368" s="70"/>
      <c r="L368" s="70"/>
      <c r="M368" s="70"/>
      <c r="N368" s="70"/>
      <c r="O368" s="70"/>
    </row>
    <row r="369" spans="1:15" x14ac:dyDescent="0.25">
      <c r="A369" s="37"/>
      <c r="B369" s="78"/>
      <c r="C369" s="70"/>
      <c r="D369" s="37"/>
      <c r="E369" s="70"/>
      <c r="F369" s="70"/>
      <c r="G369" s="37"/>
      <c r="H369" s="70"/>
      <c r="I369" s="70"/>
      <c r="J369" s="37"/>
      <c r="K369" s="70"/>
      <c r="L369" s="70"/>
      <c r="M369" s="70"/>
      <c r="N369" s="70"/>
      <c r="O369" s="70"/>
    </row>
    <row r="370" spans="1:15" x14ac:dyDescent="0.25">
      <c r="A370" s="37"/>
      <c r="B370" s="78"/>
      <c r="C370" s="70"/>
      <c r="D370" s="37"/>
      <c r="E370" s="70"/>
      <c r="F370" s="70"/>
      <c r="G370" s="37"/>
      <c r="H370" s="70"/>
      <c r="I370" s="70"/>
      <c r="J370" s="37"/>
      <c r="K370" s="70"/>
      <c r="L370" s="70"/>
      <c r="M370" s="70"/>
      <c r="N370" s="70"/>
      <c r="O370" s="70"/>
    </row>
    <row r="371" spans="1:15" x14ac:dyDescent="0.25">
      <c r="A371" s="37"/>
      <c r="B371" s="78"/>
      <c r="C371" s="70"/>
      <c r="D371" s="37"/>
      <c r="E371" s="70"/>
      <c r="F371" s="70"/>
      <c r="G371" s="37"/>
      <c r="H371" s="70"/>
      <c r="I371" s="70"/>
      <c r="J371" s="37"/>
      <c r="K371" s="70"/>
      <c r="L371" s="70"/>
      <c r="M371" s="70"/>
      <c r="N371" s="70"/>
      <c r="O371" s="70"/>
    </row>
    <row r="372" spans="1:15" x14ac:dyDescent="0.25">
      <c r="A372" s="37"/>
      <c r="B372" s="78"/>
      <c r="C372" s="70"/>
      <c r="D372" s="37"/>
      <c r="E372" s="70"/>
      <c r="F372" s="70"/>
      <c r="G372" s="37"/>
      <c r="H372" s="70"/>
      <c r="I372" s="70"/>
      <c r="J372" s="37"/>
      <c r="K372" s="70"/>
      <c r="L372" s="70"/>
      <c r="M372" s="70"/>
      <c r="N372" s="70"/>
      <c r="O372" s="70"/>
    </row>
    <row r="373" spans="1:15" x14ac:dyDescent="0.25">
      <c r="A373" s="37"/>
      <c r="B373" s="78"/>
      <c r="C373" s="70"/>
      <c r="D373" s="37"/>
      <c r="E373" s="70"/>
      <c r="F373" s="70"/>
      <c r="G373" s="37"/>
      <c r="H373" s="70"/>
      <c r="I373" s="70"/>
      <c r="J373" s="37"/>
      <c r="K373" s="70"/>
      <c r="L373" s="70"/>
      <c r="M373" s="70"/>
      <c r="N373" s="70"/>
      <c r="O373" s="70"/>
    </row>
    <row r="374" spans="1:15" x14ac:dyDescent="0.25">
      <c r="A374" s="37"/>
      <c r="B374" s="78"/>
      <c r="C374" s="70"/>
      <c r="D374" s="37"/>
      <c r="E374" s="70"/>
      <c r="F374" s="70"/>
      <c r="G374" s="37"/>
      <c r="H374" s="70"/>
      <c r="I374" s="70"/>
      <c r="J374" s="37"/>
      <c r="K374" s="70"/>
      <c r="L374" s="70"/>
      <c r="M374" s="70"/>
      <c r="N374" s="70"/>
      <c r="O374" s="70"/>
    </row>
    <row r="375" spans="1:15" x14ac:dyDescent="0.25">
      <c r="A375" s="37"/>
      <c r="B375" s="78"/>
      <c r="C375" s="70"/>
      <c r="D375" s="37"/>
      <c r="E375" s="70"/>
      <c r="F375" s="70"/>
      <c r="G375" s="37"/>
      <c r="H375" s="70"/>
      <c r="I375" s="70"/>
      <c r="J375" s="37"/>
      <c r="K375" s="70"/>
      <c r="L375" s="70"/>
      <c r="M375" s="70"/>
      <c r="N375" s="70"/>
      <c r="O375" s="70"/>
    </row>
    <row r="376" spans="1:15" x14ac:dyDescent="0.25">
      <c r="A376" s="37"/>
      <c r="B376" s="78"/>
      <c r="C376" s="70"/>
      <c r="D376" s="37"/>
      <c r="E376" s="70"/>
      <c r="F376" s="70"/>
      <c r="G376" s="37"/>
      <c r="H376" s="70"/>
      <c r="I376" s="70"/>
      <c r="J376" s="37"/>
      <c r="K376" s="70"/>
      <c r="L376" s="70"/>
      <c r="M376" s="70"/>
      <c r="N376" s="70"/>
      <c r="O376" s="70"/>
    </row>
    <row r="377" spans="1:15" x14ac:dyDescent="0.25">
      <c r="A377" s="37"/>
      <c r="B377" s="78"/>
      <c r="C377" s="70"/>
      <c r="D377" s="37"/>
      <c r="E377" s="70"/>
      <c r="F377" s="70"/>
      <c r="G377" s="37"/>
      <c r="H377" s="70"/>
      <c r="I377" s="70"/>
      <c r="J377" s="37"/>
      <c r="K377" s="70"/>
      <c r="L377" s="70"/>
      <c r="M377" s="70"/>
      <c r="N377" s="70"/>
      <c r="O377" s="70"/>
    </row>
    <row r="378" spans="1:15" x14ac:dyDescent="0.25">
      <c r="A378" s="37"/>
      <c r="B378" s="78"/>
      <c r="C378" s="70"/>
      <c r="D378" s="37"/>
      <c r="E378" s="70"/>
      <c r="F378" s="70"/>
      <c r="G378" s="37"/>
      <c r="H378" s="70"/>
      <c r="I378" s="70"/>
      <c r="J378" s="37"/>
      <c r="K378" s="70"/>
      <c r="L378" s="70"/>
      <c r="M378" s="70"/>
      <c r="N378" s="70"/>
      <c r="O378" s="70"/>
    </row>
    <row r="379" spans="1:15" x14ac:dyDescent="0.25">
      <c r="A379" s="37"/>
      <c r="B379" s="78"/>
      <c r="C379" s="70"/>
      <c r="D379" s="37"/>
      <c r="E379" s="70"/>
      <c r="F379" s="70"/>
      <c r="G379" s="37"/>
      <c r="H379" s="70"/>
      <c r="I379" s="70"/>
      <c r="J379" s="37"/>
      <c r="K379" s="70"/>
      <c r="L379" s="70"/>
      <c r="M379" s="70"/>
      <c r="N379" s="70"/>
      <c r="O379" s="70"/>
    </row>
    <row r="380" spans="1:15" x14ac:dyDescent="0.25">
      <c r="A380" s="37"/>
      <c r="B380" s="78"/>
      <c r="C380" s="70"/>
      <c r="D380" s="37"/>
      <c r="E380" s="70"/>
      <c r="F380" s="70"/>
      <c r="G380" s="37"/>
      <c r="H380" s="70"/>
      <c r="I380" s="70"/>
      <c r="J380" s="37"/>
      <c r="K380" s="70"/>
      <c r="L380" s="70"/>
      <c r="M380" s="70"/>
      <c r="N380" s="70"/>
      <c r="O380" s="70"/>
    </row>
    <row r="381" spans="1:15" x14ac:dyDescent="0.25">
      <c r="A381" s="37"/>
      <c r="B381" s="78"/>
      <c r="C381" s="70"/>
      <c r="D381" s="37"/>
      <c r="E381" s="70"/>
      <c r="F381" s="70"/>
      <c r="G381" s="37"/>
      <c r="H381" s="70"/>
      <c r="I381" s="70"/>
      <c r="J381" s="37"/>
      <c r="K381" s="70"/>
      <c r="L381" s="70"/>
      <c r="M381" s="70"/>
      <c r="N381" s="70"/>
      <c r="O381" s="70"/>
    </row>
    <row r="382" spans="1:15" x14ac:dyDescent="0.25">
      <c r="A382" s="37"/>
      <c r="B382" s="78"/>
      <c r="C382" s="70"/>
      <c r="D382" s="37"/>
      <c r="E382" s="70"/>
      <c r="F382" s="70"/>
      <c r="G382" s="37"/>
      <c r="H382" s="70"/>
      <c r="I382" s="70"/>
      <c r="J382" s="37"/>
      <c r="K382" s="70"/>
      <c r="L382" s="70"/>
      <c r="M382" s="70"/>
      <c r="N382" s="70"/>
      <c r="O382" s="70"/>
    </row>
    <row r="383" spans="1:15" x14ac:dyDescent="0.25">
      <c r="A383" s="37"/>
      <c r="B383" s="78"/>
      <c r="C383" s="70"/>
      <c r="D383" s="37"/>
      <c r="E383" s="70"/>
      <c r="F383" s="70"/>
      <c r="G383" s="37"/>
      <c r="H383" s="70"/>
      <c r="I383" s="70"/>
      <c r="J383" s="37"/>
      <c r="K383" s="70"/>
      <c r="L383" s="70"/>
      <c r="M383" s="70"/>
      <c r="N383" s="70"/>
      <c r="O383" s="70"/>
    </row>
    <row r="384" spans="1:15" x14ac:dyDescent="0.25">
      <c r="A384" s="37"/>
      <c r="B384" s="78"/>
      <c r="C384" s="70"/>
      <c r="D384" s="37"/>
      <c r="E384" s="70"/>
      <c r="F384" s="70"/>
      <c r="G384" s="37"/>
      <c r="H384" s="70"/>
      <c r="I384" s="70"/>
      <c r="J384" s="37"/>
      <c r="K384" s="70"/>
      <c r="L384" s="70"/>
      <c r="M384" s="70"/>
      <c r="N384" s="70"/>
      <c r="O384" s="70"/>
    </row>
    <row r="385" spans="1:15" x14ac:dyDescent="0.25">
      <c r="A385" s="37"/>
      <c r="B385" s="78"/>
      <c r="C385" s="70"/>
      <c r="D385" s="37"/>
      <c r="E385" s="70"/>
      <c r="F385" s="70"/>
      <c r="G385" s="37"/>
      <c r="H385" s="70"/>
      <c r="I385" s="70"/>
      <c r="J385" s="37"/>
      <c r="K385" s="70"/>
      <c r="L385" s="70"/>
      <c r="M385" s="70"/>
      <c r="N385" s="70"/>
      <c r="O385" s="70"/>
    </row>
    <row r="386" spans="1:15" x14ac:dyDescent="0.25">
      <c r="A386" s="37"/>
      <c r="B386" s="78"/>
      <c r="C386" s="70"/>
      <c r="D386" s="37"/>
      <c r="E386" s="70"/>
      <c r="F386" s="70"/>
      <c r="G386" s="37"/>
      <c r="H386" s="70"/>
      <c r="I386" s="70"/>
      <c r="J386" s="37"/>
      <c r="K386" s="70"/>
      <c r="L386" s="70"/>
      <c r="M386" s="70"/>
      <c r="N386" s="70"/>
      <c r="O386" s="70"/>
    </row>
    <row r="387" spans="1:15" x14ac:dyDescent="0.25">
      <c r="A387" s="37"/>
      <c r="B387" s="78"/>
      <c r="C387" s="70"/>
      <c r="D387" s="37"/>
      <c r="E387" s="70"/>
      <c r="F387" s="70"/>
      <c r="G387" s="37"/>
      <c r="H387" s="70"/>
      <c r="I387" s="70"/>
      <c r="J387" s="37"/>
      <c r="K387" s="70"/>
      <c r="L387" s="70"/>
      <c r="M387" s="70"/>
      <c r="N387" s="70"/>
      <c r="O387" s="70"/>
    </row>
    <row r="388" spans="1:15" x14ac:dyDescent="0.25">
      <c r="A388" s="37"/>
      <c r="B388" s="78"/>
      <c r="C388" s="70"/>
      <c r="D388" s="37"/>
      <c r="E388" s="70"/>
      <c r="F388" s="70"/>
      <c r="G388" s="37"/>
      <c r="H388" s="70"/>
      <c r="I388" s="70"/>
      <c r="J388" s="37"/>
      <c r="K388" s="70"/>
      <c r="L388" s="70"/>
      <c r="M388" s="70"/>
      <c r="N388" s="70"/>
      <c r="O388" s="70"/>
    </row>
    <row r="389" spans="1:15" x14ac:dyDescent="0.25">
      <c r="A389" s="37"/>
      <c r="B389" s="78"/>
      <c r="C389" s="70"/>
      <c r="D389" s="37"/>
      <c r="E389" s="70"/>
      <c r="F389" s="70"/>
      <c r="G389" s="37"/>
      <c r="H389" s="70"/>
      <c r="I389" s="70"/>
      <c r="J389" s="37"/>
      <c r="K389" s="70"/>
      <c r="L389" s="70"/>
      <c r="M389" s="70"/>
      <c r="N389" s="70"/>
      <c r="O389" s="70"/>
    </row>
    <row r="390" spans="1:15" x14ac:dyDescent="0.25">
      <c r="A390" s="37"/>
      <c r="B390" s="78"/>
      <c r="C390" s="70"/>
      <c r="D390" s="37"/>
      <c r="E390" s="70"/>
      <c r="F390" s="70"/>
      <c r="G390" s="37"/>
      <c r="H390" s="70"/>
      <c r="I390" s="70"/>
      <c r="J390" s="37"/>
      <c r="K390" s="70"/>
      <c r="L390" s="70"/>
      <c r="M390" s="70"/>
      <c r="N390" s="70"/>
      <c r="O390" s="70"/>
    </row>
    <row r="391" spans="1:15" x14ac:dyDescent="0.25">
      <c r="A391" s="37"/>
      <c r="B391" s="78"/>
      <c r="C391" s="70"/>
      <c r="D391" s="37"/>
      <c r="E391" s="70"/>
      <c r="F391" s="70"/>
      <c r="G391" s="37"/>
      <c r="H391" s="70"/>
      <c r="I391" s="70"/>
      <c r="J391" s="37"/>
      <c r="K391" s="70"/>
      <c r="L391" s="70"/>
      <c r="M391" s="70"/>
      <c r="N391" s="70"/>
      <c r="O391" s="70"/>
    </row>
    <row r="392" spans="1:15" x14ac:dyDescent="0.25">
      <c r="A392" s="37"/>
      <c r="B392" s="78"/>
      <c r="C392" s="70"/>
      <c r="D392" s="37"/>
      <c r="E392" s="70"/>
      <c r="F392" s="70"/>
      <c r="G392" s="37"/>
      <c r="H392" s="70"/>
      <c r="I392" s="70"/>
      <c r="J392" s="37"/>
      <c r="K392" s="70"/>
      <c r="L392" s="70"/>
      <c r="M392" s="70"/>
      <c r="N392" s="70"/>
      <c r="O392" s="70"/>
    </row>
    <row r="393" spans="1:15" x14ac:dyDescent="0.25">
      <c r="A393" s="37"/>
      <c r="B393" s="78"/>
      <c r="C393" s="70"/>
      <c r="D393" s="37"/>
      <c r="E393" s="70"/>
      <c r="F393" s="70"/>
      <c r="G393" s="37"/>
      <c r="H393" s="70"/>
      <c r="I393" s="70"/>
      <c r="J393" s="37"/>
      <c r="K393" s="70"/>
      <c r="L393" s="70"/>
      <c r="M393" s="70"/>
      <c r="N393" s="70"/>
      <c r="O393" s="70"/>
    </row>
    <row r="394" spans="1:15" x14ac:dyDescent="0.25">
      <c r="A394" s="37"/>
      <c r="B394" s="78"/>
      <c r="C394" s="70"/>
      <c r="D394" s="37"/>
      <c r="E394" s="70"/>
      <c r="F394" s="70"/>
      <c r="G394" s="37"/>
      <c r="H394" s="70"/>
      <c r="I394" s="70"/>
      <c r="J394" s="37"/>
      <c r="K394" s="70"/>
      <c r="L394" s="70"/>
      <c r="M394" s="70"/>
      <c r="N394" s="70"/>
      <c r="O394" s="70"/>
    </row>
    <row r="395" spans="1:15" x14ac:dyDescent="0.25">
      <c r="A395" s="37"/>
      <c r="B395" s="78"/>
      <c r="C395" s="70"/>
      <c r="D395" s="37"/>
      <c r="E395" s="70"/>
      <c r="F395" s="70"/>
      <c r="G395" s="37"/>
      <c r="H395" s="70"/>
      <c r="I395" s="70"/>
      <c r="J395" s="37"/>
      <c r="K395" s="70"/>
      <c r="L395" s="70"/>
      <c r="M395" s="70"/>
      <c r="N395" s="70"/>
      <c r="O395" s="70"/>
    </row>
    <row r="396" spans="1:15" x14ac:dyDescent="0.25">
      <c r="A396" s="37"/>
      <c r="B396" s="78"/>
      <c r="C396" s="70"/>
      <c r="D396" s="37"/>
      <c r="E396" s="70"/>
      <c r="F396" s="70"/>
      <c r="G396" s="37"/>
      <c r="H396" s="70"/>
      <c r="I396" s="70"/>
      <c r="J396" s="37"/>
      <c r="K396" s="70"/>
      <c r="L396" s="70"/>
      <c r="M396" s="70"/>
      <c r="N396" s="70"/>
      <c r="O396" s="70"/>
    </row>
    <row r="397" spans="1:15" x14ac:dyDescent="0.25">
      <c r="A397" s="37"/>
      <c r="B397" s="78"/>
      <c r="C397" s="70"/>
      <c r="D397" s="37"/>
      <c r="E397" s="70"/>
      <c r="F397" s="70"/>
      <c r="G397" s="37"/>
      <c r="H397" s="70"/>
      <c r="I397" s="70"/>
      <c r="J397" s="37"/>
      <c r="K397" s="70"/>
      <c r="L397" s="70"/>
      <c r="M397" s="70"/>
      <c r="N397" s="70"/>
      <c r="O397" s="70"/>
    </row>
    <row r="398" spans="1:15" x14ac:dyDescent="0.25">
      <c r="A398" s="37"/>
      <c r="B398" s="78"/>
      <c r="C398" s="70"/>
      <c r="D398" s="37"/>
      <c r="E398" s="70"/>
      <c r="F398" s="70"/>
      <c r="G398" s="37"/>
      <c r="H398" s="70"/>
      <c r="I398" s="70"/>
      <c r="J398" s="37"/>
      <c r="K398" s="70"/>
      <c r="L398" s="70"/>
      <c r="M398" s="70"/>
      <c r="N398" s="70"/>
      <c r="O398" s="70"/>
    </row>
    <row r="399" spans="1:15" x14ac:dyDescent="0.25">
      <c r="A399" s="37"/>
      <c r="B399" s="78"/>
      <c r="C399" s="70"/>
      <c r="D399" s="37"/>
      <c r="E399" s="70"/>
      <c r="F399" s="70"/>
      <c r="G399" s="37"/>
      <c r="H399" s="70"/>
      <c r="I399" s="70"/>
      <c r="J399" s="37"/>
      <c r="K399" s="70"/>
      <c r="L399" s="70"/>
      <c r="M399" s="70"/>
      <c r="N399" s="70"/>
      <c r="O399" s="70"/>
    </row>
    <row r="400" spans="1:15" x14ac:dyDescent="0.25">
      <c r="A400" s="37"/>
      <c r="B400" s="78"/>
      <c r="C400" s="70"/>
      <c r="D400" s="37"/>
      <c r="E400" s="70"/>
      <c r="F400" s="70"/>
      <c r="G400" s="37"/>
      <c r="H400" s="70"/>
      <c r="I400" s="70"/>
      <c r="J400" s="37"/>
      <c r="K400" s="70"/>
      <c r="L400" s="70"/>
      <c r="M400" s="70"/>
      <c r="N400" s="70"/>
      <c r="O400" s="70"/>
    </row>
    <row r="401" spans="1:15" x14ac:dyDescent="0.25">
      <c r="A401" s="37"/>
      <c r="B401" s="78"/>
      <c r="C401" s="70"/>
      <c r="D401" s="37"/>
      <c r="E401" s="70"/>
      <c r="F401" s="70"/>
      <c r="G401" s="37"/>
      <c r="H401" s="70"/>
      <c r="I401" s="70"/>
      <c r="J401" s="37"/>
      <c r="K401" s="70"/>
      <c r="L401" s="70"/>
      <c r="M401" s="70"/>
      <c r="N401" s="70"/>
      <c r="O401" s="70"/>
    </row>
    <row r="402" spans="1:15" x14ac:dyDescent="0.25">
      <c r="A402" s="37"/>
      <c r="B402" s="78"/>
      <c r="C402" s="70"/>
      <c r="D402" s="37"/>
      <c r="E402" s="70"/>
      <c r="F402" s="70"/>
      <c r="G402" s="37"/>
      <c r="H402" s="70"/>
      <c r="I402" s="70"/>
      <c r="J402" s="37"/>
      <c r="K402" s="70"/>
      <c r="L402" s="70"/>
      <c r="M402" s="70"/>
      <c r="N402" s="70"/>
      <c r="O402" s="70"/>
    </row>
    <row r="403" spans="1:15" x14ac:dyDescent="0.25">
      <c r="A403" s="37"/>
      <c r="B403" s="78"/>
      <c r="C403" s="70"/>
      <c r="D403" s="37"/>
      <c r="E403" s="70"/>
      <c r="F403" s="70"/>
      <c r="G403" s="37"/>
      <c r="H403" s="70"/>
      <c r="I403" s="70"/>
      <c r="J403" s="37"/>
      <c r="K403" s="70"/>
      <c r="L403" s="70"/>
      <c r="M403" s="70"/>
      <c r="N403" s="70"/>
      <c r="O403" s="70"/>
    </row>
    <row r="404" spans="1:15" x14ac:dyDescent="0.25">
      <c r="A404" s="37"/>
      <c r="B404" s="78"/>
      <c r="C404" s="70"/>
      <c r="D404" s="37"/>
      <c r="E404" s="70"/>
      <c r="F404" s="70"/>
      <c r="G404" s="37"/>
      <c r="H404" s="70"/>
      <c r="I404" s="70"/>
      <c r="J404" s="37"/>
      <c r="K404" s="70"/>
      <c r="L404" s="70"/>
      <c r="M404" s="70"/>
      <c r="N404" s="70"/>
      <c r="O404" s="70"/>
    </row>
    <row r="405" spans="1:15" x14ac:dyDescent="0.25">
      <c r="A405" s="37"/>
      <c r="B405" s="78"/>
      <c r="C405" s="70"/>
      <c r="D405" s="37"/>
      <c r="E405" s="70"/>
      <c r="F405" s="70"/>
      <c r="G405" s="37"/>
      <c r="H405" s="70"/>
      <c r="I405" s="70"/>
      <c r="J405" s="37"/>
      <c r="K405" s="70"/>
      <c r="L405" s="70"/>
      <c r="M405" s="70"/>
      <c r="N405" s="70"/>
      <c r="O405" s="70"/>
    </row>
    <row r="406" spans="1:15" x14ac:dyDescent="0.25">
      <c r="A406" s="37"/>
      <c r="B406" s="78"/>
      <c r="C406" s="70"/>
      <c r="D406" s="37"/>
      <c r="E406" s="70"/>
      <c r="F406" s="70"/>
      <c r="G406" s="37"/>
      <c r="H406" s="70"/>
      <c r="I406" s="70"/>
      <c r="J406" s="37"/>
      <c r="K406" s="70"/>
      <c r="L406" s="70"/>
      <c r="M406" s="70"/>
      <c r="N406" s="70"/>
      <c r="O406" s="70"/>
    </row>
    <row r="407" spans="1:15" x14ac:dyDescent="0.25">
      <c r="A407" s="37"/>
      <c r="B407" s="78"/>
      <c r="C407" s="70"/>
      <c r="D407" s="37"/>
      <c r="E407" s="70"/>
      <c r="F407" s="70"/>
      <c r="G407" s="37"/>
      <c r="H407" s="70"/>
      <c r="I407" s="70"/>
      <c r="J407" s="37"/>
      <c r="K407" s="70"/>
      <c r="L407" s="70"/>
      <c r="M407" s="70"/>
      <c r="N407" s="70"/>
      <c r="O407" s="70"/>
    </row>
    <row r="408" spans="1:15" x14ac:dyDescent="0.25">
      <c r="A408" s="37"/>
      <c r="B408" s="78"/>
      <c r="C408" s="70"/>
      <c r="D408" s="37"/>
      <c r="E408" s="70"/>
      <c r="F408" s="70"/>
      <c r="G408" s="37"/>
      <c r="H408" s="70"/>
      <c r="I408" s="70"/>
      <c r="J408" s="37"/>
      <c r="K408" s="70"/>
      <c r="L408" s="70"/>
      <c r="M408" s="70"/>
      <c r="N408" s="70"/>
      <c r="O408" s="70"/>
    </row>
    <row r="409" spans="1:15" x14ac:dyDescent="0.25">
      <c r="A409" s="37"/>
      <c r="B409" s="78"/>
      <c r="C409" s="70"/>
      <c r="D409" s="37"/>
      <c r="E409" s="70"/>
      <c r="F409" s="70"/>
      <c r="G409" s="37"/>
      <c r="H409" s="70"/>
      <c r="I409" s="70"/>
      <c r="J409" s="37"/>
      <c r="K409" s="70"/>
      <c r="L409" s="70"/>
      <c r="M409" s="70"/>
      <c r="N409" s="70"/>
      <c r="O409" s="70"/>
    </row>
    <row r="410" spans="1:15" x14ac:dyDescent="0.25">
      <c r="A410" s="37"/>
      <c r="B410" s="78"/>
      <c r="C410" s="70"/>
      <c r="D410" s="37"/>
      <c r="E410" s="70"/>
      <c r="F410" s="70"/>
      <c r="G410" s="37"/>
      <c r="H410" s="70"/>
      <c r="I410" s="70"/>
      <c r="J410" s="37"/>
      <c r="K410" s="70"/>
      <c r="L410" s="70"/>
      <c r="M410" s="70"/>
      <c r="N410" s="70"/>
      <c r="O410" s="70"/>
    </row>
    <row r="411" spans="1:15" x14ac:dyDescent="0.25">
      <c r="A411" s="37"/>
      <c r="B411" s="78"/>
      <c r="C411" s="70"/>
      <c r="D411" s="37"/>
      <c r="E411" s="70"/>
      <c r="F411" s="70"/>
      <c r="G411" s="37"/>
      <c r="H411" s="70"/>
      <c r="I411" s="70"/>
      <c r="J411" s="37"/>
      <c r="K411" s="70"/>
      <c r="L411" s="70"/>
      <c r="M411" s="70"/>
      <c r="N411" s="70"/>
      <c r="O411" s="70"/>
    </row>
    <row r="412" spans="1:15" x14ac:dyDescent="0.25">
      <c r="A412" s="37"/>
      <c r="B412" s="78"/>
      <c r="C412" s="70"/>
      <c r="D412" s="37"/>
      <c r="E412" s="70"/>
      <c r="F412" s="70"/>
      <c r="G412" s="37"/>
      <c r="H412" s="70"/>
      <c r="I412" s="70"/>
      <c r="J412" s="37"/>
      <c r="K412" s="70"/>
      <c r="L412" s="70"/>
      <c r="M412" s="70"/>
      <c r="N412" s="70"/>
      <c r="O412" s="70"/>
    </row>
    <row r="413" spans="1:15" x14ac:dyDescent="0.25">
      <c r="A413" s="37"/>
      <c r="B413" s="78"/>
      <c r="C413" s="70"/>
      <c r="D413" s="37"/>
      <c r="E413" s="70"/>
      <c r="F413" s="70"/>
      <c r="G413" s="37"/>
      <c r="H413" s="70"/>
      <c r="I413" s="70"/>
      <c r="J413" s="37"/>
      <c r="K413" s="70"/>
      <c r="L413" s="70"/>
      <c r="M413" s="70"/>
      <c r="N413" s="70"/>
      <c r="O413" s="70"/>
    </row>
    <row r="414" spans="1:15" x14ac:dyDescent="0.25">
      <c r="A414" s="37"/>
      <c r="B414" s="78"/>
      <c r="C414" s="70"/>
      <c r="D414" s="37"/>
      <c r="E414" s="70"/>
      <c r="F414" s="70"/>
      <c r="G414" s="37"/>
      <c r="H414" s="70"/>
      <c r="I414" s="70"/>
      <c r="J414" s="37"/>
      <c r="K414" s="70"/>
      <c r="L414" s="70"/>
      <c r="M414" s="70"/>
      <c r="N414" s="70"/>
      <c r="O414" s="70"/>
    </row>
    <row r="415" spans="1:15" x14ac:dyDescent="0.25">
      <c r="A415" s="37"/>
      <c r="B415" s="78"/>
      <c r="C415" s="70"/>
      <c r="D415" s="37"/>
      <c r="E415" s="70"/>
      <c r="F415" s="70"/>
      <c r="G415" s="37"/>
      <c r="H415" s="70"/>
      <c r="I415" s="70"/>
      <c r="J415" s="37"/>
      <c r="K415" s="70"/>
      <c r="L415" s="70"/>
      <c r="M415" s="70"/>
      <c r="N415" s="70"/>
      <c r="O415" s="70"/>
    </row>
    <row r="416" spans="1:15" x14ac:dyDescent="0.25">
      <c r="A416" s="37"/>
      <c r="B416" s="78"/>
      <c r="C416" s="70"/>
      <c r="D416" s="37"/>
      <c r="E416" s="70"/>
      <c r="F416" s="70"/>
      <c r="G416" s="37"/>
      <c r="H416" s="70"/>
      <c r="I416" s="70"/>
      <c r="J416" s="37"/>
      <c r="K416" s="70"/>
      <c r="L416" s="70"/>
      <c r="M416" s="70"/>
      <c r="N416" s="70"/>
      <c r="O416" s="70"/>
    </row>
    <row r="417" spans="1:15" x14ac:dyDescent="0.25">
      <c r="A417" s="37"/>
      <c r="B417" s="78"/>
      <c r="C417" s="70"/>
      <c r="D417" s="37"/>
      <c r="E417" s="70"/>
      <c r="F417" s="70"/>
      <c r="G417" s="37"/>
      <c r="H417" s="70"/>
      <c r="I417" s="70"/>
      <c r="J417" s="37"/>
      <c r="K417" s="70"/>
      <c r="L417" s="70"/>
      <c r="M417" s="70"/>
      <c r="N417" s="70"/>
      <c r="O417" s="70"/>
    </row>
    <row r="418" spans="1:15" x14ac:dyDescent="0.25">
      <c r="A418" s="37"/>
      <c r="B418" s="78"/>
      <c r="C418" s="70"/>
      <c r="D418" s="37"/>
      <c r="E418" s="70"/>
      <c r="F418" s="70"/>
      <c r="G418" s="37"/>
      <c r="H418" s="70"/>
      <c r="I418" s="70"/>
      <c r="J418" s="37"/>
      <c r="K418" s="70"/>
      <c r="L418" s="70"/>
      <c r="M418" s="70"/>
      <c r="N418" s="70"/>
      <c r="O418" s="70"/>
    </row>
    <row r="419" spans="1:15" x14ac:dyDescent="0.25">
      <c r="A419" s="37"/>
      <c r="B419" s="78"/>
      <c r="C419" s="70"/>
      <c r="D419" s="37"/>
      <c r="E419" s="70"/>
      <c r="F419" s="70"/>
      <c r="G419" s="37"/>
      <c r="H419" s="70"/>
      <c r="I419" s="70"/>
      <c r="J419" s="37"/>
      <c r="K419" s="70"/>
      <c r="L419" s="70"/>
      <c r="M419" s="70"/>
      <c r="N419" s="70"/>
      <c r="O419" s="70"/>
    </row>
    <row r="420" spans="1:15" x14ac:dyDescent="0.25">
      <c r="A420" s="37"/>
      <c r="B420" s="78"/>
      <c r="C420" s="70"/>
      <c r="D420" s="37"/>
      <c r="E420" s="70"/>
      <c r="F420" s="70"/>
      <c r="G420" s="37"/>
      <c r="H420" s="70"/>
      <c r="I420" s="70"/>
      <c r="J420" s="37"/>
      <c r="K420" s="70"/>
      <c r="L420" s="70"/>
      <c r="M420" s="70"/>
      <c r="N420" s="70"/>
      <c r="O420" s="70"/>
    </row>
    <row r="421" spans="1:15" x14ac:dyDescent="0.25">
      <c r="A421" s="37"/>
      <c r="B421" s="78"/>
      <c r="C421" s="70"/>
      <c r="D421" s="37"/>
      <c r="E421" s="70"/>
      <c r="F421" s="70"/>
      <c r="G421" s="37"/>
      <c r="H421" s="70"/>
      <c r="I421" s="70"/>
      <c r="J421" s="37"/>
      <c r="K421" s="70"/>
      <c r="L421" s="70"/>
      <c r="M421" s="70"/>
      <c r="N421" s="70"/>
      <c r="O421" s="70"/>
    </row>
    <row r="422" spans="1:15" x14ac:dyDescent="0.25">
      <c r="A422" s="37"/>
      <c r="B422" s="78"/>
      <c r="C422" s="70"/>
      <c r="D422" s="37"/>
      <c r="E422" s="70"/>
      <c r="F422" s="70"/>
      <c r="G422" s="37"/>
      <c r="H422" s="70"/>
      <c r="I422" s="70"/>
      <c r="J422" s="37"/>
      <c r="K422" s="70"/>
      <c r="L422" s="70"/>
      <c r="M422" s="70"/>
      <c r="N422" s="70"/>
      <c r="O422" s="70"/>
    </row>
    <row r="423" spans="1:15" x14ac:dyDescent="0.25">
      <c r="A423" s="37"/>
      <c r="B423" s="78"/>
      <c r="C423" s="70"/>
      <c r="D423" s="37"/>
      <c r="E423" s="70"/>
      <c r="F423" s="70"/>
      <c r="G423" s="37"/>
      <c r="H423" s="70"/>
      <c r="I423" s="70"/>
      <c r="J423" s="37"/>
      <c r="K423" s="70"/>
      <c r="L423" s="70"/>
      <c r="M423" s="70"/>
      <c r="N423" s="70"/>
      <c r="O423" s="70"/>
    </row>
    <row r="424" spans="1:15" x14ac:dyDescent="0.25">
      <c r="A424" s="37"/>
      <c r="B424" s="78"/>
      <c r="C424" s="70"/>
      <c r="D424" s="37"/>
      <c r="E424" s="70"/>
      <c r="F424" s="70"/>
      <c r="G424" s="37"/>
      <c r="H424" s="70"/>
      <c r="I424" s="70"/>
      <c r="J424" s="37"/>
      <c r="K424" s="70"/>
      <c r="L424" s="70"/>
      <c r="M424" s="70"/>
      <c r="N424" s="70"/>
      <c r="O424" s="70"/>
    </row>
    <row r="425" spans="1:15" x14ac:dyDescent="0.25">
      <c r="A425" s="37"/>
      <c r="B425" s="78"/>
      <c r="C425" s="70"/>
      <c r="D425" s="37"/>
      <c r="E425" s="70"/>
      <c r="F425" s="70"/>
      <c r="G425" s="37"/>
      <c r="H425" s="70"/>
      <c r="I425" s="70"/>
      <c r="J425" s="37"/>
      <c r="K425" s="70"/>
      <c r="L425" s="70"/>
      <c r="M425" s="70"/>
      <c r="N425" s="70"/>
      <c r="O425" s="70"/>
    </row>
    <row r="426" spans="1:15" x14ac:dyDescent="0.25">
      <c r="A426" s="37"/>
      <c r="B426" s="78"/>
      <c r="C426" s="70"/>
      <c r="D426" s="37"/>
      <c r="E426" s="70"/>
      <c r="F426" s="70"/>
      <c r="G426" s="37"/>
      <c r="H426" s="70"/>
      <c r="I426" s="70"/>
      <c r="J426" s="37"/>
      <c r="K426" s="70"/>
      <c r="L426" s="70"/>
      <c r="M426" s="70"/>
      <c r="N426" s="70"/>
      <c r="O426" s="70"/>
    </row>
    <row r="427" spans="1:15" x14ac:dyDescent="0.25">
      <c r="A427" s="37"/>
      <c r="B427" s="78"/>
      <c r="C427" s="70"/>
      <c r="D427" s="37"/>
      <c r="E427" s="70"/>
      <c r="F427" s="70"/>
      <c r="G427" s="37"/>
      <c r="H427" s="70"/>
      <c r="I427" s="70"/>
      <c r="J427" s="37"/>
      <c r="K427" s="70"/>
      <c r="L427" s="70"/>
      <c r="M427" s="70"/>
      <c r="N427" s="70"/>
      <c r="O427" s="70"/>
    </row>
    <row r="428" spans="1:15" x14ac:dyDescent="0.25">
      <c r="A428" s="37"/>
      <c r="B428" s="78"/>
      <c r="C428" s="70"/>
      <c r="D428" s="37"/>
      <c r="E428" s="70"/>
      <c r="F428" s="70"/>
      <c r="G428" s="37"/>
      <c r="H428" s="70"/>
      <c r="I428" s="70"/>
      <c r="J428" s="37"/>
      <c r="K428" s="70"/>
      <c r="L428" s="70"/>
      <c r="M428" s="70"/>
      <c r="N428" s="70"/>
      <c r="O428" s="70"/>
    </row>
    <row r="429" spans="1:15" x14ac:dyDescent="0.25">
      <c r="A429" s="37"/>
      <c r="B429" s="78"/>
      <c r="C429" s="70"/>
      <c r="D429" s="37"/>
      <c r="E429" s="70"/>
      <c r="F429" s="70"/>
      <c r="G429" s="37"/>
      <c r="H429" s="70"/>
      <c r="I429" s="70"/>
      <c r="J429" s="37"/>
      <c r="K429" s="70"/>
      <c r="L429" s="70"/>
      <c r="M429" s="70"/>
      <c r="N429" s="70"/>
      <c r="O429" s="70"/>
    </row>
    <row r="430" spans="1:15" x14ac:dyDescent="0.25">
      <c r="A430" s="37"/>
      <c r="B430" s="78"/>
      <c r="C430" s="70"/>
      <c r="D430" s="37"/>
      <c r="E430" s="70"/>
      <c r="F430" s="70"/>
      <c r="G430" s="37"/>
      <c r="H430" s="70"/>
      <c r="I430" s="70"/>
      <c r="J430" s="37"/>
      <c r="K430" s="70"/>
      <c r="L430" s="70"/>
      <c r="M430" s="70"/>
      <c r="N430" s="70"/>
      <c r="O430" s="70"/>
    </row>
    <row r="431" spans="1:15" x14ac:dyDescent="0.25">
      <c r="A431" s="37"/>
      <c r="B431" s="78"/>
      <c r="C431" s="70"/>
      <c r="D431" s="37"/>
      <c r="E431" s="70"/>
      <c r="F431" s="70"/>
      <c r="G431" s="37"/>
      <c r="H431" s="70"/>
      <c r="I431" s="70"/>
      <c r="J431" s="37"/>
      <c r="K431" s="70"/>
      <c r="L431" s="70"/>
      <c r="M431" s="70"/>
      <c r="N431" s="70"/>
      <c r="O431" s="70"/>
    </row>
    <row r="432" spans="1:15" x14ac:dyDescent="0.25">
      <c r="A432" s="37"/>
      <c r="B432" s="78"/>
      <c r="C432" s="70"/>
      <c r="D432" s="37"/>
      <c r="E432" s="70"/>
      <c r="F432" s="70"/>
      <c r="G432" s="37"/>
      <c r="H432" s="70"/>
      <c r="I432" s="70"/>
      <c r="J432" s="37"/>
      <c r="K432" s="70"/>
      <c r="L432" s="70"/>
      <c r="M432" s="70"/>
      <c r="N432" s="70"/>
      <c r="O432" s="70"/>
    </row>
    <row r="433" spans="1:15" x14ac:dyDescent="0.25">
      <c r="A433" s="37"/>
      <c r="B433" s="78"/>
      <c r="C433" s="70"/>
      <c r="D433" s="37"/>
      <c r="E433" s="70"/>
      <c r="F433" s="70"/>
      <c r="G433" s="37"/>
      <c r="H433" s="70"/>
      <c r="I433" s="70"/>
      <c r="J433" s="37"/>
      <c r="K433" s="70"/>
      <c r="L433" s="70"/>
      <c r="M433" s="70"/>
      <c r="N433" s="70"/>
      <c r="O433" s="70"/>
    </row>
    <row r="434" spans="1:15" x14ac:dyDescent="0.25">
      <c r="A434" s="37"/>
      <c r="B434" s="78"/>
      <c r="C434" s="70"/>
      <c r="D434" s="37"/>
      <c r="E434" s="70"/>
      <c r="F434" s="70"/>
      <c r="G434" s="37"/>
      <c r="H434" s="70"/>
      <c r="I434" s="70"/>
      <c r="J434" s="37"/>
      <c r="K434" s="70"/>
      <c r="L434" s="70"/>
      <c r="M434" s="70"/>
      <c r="N434" s="70"/>
      <c r="O434" s="70"/>
    </row>
    <row r="435" spans="1:15" x14ac:dyDescent="0.25">
      <c r="A435" s="37"/>
      <c r="B435" s="78"/>
      <c r="C435" s="70"/>
      <c r="D435" s="37"/>
      <c r="E435" s="70"/>
      <c r="F435" s="70"/>
      <c r="G435" s="37"/>
      <c r="H435" s="70"/>
      <c r="I435" s="70"/>
      <c r="J435" s="37"/>
      <c r="K435" s="70"/>
      <c r="L435" s="70"/>
      <c r="M435" s="70"/>
      <c r="N435" s="70"/>
      <c r="O435" s="70"/>
    </row>
    <row r="436" spans="1:15" x14ac:dyDescent="0.25">
      <c r="A436" s="37"/>
      <c r="B436" s="78"/>
      <c r="C436" s="70"/>
      <c r="D436" s="37"/>
      <c r="E436" s="70"/>
      <c r="F436" s="70"/>
      <c r="G436" s="37"/>
      <c r="H436" s="70"/>
      <c r="I436" s="70"/>
      <c r="J436" s="37"/>
      <c r="K436" s="70"/>
      <c r="L436" s="70"/>
      <c r="M436" s="70"/>
      <c r="N436" s="70"/>
      <c r="O436" s="70"/>
    </row>
    <row r="437" spans="1:15" x14ac:dyDescent="0.25">
      <c r="A437" s="37"/>
      <c r="B437" s="78"/>
      <c r="C437" s="70"/>
      <c r="D437" s="37"/>
      <c r="E437" s="70"/>
      <c r="F437" s="70"/>
      <c r="G437" s="37"/>
      <c r="H437" s="70"/>
      <c r="I437" s="70"/>
      <c r="J437" s="37"/>
      <c r="K437" s="70"/>
      <c r="L437" s="70"/>
      <c r="M437" s="70"/>
      <c r="N437" s="70"/>
      <c r="O437" s="70"/>
    </row>
    <row r="438" spans="1:15" x14ac:dyDescent="0.25">
      <c r="A438" s="37"/>
      <c r="B438" s="78"/>
      <c r="C438" s="70"/>
      <c r="D438" s="37"/>
      <c r="E438" s="70"/>
      <c r="F438" s="70"/>
      <c r="G438" s="37"/>
      <c r="H438" s="70"/>
      <c r="I438" s="70"/>
      <c r="J438" s="37"/>
      <c r="K438" s="70"/>
      <c r="L438" s="70"/>
      <c r="M438" s="70"/>
      <c r="N438" s="70"/>
      <c r="O438" s="70"/>
    </row>
    <row r="439" spans="1:15" x14ac:dyDescent="0.25">
      <c r="A439" s="37"/>
      <c r="B439" s="78"/>
      <c r="C439" s="70"/>
      <c r="D439" s="37"/>
      <c r="E439" s="70"/>
      <c r="F439" s="70"/>
      <c r="G439" s="37"/>
      <c r="H439" s="70"/>
      <c r="I439" s="70"/>
      <c r="J439" s="37"/>
      <c r="K439" s="70"/>
      <c r="L439" s="70"/>
      <c r="M439" s="70"/>
      <c r="N439" s="70"/>
      <c r="O439" s="70"/>
    </row>
    <row r="440" spans="1:15" x14ac:dyDescent="0.25">
      <c r="A440" s="37"/>
      <c r="B440" s="78"/>
      <c r="C440" s="70"/>
      <c r="D440" s="37"/>
      <c r="E440" s="70"/>
      <c r="F440" s="70"/>
      <c r="G440" s="37"/>
      <c r="H440" s="70"/>
      <c r="I440" s="70"/>
      <c r="J440" s="37"/>
      <c r="K440" s="70"/>
      <c r="L440" s="70"/>
      <c r="M440" s="70"/>
      <c r="N440" s="70"/>
      <c r="O440" s="70"/>
    </row>
    <row r="441" spans="1:15" x14ac:dyDescent="0.25">
      <c r="A441" s="37"/>
      <c r="B441" s="78"/>
      <c r="C441" s="70"/>
      <c r="D441" s="37"/>
      <c r="E441" s="70"/>
      <c r="F441" s="70"/>
      <c r="G441" s="37"/>
      <c r="H441" s="70"/>
      <c r="I441" s="70"/>
      <c r="J441" s="37"/>
      <c r="K441" s="70"/>
      <c r="L441" s="70"/>
      <c r="M441" s="70"/>
      <c r="N441" s="70"/>
      <c r="O441" s="70"/>
    </row>
    <row r="442" spans="1:15" x14ac:dyDescent="0.25">
      <c r="A442" s="37"/>
      <c r="B442" s="78"/>
      <c r="C442" s="70"/>
      <c r="D442" s="37"/>
      <c r="E442" s="70"/>
      <c r="F442" s="70"/>
      <c r="G442" s="37"/>
      <c r="H442" s="70"/>
      <c r="I442" s="70"/>
      <c r="J442" s="37"/>
      <c r="K442" s="70"/>
      <c r="L442" s="70"/>
      <c r="M442" s="70"/>
      <c r="N442" s="70"/>
      <c r="O442" s="70"/>
    </row>
    <row r="443" spans="1:15" x14ac:dyDescent="0.25">
      <c r="A443" s="37"/>
      <c r="B443" s="78"/>
      <c r="C443" s="70"/>
      <c r="D443" s="37"/>
      <c r="E443" s="70"/>
      <c r="F443" s="70"/>
      <c r="G443" s="37"/>
      <c r="H443" s="70"/>
      <c r="I443" s="70"/>
      <c r="J443" s="37"/>
      <c r="K443" s="70"/>
      <c r="L443" s="70"/>
      <c r="M443" s="70"/>
      <c r="N443" s="70"/>
      <c r="O443" s="70"/>
    </row>
    <row r="444" spans="1:15" x14ac:dyDescent="0.25">
      <c r="A444" s="37"/>
      <c r="B444" s="78"/>
      <c r="C444" s="70"/>
      <c r="D444" s="37"/>
      <c r="E444" s="70"/>
      <c r="F444" s="70"/>
      <c r="G444" s="37"/>
      <c r="H444" s="70"/>
      <c r="I444" s="70"/>
      <c r="J444" s="37"/>
      <c r="K444" s="70"/>
      <c r="L444" s="70"/>
      <c r="M444" s="70"/>
      <c r="N444" s="70"/>
      <c r="O444" s="70"/>
    </row>
    <row r="445" spans="1:15" x14ac:dyDescent="0.25">
      <c r="A445" s="37"/>
      <c r="B445" s="78"/>
      <c r="C445" s="70"/>
      <c r="D445" s="37"/>
      <c r="E445" s="70"/>
      <c r="F445" s="70"/>
      <c r="G445" s="37"/>
      <c r="H445" s="70"/>
      <c r="I445" s="70"/>
      <c r="J445" s="37"/>
      <c r="K445" s="70"/>
      <c r="L445" s="70"/>
      <c r="M445" s="70"/>
      <c r="N445" s="70"/>
      <c r="O445" s="70"/>
    </row>
    <row r="446" spans="1:15" x14ac:dyDescent="0.25">
      <c r="A446" s="37"/>
      <c r="B446" s="78"/>
      <c r="C446" s="70"/>
      <c r="D446" s="37"/>
      <c r="E446" s="70"/>
      <c r="F446" s="70"/>
      <c r="G446" s="37"/>
      <c r="H446" s="70"/>
      <c r="I446" s="70"/>
      <c r="J446" s="37"/>
      <c r="K446" s="70"/>
      <c r="L446" s="70"/>
      <c r="M446" s="70"/>
      <c r="N446" s="70"/>
      <c r="O446" s="70"/>
    </row>
    <row r="447" spans="1:15" x14ac:dyDescent="0.25">
      <c r="A447" s="37"/>
      <c r="B447" s="78"/>
      <c r="C447" s="70"/>
      <c r="D447" s="37"/>
      <c r="E447" s="70"/>
      <c r="F447" s="70"/>
      <c r="G447" s="37"/>
      <c r="H447" s="70"/>
      <c r="I447" s="70"/>
      <c r="J447" s="37"/>
      <c r="K447" s="70"/>
      <c r="L447" s="70"/>
      <c r="M447" s="70"/>
      <c r="N447" s="70"/>
      <c r="O447" s="70"/>
    </row>
    <row r="448" spans="1:15" x14ac:dyDescent="0.25">
      <c r="A448" s="37"/>
      <c r="B448" s="78"/>
      <c r="C448" s="70"/>
      <c r="D448" s="37"/>
      <c r="E448" s="70"/>
      <c r="F448" s="70"/>
      <c r="G448" s="37"/>
      <c r="H448" s="70"/>
      <c r="I448" s="70"/>
      <c r="J448" s="37"/>
      <c r="K448" s="70"/>
      <c r="L448" s="70"/>
      <c r="M448" s="70"/>
      <c r="N448" s="70"/>
      <c r="O448" s="70"/>
    </row>
    <row r="449" spans="1:15" x14ac:dyDescent="0.25">
      <c r="A449" s="37"/>
      <c r="B449" s="78"/>
      <c r="C449" s="70"/>
      <c r="D449" s="37"/>
      <c r="E449" s="70"/>
      <c r="F449" s="70"/>
      <c r="G449" s="37"/>
      <c r="H449" s="70"/>
      <c r="I449" s="70"/>
      <c r="J449" s="37"/>
      <c r="K449" s="70"/>
      <c r="L449" s="70"/>
      <c r="M449" s="70"/>
      <c r="N449" s="70"/>
      <c r="O449" s="70"/>
    </row>
    <row r="450" spans="1:15" x14ac:dyDescent="0.25">
      <c r="A450" s="37"/>
      <c r="B450" s="78"/>
      <c r="C450" s="70"/>
      <c r="D450" s="37"/>
      <c r="E450" s="70"/>
      <c r="F450" s="70"/>
      <c r="G450" s="37"/>
      <c r="H450" s="70"/>
      <c r="I450" s="70"/>
      <c r="J450" s="37"/>
      <c r="K450" s="70"/>
      <c r="L450" s="70"/>
      <c r="M450" s="70"/>
      <c r="N450" s="70"/>
      <c r="O450" s="70"/>
    </row>
    <row r="451" spans="1:15" x14ac:dyDescent="0.25">
      <c r="A451" s="37"/>
      <c r="B451" s="78"/>
      <c r="C451" s="70"/>
      <c r="D451" s="37"/>
      <c r="E451" s="70"/>
      <c r="F451" s="70"/>
      <c r="G451" s="37"/>
      <c r="H451" s="70"/>
      <c r="I451" s="70"/>
      <c r="J451" s="37"/>
      <c r="K451" s="70"/>
      <c r="L451" s="70"/>
      <c r="M451" s="70"/>
      <c r="N451" s="70"/>
      <c r="O451" s="70"/>
    </row>
    <row r="452" spans="1:15" x14ac:dyDescent="0.25">
      <c r="A452" s="37"/>
      <c r="B452" s="78"/>
      <c r="C452" s="70"/>
      <c r="D452" s="37"/>
      <c r="E452" s="70"/>
      <c r="F452" s="70"/>
      <c r="G452" s="37"/>
      <c r="H452" s="70"/>
      <c r="I452" s="70"/>
      <c r="J452" s="37"/>
      <c r="K452" s="70"/>
      <c r="L452" s="70"/>
      <c r="M452" s="70"/>
      <c r="N452" s="70"/>
      <c r="O452" s="70"/>
    </row>
    <row r="453" spans="1:15" x14ac:dyDescent="0.25">
      <c r="A453" s="37"/>
      <c r="B453" s="78"/>
      <c r="C453" s="70"/>
      <c r="D453" s="37"/>
      <c r="E453" s="70"/>
      <c r="F453" s="70"/>
      <c r="G453" s="37"/>
      <c r="H453" s="70"/>
      <c r="I453" s="70"/>
      <c r="J453" s="37"/>
      <c r="K453" s="70"/>
      <c r="L453" s="70"/>
      <c r="M453" s="70"/>
      <c r="N453" s="70"/>
      <c r="O453" s="70"/>
    </row>
    <row r="454" spans="1:15" x14ac:dyDescent="0.25">
      <c r="A454" s="37"/>
      <c r="B454" s="78"/>
      <c r="C454" s="70"/>
      <c r="D454" s="37"/>
      <c r="E454" s="70"/>
      <c r="F454" s="70"/>
      <c r="G454" s="37"/>
      <c r="H454" s="70"/>
      <c r="I454" s="70"/>
      <c r="J454" s="37"/>
      <c r="K454" s="70"/>
      <c r="L454" s="70"/>
      <c r="M454" s="70"/>
      <c r="N454" s="70"/>
      <c r="O454" s="70"/>
    </row>
    <row r="455" spans="1:15" x14ac:dyDescent="0.25">
      <c r="A455" s="37"/>
      <c r="B455" s="78"/>
      <c r="C455" s="70"/>
      <c r="D455" s="37"/>
      <c r="E455" s="70"/>
      <c r="F455" s="70"/>
      <c r="G455" s="37"/>
      <c r="H455" s="70"/>
      <c r="I455" s="70"/>
      <c r="J455" s="37"/>
      <c r="K455" s="70"/>
      <c r="L455" s="70"/>
      <c r="M455" s="70"/>
      <c r="N455" s="70"/>
      <c r="O455" s="70"/>
    </row>
    <row r="456" spans="1:15" x14ac:dyDescent="0.25">
      <c r="A456" s="37"/>
      <c r="B456" s="78"/>
      <c r="C456" s="70"/>
      <c r="D456" s="37"/>
      <c r="E456" s="70"/>
      <c r="F456" s="70"/>
      <c r="G456" s="37"/>
      <c r="H456" s="70"/>
      <c r="I456" s="70"/>
      <c r="J456" s="37"/>
      <c r="K456" s="70"/>
      <c r="L456" s="70"/>
      <c r="M456" s="70"/>
      <c r="N456" s="70"/>
      <c r="O456" s="70"/>
    </row>
    <row r="457" spans="1:15" x14ac:dyDescent="0.25">
      <c r="A457" s="37"/>
      <c r="B457" s="78"/>
      <c r="C457" s="70"/>
      <c r="D457" s="37"/>
      <c r="E457" s="70"/>
      <c r="F457" s="70"/>
      <c r="G457" s="37"/>
      <c r="H457" s="70"/>
      <c r="I457" s="70"/>
      <c r="J457" s="37"/>
      <c r="K457" s="70"/>
      <c r="L457" s="70"/>
      <c r="M457" s="70"/>
      <c r="N457" s="70"/>
      <c r="O457" s="70"/>
    </row>
    <row r="458" spans="1:15" x14ac:dyDescent="0.25">
      <c r="A458" s="37"/>
      <c r="B458" s="78"/>
      <c r="C458" s="70"/>
      <c r="D458" s="37"/>
      <c r="E458" s="70"/>
      <c r="F458" s="70"/>
      <c r="G458" s="37"/>
      <c r="H458" s="70"/>
      <c r="I458" s="70"/>
      <c r="J458" s="37"/>
      <c r="K458" s="70"/>
      <c r="L458" s="70"/>
      <c r="M458" s="70"/>
      <c r="N458" s="70"/>
      <c r="O458" s="70"/>
    </row>
    <row r="459" spans="1:15" x14ac:dyDescent="0.25">
      <c r="A459" s="37"/>
      <c r="B459" s="78"/>
      <c r="C459" s="70"/>
      <c r="D459" s="37"/>
      <c r="E459" s="70"/>
      <c r="F459" s="70"/>
      <c r="G459" s="37"/>
      <c r="H459" s="70"/>
      <c r="I459" s="70"/>
      <c r="J459" s="37"/>
      <c r="K459" s="70"/>
      <c r="L459" s="70"/>
      <c r="M459" s="70"/>
      <c r="N459" s="70"/>
      <c r="O459" s="70"/>
    </row>
    <row r="460" spans="1:15" x14ac:dyDescent="0.25">
      <c r="A460" s="37"/>
      <c r="B460" s="78"/>
      <c r="C460" s="70"/>
      <c r="D460" s="37"/>
      <c r="E460" s="70"/>
      <c r="F460" s="70"/>
      <c r="G460" s="37"/>
      <c r="H460" s="70"/>
      <c r="I460" s="70"/>
      <c r="J460" s="37"/>
      <c r="K460" s="70"/>
      <c r="L460" s="70"/>
      <c r="M460" s="70"/>
      <c r="N460" s="70"/>
      <c r="O460" s="70"/>
    </row>
    <row r="461" spans="1:15" x14ac:dyDescent="0.25">
      <c r="A461" s="37"/>
      <c r="B461" s="78"/>
      <c r="C461" s="70"/>
      <c r="D461" s="37"/>
      <c r="E461" s="70"/>
      <c r="F461" s="70"/>
      <c r="G461" s="37"/>
      <c r="H461" s="70"/>
      <c r="I461" s="70"/>
      <c r="J461" s="37"/>
      <c r="K461" s="70"/>
      <c r="L461" s="70"/>
      <c r="M461" s="70"/>
      <c r="N461" s="70"/>
      <c r="O461" s="70"/>
    </row>
    <row r="462" spans="1:15" x14ac:dyDescent="0.25">
      <c r="A462" s="37"/>
      <c r="B462" s="78"/>
      <c r="C462" s="70"/>
      <c r="D462" s="37"/>
      <c r="E462" s="70"/>
      <c r="F462" s="70"/>
      <c r="G462" s="37"/>
      <c r="H462" s="70"/>
      <c r="I462" s="70"/>
      <c r="J462" s="37"/>
      <c r="K462" s="70"/>
      <c r="L462" s="70"/>
      <c r="M462" s="70"/>
      <c r="N462" s="70"/>
      <c r="O462" s="70"/>
    </row>
    <row r="463" spans="1:15" x14ac:dyDescent="0.25">
      <c r="A463" s="37"/>
      <c r="B463" s="78"/>
      <c r="C463" s="70"/>
      <c r="D463" s="37"/>
      <c r="E463" s="70"/>
      <c r="F463" s="70"/>
      <c r="G463" s="37"/>
      <c r="H463" s="70"/>
      <c r="I463" s="70"/>
      <c r="J463" s="37"/>
      <c r="K463" s="70"/>
      <c r="L463" s="70"/>
      <c r="M463" s="70"/>
      <c r="N463" s="70"/>
      <c r="O463" s="70"/>
    </row>
    <row r="464" spans="1:15" x14ac:dyDescent="0.25">
      <c r="A464" s="37"/>
      <c r="B464" s="78"/>
      <c r="C464" s="70"/>
      <c r="D464" s="37"/>
      <c r="E464" s="70"/>
      <c r="F464" s="70"/>
      <c r="G464" s="37"/>
      <c r="H464" s="70"/>
      <c r="I464" s="70"/>
      <c r="J464" s="37"/>
      <c r="K464" s="70"/>
      <c r="L464" s="70"/>
      <c r="M464" s="70"/>
      <c r="N464" s="70"/>
      <c r="O464" s="70"/>
    </row>
    <row r="465" spans="1:15" x14ac:dyDescent="0.25">
      <c r="A465" s="37"/>
      <c r="B465" s="78"/>
      <c r="C465" s="70"/>
      <c r="D465" s="37"/>
      <c r="E465" s="70"/>
      <c r="F465" s="70"/>
      <c r="G465" s="37"/>
      <c r="H465" s="70"/>
      <c r="I465" s="70"/>
      <c r="J465" s="37"/>
      <c r="K465" s="70"/>
      <c r="L465" s="70"/>
      <c r="M465" s="70"/>
      <c r="N465" s="70"/>
      <c r="O465" s="70"/>
    </row>
    <row r="466" spans="1:15" x14ac:dyDescent="0.25">
      <c r="A466" s="37"/>
      <c r="B466" s="78"/>
      <c r="C466" s="70"/>
      <c r="D466" s="37"/>
      <c r="E466" s="70"/>
      <c r="F466" s="70"/>
      <c r="G466" s="37"/>
      <c r="H466" s="70"/>
      <c r="I466" s="70"/>
      <c r="J466" s="37"/>
      <c r="K466" s="70"/>
      <c r="L466" s="70"/>
      <c r="M466" s="70"/>
      <c r="N466" s="70"/>
      <c r="O466" s="70"/>
    </row>
    <row r="467" spans="1:15" x14ac:dyDescent="0.25">
      <c r="A467" s="37"/>
      <c r="B467" s="78"/>
      <c r="C467" s="70"/>
      <c r="D467" s="37"/>
      <c r="E467" s="70"/>
      <c r="F467" s="70"/>
      <c r="G467" s="37"/>
      <c r="H467" s="70"/>
      <c r="I467" s="70"/>
      <c r="J467" s="37"/>
      <c r="K467" s="70"/>
      <c r="L467" s="70"/>
      <c r="M467" s="70"/>
      <c r="N467" s="70"/>
      <c r="O467" s="70"/>
    </row>
    <row r="468" spans="1:15" x14ac:dyDescent="0.25">
      <c r="A468" s="37"/>
      <c r="B468" s="78"/>
      <c r="C468" s="70"/>
      <c r="D468" s="37"/>
      <c r="E468" s="70"/>
      <c r="F468" s="70"/>
      <c r="G468" s="37"/>
      <c r="H468" s="70"/>
      <c r="I468" s="70"/>
      <c r="J468" s="37"/>
      <c r="K468" s="70"/>
      <c r="L468" s="70"/>
      <c r="M468" s="70"/>
      <c r="N468" s="70"/>
      <c r="O468" s="70"/>
    </row>
    <row r="469" spans="1:15" x14ac:dyDescent="0.25">
      <c r="A469" s="37"/>
      <c r="B469" s="78"/>
      <c r="C469" s="70"/>
      <c r="D469" s="37"/>
      <c r="E469" s="70"/>
      <c r="F469" s="70"/>
      <c r="G469" s="37"/>
      <c r="H469" s="70"/>
      <c r="I469" s="70"/>
      <c r="J469" s="37"/>
      <c r="K469" s="70"/>
      <c r="L469" s="70"/>
      <c r="M469" s="70"/>
      <c r="N469" s="70"/>
      <c r="O469" s="70"/>
    </row>
    <row r="470" spans="1:15" x14ac:dyDescent="0.25">
      <c r="A470" s="37"/>
      <c r="B470" s="78"/>
      <c r="C470" s="70"/>
      <c r="D470" s="37"/>
      <c r="E470" s="70"/>
      <c r="F470" s="70"/>
      <c r="G470" s="37"/>
      <c r="H470" s="70"/>
      <c r="I470" s="70"/>
      <c r="J470" s="37"/>
      <c r="K470" s="70"/>
      <c r="L470" s="70"/>
      <c r="M470" s="70"/>
      <c r="N470" s="70"/>
      <c r="O470" s="70"/>
    </row>
    <row r="471" spans="1:15" x14ac:dyDescent="0.25">
      <c r="A471" s="37"/>
      <c r="B471" s="78"/>
      <c r="C471" s="70"/>
      <c r="D471" s="37"/>
      <c r="E471" s="70"/>
      <c r="F471" s="70"/>
      <c r="G471" s="37"/>
      <c r="H471" s="70"/>
      <c r="I471" s="70"/>
      <c r="J471" s="37"/>
      <c r="K471" s="70"/>
      <c r="L471" s="70"/>
      <c r="M471" s="70"/>
      <c r="N471" s="70"/>
      <c r="O471" s="70"/>
    </row>
    <row r="472" spans="1:15" x14ac:dyDescent="0.25">
      <c r="A472" s="37"/>
      <c r="B472" s="78"/>
      <c r="C472" s="70"/>
      <c r="D472" s="37"/>
      <c r="E472" s="70"/>
      <c r="F472" s="70"/>
      <c r="G472" s="37"/>
      <c r="H472" s="70"/>
      <c r="I472" s="70"/>
      <c r="J472" s="37"/>
      <c r="K472" s="70"/>
      <c r="L472" s="70"/>
      <c r="M472" s="70"/>
      <c r="N472" s="70"/>
      <c r="O472" s="70"/>
    </row>
    <row r="473" spans="1:15" x14ac:dyDescent="0.25">
      <c r="A473" s="37"/>
      <c r="B473" s="78"/>
      <c r="C473" s="70"/>
      <c r="D473" s="37"/>
      <c r="E473" s="70"/>
      <c r="F473" s="70"/>
      <c r="G473" s="37"/>
      <c r="H473" s="70"/>
      <c r="I473" s="70"/>
      <c r="J473" s="37"/>
      <c r="K473" s="70"/>
      <c r="L473" s="70"/>
      <c r="M473" s="70"/>
      <c r="N473" s="70"/>
      <c r="O473" s="70"/>
    </row>
    <row r="474" spans="1:15" x14ac:dyDescent="0.25">
      <c r="A474" s="37"/>
      <c r="B474" s="78"/>
      <c r="C474" s="70"/>
      <c r="D474" s="37"/>
      <c r="E474" s="70"/>
      <c r="F474" s="70"/>
      <c r="G474" s="37"/>
      <c r="H474" s="70"/>
      <c r="I474" s="70"/>
      <c r="J474" s="37"/>
      <c r="K474" s="70"/>
      <c r="L474" s="70"/>
      <c r="M474" s="70"/>
      <c r="N474" s="70"/>
      <c r="O474" s="70"/>
    </row>
    <row r="475" spans="1:15" x14ac:dyDescent="0.25">
      <c r="A475" s="37"/>
      <c r="B475" s="78"/>
      <c r="C475" s="70"/>
      <c r="D475" s="37"/>
      <c r="E475" s="70"/>
      <c r="F475" s="70"/>
      <c r="G475" s="37"/>
      <c r="H475" s="70"/>
      <c r="I475" s="70"/>
      <c r="J475" s="37"/>
      <c r="K475" s="70"/>
      <c r="L475" s="70"/>
      <c r="M475" s="70"/>
      <c r="N475" s="70"/>
      <c r="O475" s="70"/>
    </row>
    <row r="476" spans="1:15" x14ac:dyDescent="0.25">
      <c r="A476" s="37"/>
      <c r="B476" s="78"/>
      <c r="C476" s="70"/>
      <c r="D476" s="37"/>
      <c r="E476" s="70"/>
      <c r="F476" s="70"/>
      <c r="G476" s="37"/>
      <c r="H476" s="70"/>
      <c r="I476" s="70"/>
      <c r="J476" s="37"/>
      <c r="K476" s="70"/>
      <c r="L476" s="70"/>
      <c r="M476" s="70"/>
      <c r="N476" s="70"/>
      <c r="O476" s="70"/>
    </row>
    <row r="477" spans="1:15" x14ac:dyDescent="0.25">
      <c r="A477" s="37"/>
      <c r="B477" s="78"/>
      <c r="C477" s="70"/>
      <c r="D477" s="37"/>
      <c r="E477" s="70"/>
      <c r="F477" s="70"/>
      <c r="G477" s="37"/>
      <c r="H477" s="70"/>
      <c r="I477" s="70"/>
      <c r="J477" s="37"/>
      <c r="K477" s="70"/>
      <c r="L477" s="70"/>
      <c r="M477" s="70"/>
      <c r="N477" s="70"/>
      <c r="O477" s="70"/>
    </row>
    <row r="478" spans="1:15" x14ac:dyDescent="0.25">
      <c r="A478" s="37"/>
      <c r="B478" s="78"/>
      <c r="C478" s="70"/>
      <c r="D478" s="37"/>
      <c r="E478" s="70"/>
      <c r="F478" s="70"/>
      <c r="G478" s="37"/>
      <c r="H478" s="70"/>
      <c r="I478" s="70"/>
      <c r="J478" s="37"/>
      <c r="K478" s="70"/>
      <c r="L478" s="70"/>
      <c r="M478" s="70"/>
      <c r="N478" s="70"/>
      <c r="O478" s="70"/>
    </row>
    <row r="479" spans="1:15" x14ac:dyDescent="0.25">
      <c r="A479" s="37"/>
      <c r="B479" s="78"/>
      <c r="C479" s="70"/>
      <c r="D479" s="37"/>
      <c r="E479" s="70"/>
      <c r="F479" s="70"/>
      <c r="G479" s="37"/>
      <c r="H479" s="70"/>
      <c r="I479" s="70"/>
      <c r="J479" s="37"/>
      <c r="K479" s="70"/>
      <c r="L479" s="70"/>
      <c r="M479" s="70"/>
      <c r="N479" s="70"/>
      <c r="O479" s="70"/>
    </row>
    <row r="480" spans="1:15" x14ac:dyDescent="0.25">
      <c r="A480" s="37"/>
      <c r="B480" s="78"/>
      <c r="C480" s="70"/>
      <c r="D480" s="37"/>
      <c r="E480" s="70"/>
      <c r="F480" s="70"/>
      <c r="G480" s="37"/>
      <c r="H480" s="70"/>
      <c r="I480" s="70"/>
      <c r="J480" s="37"/>
      <c r="K480" s="70"/>
      <c r="L480" s="70"/>
      <c r="M480" s="70"/>
      <c r="N480" s="70"/>
      <c r="O480" s="70"/>
    </row>
    <row r="481" spans="1:15" x14ac:dyDescent="0.25">
      <c r="A481" s="37"/>
      <c r="B481" s="78"/>
      <c r="C481" s="70"/>
      <c r="D481" s="37"/>
      <c r="E481" s="70"/>
      <c r="F481" s="70"/>
      <c r="G481" s="37"/>
      <c r="H481" s="70"/>
      <c r="I481" s="70"/>
      <c r="J481" s="37"/>
      <c r="K481" s="70"/>
      <c r="L481" s="70"/>
      <c r="M481" s="70"/>
      <c r="N481" s="70"/>
      <c r="O481" s="70"/>
    </row>
    <row r="482" spans="1:15" x14ac:dyDescent="0.25">
      <c r="A482" s="37"/>
      <c r="B482" s="78"/>
      <c r="C482" s="70"/>
      <c r="D482" s="37"/>
      <c r="E482" s="70"/>
      <c r="F482" s="70"/>
      <c r="G482" s="37"/>
      <c r="H482" s="70"/>
      <c r="I482" s="70"/>
      <c r="J482" s="37"/>
      <c r="K482" s="70"/>
      <c r="L482" s="70"/>
      <c r="M482" s="70"/>
      <c r="N482" s="70"/>
      <c r="O482" s="70"/>
    </row>
    <row r="483" spans="1:15" x14ac:dyDescent="0.25">
      <c r="A483" s="37"/>
      <c r="B483" s="78"/>
      <c r="C483" s="70"/>
      <c r="D483" s="37"/>
      <c r="E483" s="70"/>
      <c r="F483" s="70"/>
      <c r="G483" s="37"/>
      <c r="H483" s="70"/>
      <c r="I483" s="70"/>
      <c r="J483" s="37"/>
      <c r="K483" s="70"/>
      <c r="L483" s="70"/>
      <c r="M483" s="70"/>
      <c r="N483" s="70"/>
      <c r="O483" s="70"/>
    </row>
    <row r="484" spans="1:15" x14ac:dyDescent="0.25">
      <c r="A484" s="37"/>
      <c r="B484" s="78"/>
      <c r="C484" s="70"/>
      <c r="D484" s="37"/>
      <c r="E484" s="70"/>
      <c r="F484" s="70"/>
      <c r="G484" s="37"/>
      <c r="H484" s="70"/>
      <c r="I484" s="70"/>
      <c r="J484" s="37"/>
      <c r="K484" s="70"/>
      <c r="L484" s="70"/>
      <c r="M484" s="70"/>
      <c r="N484" s="70"/>
      <c r="O484" s="70"/>
    </row>
    <row r="485" spans="1:15" x14ac:dyDescent="0.25">
      <c r="A485" s="37"/>
      <c r="B485" s="78"/>
      <c r="C485" s="70"/>
      <c r="D485" s="37"/>
      <c r="E485" s="70"/>
      <c r="F485" s="70"/>
      <c r="G485" s="37"/>
      <c r="H485" s="70"/>
      <c r="I485" s="70"/>
      <c r="J485" s="37"/>
      <c r="K485" s="70"/>
      <c r="L485" s="70"/>
      <c r="M485" s="70"/>
      <c r="N485" s="70"/>
      <c r="O485" s="70"/>
    </row>
    <row r="486" spans="1:15" x14ac:dyDescent="0.25">
      <c r="A486" s="37"/>
      <c r="B486" s="78"/>
      <c r="C486" s="70"/>
      <c r="D486" s="37"/>
      <c r="E486" s="70"/>
      <c r="F486" s="70"/>
      <c r="G486" s="37"/>
      <c r="H486" s="70"/>
      <c r="I486" s="70"/>
      <c r="J486" s="37"/>
      <c r="K486" s="70"/>
      <c r="L486" s="70"/>
      <c r="M486" s="70"/>
      <c r="N486" s="70"/>
      <c r="O486" s="70"/>
    </row>
    <row r="487" spans="1:15" x14ac:dyDescent="0.25">
      <c r="A487" s="37"/>
      <c r="B487" s="78"/>
      <c r="C487" s="70"/>
      <c r="D487" s="37"/>
      <c r="E487" s="70"/>
      <c r="F487" s="70"/>
      <c r="G487" s="37"/>
      <c r="H487" s="70"/>
      <c r="I487" s="70"/>
      <c r="J487" s="37"/>
      <c r="K487" s="70"/>
      <c r="L487" s="70"/>
      <c r="M487" s="70"/>
      <c r="N487" s="70"/>
      <c r="O487" s="70"/>
    </row>
    <row r="488" spans="1:15" x14ac:dyDescent="0.25">
      <c r="A488" s="37"/>
      <c r="B488" s="78"/>
      <c r="C488" s="70"/>
      <c r="D488" s="37"/>
      <c r="E488" s="70"/>
      <c r="F488" s="70"/>
      <c r="G488" s="37"/>
      <c r="H488" s="70"/>
      <c r="I488" s="70"/>
      <c r="J488" s="37"/>
      <c r="K488" s="70"/>
      <c r="L488" s="70"/>
      <c r="M488" s="70"/>
      <c r="N488" s="70"/>
      <c r="O488" s="70"/>
    </row>
    <row r="489" spans="1:15" x14ac:dyDescent="0.25">
      <c r="A489" s="37"/>
      <c r="B489" s="78"/>
      <c r="C489" s="70"/>
      <c r="D489" s="37"/>
      <c r="E489" s="70"/>
      <c r="F489" s="70"/>
      <c r="G489" s="37"/>
      <c r="H489" s="70"/>
      <c r="I489" s="70"/>
      <c r="J489" s="37"/>
      <c r="K489" s="70"/>
      <c r="L489" s="70"/>
      <c r="M489" s="70"/>
      <c r="N489" s="70"/>
      <c r="O489" s="70"/>
    </row>
    <row r="490" spans="1:15" x14ac:dyDescent="0.25">
      <c r="A490" s="37"/>
      <c r="B490" s="78"/>
      <c r="C490" s="70"/>
      <c r="D490" s="37"/>
      <c r="E490" s="70"/>
      <c r="F490" s="70"/>
      <c r="G490" s="37"/>
      <c r="H490" s="70"/>
      <c r="I490" s="70"/>
      <c r="J490" s="37"/>
      <c r="K490" s="70"/>
      <c r="L490" s="70"/>
      <c r="M490" s="70"/>
      <c r="N490" s="70"/>
      <c r="O490" s="70"/>
    </row>
    <row r="491" spans="1:15" x14ac:dyDescent="0.25">
      <c r="A491" s="37"/>
      <c r="B491" s="78"/>
      <c r="C491" s="70"/>
      <c r="D491" s="37"/>
      <c r="E491" s="70"/>
      <c r="F491" s="70"/>
      <c r="G491" s="37"/>
      <c r="H491" s="70"/>
      <c r="I491" s="70"/>
      <c r="J491" s="37"/>
      <c r="K491" s="70"/>
      <c r="L491" s="70"/>
      <c r="M491" s="70"/>
      <c r="N491" s="70"/>
      <c r="O491" s="70"/>
    </row>
    <row r="492" spans="1:15" x14ac:dyDescent="0.25">
      <c r="A492" s="37"/>
      <c r="B492" s="78"/>
      <c r="C492" s="70"/>
      <c r="D492" s="37"/>
      <c r="E492" s="70"/>
      <c r="F492" s="70"/>
      <c r="G492" s="37"/>
      <c r="H492" s="70"/>
      <c r="I492" s="70"/>
      <c r="J492" s="37"/>
      <c r="K492" s="70"/>
      <c r="L492" s="70"/>
      <c r="M492" s="70"/>
      <c r="N492" s="70"/>
      <c r="O492" s="70"/>
    </row>
    <row r="493" spans="1:15" x14ac:dyDescent="0.25">
      <c r="A493" s="37"/>
      <c r="B493" s="78"/>
      <c r="C493" s="70"/>
      <c r="D493" s="37"/>
      <c r="E493" s="70"/>
      <c r="F493" s="70"/>
      <c r="G493" s="37"/>
      <c r="H493" s="70"/>
      <c r="I493" s="70"/>
      <c r="J493" s="37"/>
      <c r="K493" s="70"/>
      <c r="L493" s="70"/>
      <c r="M493" s="70"/>
      <c r="N493" s="70"/>
      <c r="O493" s="70"/>
    </row>
    <row r="494" spans="1:15" x14ac:dyDescent="0.25">
      <c r="A494" s="37"/>
      <c r="B494" s="78"/>
      <c r="C494" s="70"/>
      <c r="D494" s="37"/>
      <c r="E494" s="70"/>
      <c r="F494" s="70"/>
      <c r="G494" s="37"/>
      <c r="H494" s="70"/>
      <c r="I494" s="70"/>
      <c r="J494" s="37"/>
      <c r="K494" s="70"/>
      <c r="L494" s="70"/>
      <c r="M494" s="70"/>
      <c r="N494" s="70"/>
      <c r="O494" s="70"/>
    </row>
    <row r="495" spans="1:15" x14ac:dyDescent="0.25">
      <c r="A495" s="37"/>
      <c r="B495" s="78"/>
      <c r="C495" s="70"/>
      <c r="D495" s="37"/>
      <c r="E495" s="70"/>
      <c r="F495" s="70"/>
      <c r="G495" s="37"/>
      <c r="H495" s="70"/>
      <c r="I495" s="70"/>
      <c r="J495" s="37"/>
      <c r="K495" s="70"/>
      <c r="L495" s="70"/>
      <c r="M495" s="70"/>
      <c r="N495" s="70"/>
      <c r="O495" s="70"/>
    </row>
    <row r="496" spans="1:15" x14ac:dyDescent="0.25">
      <c r="A496" s="37"/>
      <c r="B496" s="78"/>
      <c r="C496" s="70"/>
      <c r="D496" s="37"/>
      <c r="E496" s="70"/>
      <c r="F496" s="70"/>
      <c r="G496" s="37"/>
      <c r="H496" s="70"/>
      <c r="I496" s="70"/>
      <c r="J496" s="37"/>
      <c r="K496" s="70"/>
      <c r="L496" s="70"/>
      <c r="M496" s="70"/>
      <c r="N496" s="70"/>
      <c r="O496" s="70"/>
    </row>
    <row r="497" spans="1:15" x14ac:dyDescent="0.25">
      <c r="A497" s="37"/>
      <c r="B497" s="78"/>
      <c r="C497" s="70"/>
      <c r="D497" s="37"/>
      <c r="E497" s="70"/>
      <c r="F497" s="70"/>
      <c r="G497" s="37"/>
      <c r="H497" s="70"/>
      <c r="I497" s="70"/>
      <c r="J497" s="37"/>
      <c r="K497" s="70"/>
      <c r="L497" s="70"/>
      <c r="M497" s="70"/>
      <c r="N497" s="70"/>
      <c r="O497" s="70"/>
    </row>
    <row r="498" spans="1:15" x14ac:dyDescent="0.25">
      <c r="A498" s="37"/>
      <c r="B498" s="78"/>
      <c r="C498" s="70"/>
      <c r="D498" s="37"/>
      <c r="E498" s="70"/>
      <c r="F498" s="70"/>
      <c r="G498" s="37"/>
      <c r="H498" s="70"/>
      <c r="I498" s="70"/>
      <c r="J498" s="37"/>
      <c r="K498" s="70"/>
      <c r="L498" s="70"/>
      <c r="M498" s="70"/>
      <c r="N498" s="70"/>
      <c r="O498" s="70"/>
    </row>
    <row r="499" spans="1:15" x14ac:dyDescent="0.25">
      <c r="A499" s="37"/>
      <c r="B499" s="78"/>
      <c r="C499" s="70"/>
      <c r="D499" s="37"/>
      <c r="E499" s="70"/>
      <c r="F499" s="70"/>
      <c r="G499" s="37"/>
      <c r="H499" s="70"/>
      <c r="I499" s="70"/>
      <c r="J499" s="37"/>
      <c r="K499" s="70"/>
      <c r="L499" s="70"/>
      <c r="M499" s="70"/>
      <c r="N499" s="70"/>
      <c r="O499" s="70"/>
    </row>
    <row r="500" spans="1:15" x14ac:dyDescent="0.25">
      <c r="A500" s="37"/>
      <c r="B500" s="78"/>
      <c r="C500" s="70"/>
      <c r="D500" s="37"/>
      <c r="E500" s="70"/>
      <c r="F500" s="70"/>
      <c r="G500" s="37"/>
      <c r="H500" s="70"/>
      <c r="I500" s="70"/>
      <c r="J500" s="37"/>
      <c r="K500" s="70"/>
      <c r="L500" s="70"/>
      <c r="M500" s="70"/>
      <c r="N500" s="70"/>
      <c r="O500" s="70"/>
    </row>
    <row r="501" spans="1:15" x14ac:dyDescent="0.25">
      <c r="A501" s="37"/>
      <c r="B501" s="78"/>
      <c r="C501" s="70"/>
      <c r="D501" s="37"/>
      <c r="E501" s="70"/>
      <c r="F501" s="70"/>
      <c r="G501" s="37"/>
      <c r="H501" s="70"/>
      <c r="I501" s="70"/>
      <c r="J501" s="37"/>
      <c r="K501" s="70"/>
      <c r="L501" s="70"/>
      <c r="M501" s="70"/>
      <c r="N501" s="70"/>
      <c r="O501" s="70"/>
    </row>
    <row r="502" spans="1:15" x14ac:dyDescent="0.25">
      <c r="A502" s="37"/>
      <c r="B502" s="78"/>
      <c r="C502" s="70"/>
      <c r="D502" s="37"/>
      <c r="E502" s="70"/>
      <c r="F502" s="70"/>
      <c r="G502" s="37"/>
      <c r="H502" s="70"/>
      <c r="I502" s="70"/>
      <c r="J502" s="37"/>
      <c r="K502" s="70"/>
      <c r="L502" s="70"/>
      <c r="M502" s="70"/>
      <c r="N502" s="70"/>
      <c r="O502" s="70"/>
    </row>
    <row r="503" spans="1:15" x14ac:dyDescent="0.25">
      <c r="A503" s="37"/>
      <c r="B503" s="78"/>
      <c r="C503" s="70"/>
      <c r="D503" s="37"/>
      <c r="E503" s="70"/>
      <c r="F503" s="70"/>
      <c r="G503" s="37"/>
      <c r="H503" s="70"/>
      <c r="I503" s="70"/>
      <c r="J503" s="37"/>
      <c r="K503" s="70"/>
      <c r="L503" s="70"/>
      <c r="M503" s="70"/>
      <c r="N503" s="70"/>
      <c r="O503" s="70"/>
    </row>
    <row r="504" spans="1:15" x14ac:dyDescent="0.25">
      <c r="A504" s="37"/>
      <c r="B504" s="78"/>
      <c r="C504" s="70"/>
      <c r="D504" s="37"/>
      <c r="E504" s="70"/>
      <c r="F504" s="70"/>
      <c r="G504" s="37"/>
      <c r="H504" s="70"/>
      <c r="I504" s="70"/>
      <c r="J504" s="37"/>
      <c r="K504" s="70"/>
      <c r="L504" s="70"/>
      <c r="M504" s="70"/>
      <c r="N504" s="70"/>
      <c r="O504" s="70"/>
    </row>
    <row r="505" spans="1:15" x14ac:dyDescent="0.25">
      <c r="A505" s="37"/>
      <c r="B505" s="78"/>
      <c r="C505" s="70"/>
      <c r="D505" s="37"/>
      <c r="E505" s="70"/>
      <c r="F505" s="70"/>
      <c r="G505" s="37"/>
      <c r="H505" s="70"/>
      <c r="I505" s="70"/>
      <c r="J505" s="37"/>
      <c r="K505" s="70"/>
      <c r="L505" s="70"/>
      <c r="M505" s="70"/>
      <c r="N505" s="70"/>
      <c r="O505" s="70"/>
    </row>
    <row r="506" spans="1:15" x14ac:dyDescent="0.25">
      <c r="A506" s="37"/>
      <c r="B506" s="78"/>
      <c r="C506" s="70"/>
      <c r="D506" s="37"/>
      <c r="E506" s="70"/>
      <c r="F506" s="70"/>
      <c r="G506" s="37"/>
      <c r="H506" s="70"/>
      <c r="I506" s="70"/>
      <c r="J506" s="37"/>
      <c r="K506" s="70"/>
      <c r="L506" s="70"/>
      <c r="M506" s="70"/>
      <c r="N506" s="70"/>
      <c r="O506" s="70"/>
    </row>
    <row r="507" spans="1:15" x14ac:dyDescent="0.25">
      <c r="A507" s="37"/>
      <c r="B507" s="78"/>
      <c r="C507" s="70"/>
      <c r="D507" s="37"/>
      <c r="E507" s="70"/>
      <c r="F507" s="70"/>
      <c r="G507" s="37"/>
      <c r="H507" s="70"/>
      <c r="I507" s="70"/>
      <c r="J507" s="37"/>
      <c r="K507" s="70"/>
      <c r="L507" s="70"/>
      <c r="M507" s="70"/>
      <c r="N507" s="70"/>
      <c r="O507" s="70"/>
    </row>
    <row r="508" spans="1:15" x14ac:dyDescent="0.25">
      <c r="A508" s="37"/>
      <c r="B508" s="78"/>
      <c r="C508" s="70"/>
      <c r="D508" s="37"/>
      <c r="E508" s="70"/>
      <c r="F508" s="70"/>
      <c r="G508" s="37"/>
      <c r="H508" s="70"/>
      <c r="I508" s="70"/>
      <c r="J508" s="37"/>
      <c r="K508" s="70"/>
      <c r="L508" s="70"/>
      <c r="M508" s="70"/>
      <c r="N508" s="70"/>
      <c r="O508" s="70"/>
    </row>
    <row r="509" spans="1:15" x14ac:dyDescent="0.25">
      <c r="A509" s="37"/>
      <c r="B509" s="78"/>
      <c r="C509" s="70"/>
      <c r="D509" s="37"/>
      <c r="E509" s="70"/>
      <c r="F509" s="70"/>
      <c r="G509" s="37"/>
      <c r="H509" s="70"/>
      <c r="I509" s="70"/>
      <c r="J509" s="37"/>
      <c r="K509" s="70"/>
      <c r="L509" s="70"/>
      <c r="M509" s="70"/>
      <c r="N509" s="70"/>
      <c r="O509" s="70"/>
    </row>
    <row r="510" spans="1:15" x14ac:dyDescent="0.25">
      <c r="A510" s="37"/>
      <c r="B510" s="78"/>
      <c r="C510" s="70"/>
      <c r="D510" s="37"/>
      <c r="E510" s="70"/>
      <c r="F510" s="70"/>
      <c r="G510" s="37"/>
      <c r="H510" s="70"/>
      <c r="I510" s="70"/>
      <c r="J510" s="37"/>
      <c r="K510" s="70"/>
      <c r="L510" s="70"/>
      <c r="M510" s="70"/>
      <c r="N510" s="70"/>
      <c r="O510" s="70"/>
    </row>
    <row r="511" spans="1:15" x14ac:dyDescent="0.25">
      <c r="A511" s="37"/>
      <c r="B511" s="78"/>
      <c r="C511" s="70"/>
      <c r="D511" s="37"/>
      <c r="E511" s="70"/>
      <c r="F511" s="70"/>
      <c r="G511" s="37"/>
      <c r="H511" s="70"/>
      <c r="I511" s="70"/>
      <c r="J511" s="37"/>
      <c r="K511" s="70"/>
      <c r="L511" s="70"/>
      <c r="M511" s="70"/>
      <c r="N511" s="70"/>
      <c r="O511" s="70"/>
    </row>
    <row r="512" spans="1:15" x14ac:dyDescent="0.25">
      <c r="A512" s="37"/>
      <c r="B512" s="78"/>
      <c r="C512" s="70"/>
      <c r="D512" s="37"/>
      <c r="E512" s="70"/>
      <c r="F512" s="70"/>
      <c r="G512" s="37"/>
      <c r="H512" s="70"/>
      <c r="I512" s="70"/>
      <c r="J512" s="37"/>
      <c r="K512" s="70"/>
      <c r="L512" s="70"/>
      <c r="M512" s="70"/>
      <c r="N512" s="70"/>
      <c r="O512" s="70"/>
    </row>
    <row r="513" spans="1:15" x14ac:dyDescent="0.25">
      <c r="A513" s="37"/>
      <c r="B513" s="78"/>
      <c r="C513" s="70"/>
      <c r="D513" s="37"/>
      <c r="E513" s="70"/>
      <c r="F513" s="70"/>
      <c r="G513" s="37"/>
      <c r="H513" s="70"/>
      <c r="I513" s="70"/>
      <c r="J513" s="37"/>
      <c r="K513" s="70"/>
      <c r="L513" s="70"/>
      <c r="M513" s="70"/>
      <c r="N513" s="70"/>
      <c r="O513" s="70"/>
    </row>
    <row r="514" spans="1:15" x14ac:dyDescent="0.25">
      <c r="A514" s="37"/>
      <c r="B514" s="78"/>
      <c r="C514" s="70"/>
      <c r="D514" s="37"/>
      <c r="E514" s="70"/>
      <c r="F514" s="70"/>
      <c r="G514" s="37"/>
      <c r="H514" s="70"/>
      <c r="I514" s="70"/>
      <c r="J514" s="37"/>
      <c r="K514" s="70"/>
      <c r="L514" s="70"/>
      <c r="M514" s="70"/>
      <c r="N514" s="70"/>
      <c r="O514" s="70"/>
    </row>
    <row r="515" spans="1:15" x14ac:dyDescent="0.25">
      <c r="A515" s="37"/>
      <c r="B515" s="78"/>
      <c r="C515" s="70"/>
      <c r="D515" s="37"/>
      <c r="E515" s="70"/>
      <c r="F515" s="70"/>
      <c r="G515" s="37"/>
      <c r="H515" s="70"/>
      <c r="I515" s="70"/>
      <c r="J515" s="37"/>
      <c r="K515" s="70"/>
      <c r="L515" s="70"/>
      <c r="M515" s="70"/>
      <c r="N515" s="70"/>
      <c r="O515" s="70"/>
    </row>
    <row r="516" spans="1:15" x14ac:dyDescent="0.25">
      <c r="A516" s="37"/>
      <c r="B516" s="78"/>
      <c r="C516" s="70"/>
      <c r="D516" s="37"/>
      <c r="E516" s="70"/>
      <c r="F516" s="70"/>
      <c r="G516" s="37"/>
      <c r="H516" s="70"/>
      <c r="I516" s="70"/>
      <c r="J516" s="37"/>
      <c r="K516" s="70"/>
      <c r="L516" s="70"/>
      <c r="M516" s="70"/>
      <c r="N516" s="70"/>
      <c r="O516" s="70"/>
    </row>
    <row r="517" spans="1:15" x14ac:dyDescent="0.25">
      <c r="A517" s="37"/>
      <c r="B517" s="78"/>
      <c r="C517" s="70"/>
      <c r="D517" s="37"/>
      <c r="E517" s="70"/>
      <c r="F517" s="70"/>
      <c r="G517" s="37"/>
      <c r="H517" s="70"/>
      <c r="I517" s="70"/>
      <c r="J517" s="37"/>
      <c r="K517" s="70"/>
      <c r="L517" s="70"/>
      <c r="M517" s="70"/>
      <c r="N517" s="70"/>
      <c r="O517" s="70"/>
    </row>
    <row r="518" spans="1:15" x14ac:dyDescent="0.25">
      <c r="A518" s="37"/>
      <c r="B518" s="78"/>
      <c r="C518" s="70"/>
      <c r="D518" s="37"/>
      <c r="E518" s="70"/>
      <c r="F518" s="70"/>
      <c r="G518" s="37"/>
      <c r="H518" s="70"/>
      <c r="I518" s="70"/>
      <c r="J518" s="37"/>
      <c r="K518" s="70"/>
      <c r="L518" s="70"/>
      <c r="M518" s="70"/>
      <c r="N518" s="70"/>
      <c r="O518" s="70"/>
    </row>
    <row r="519" spans="1:15" x14ac:dyDescent="0.25">
      <c r="A519" s="37"/>
      <c r="B519" s="78"/>
      <c r="C519" s="70"/>
      <c r="D519" s="37"/>
      <c r="E519" s="70"/>
      <c r="F519" s="70"/>
      <c r="G519" s="37"/>
      <c r="H519" s="70"/>
      <c r="I519" s="70"/>
      <c r="J519" s="37"/>
      <c r="K519" s="70"/>
      <c r="L519" s="70"/>
      <c r="M519" s="70"/>
      <c r="N519" s="70"/>
      <c r="O519" s="70"/>
    </row>
    <row r="520" spans="1:15" x14ac:dyDescent="0.25">
      <c r="A520" s="37"/>
      <c r="B520" s="78"/>
      <c r="C520" s="70"/>
      <c r="D520" s="37"/>
      <c r="E520" s="70"/>
      <c r="F520" s="70"/>
      <c r="G520" s="37"/>
      <c r="H520" s="70"/>
      <c r="I520" s="70"/>
      <c r="J520" s="37"/>
      <c r="K520" s="70"/>
      <c r="L520" s="70"/>
      <c r="M520" s="70"/>
      <c r="N520" s="70"/>
      <c r="O520" s="70"/>
    </row>
    <row r="521" spans="1:15" x14ac:dyDescent="0.25">
      <c r="A521" s="37"/>
      <c r="B521" s="78"/>
      <c r="C521" s="70"/>
      <c r="D521" s="37"/>
      <c r="E521" s="70"/>
      <c r="F521" s="70"/>
      <c r="G521" s="37"/>
      <c r="H521" s="70"/>
      <c r="I521" s="70"/>
      <c r="J521" s="37"/>
      <c r="K521" s="70"/>
      <c r="L521" s="70"/>
      <c r="M521" s="70"/>
      <c r="N521" s="70"/>
      <c r="O521" s="70"/>
    </row>
    <row r="522" spans="1:15" x14ac:dyDescent="0.25">
      <c r="A522" s="37"/>
      <c r="B522" s="78"/>
      <c r="C522" s="70"/>
      <c r="D522" s="37"/>
      <c r="E522" s="70"/>
      <c r="F522" s="70"/>
      <c r="G522" s="37"/>
      <c r="H522" s="70"/>
      <c r="I522" s="70"/>
      <c r="J522" s="37"/>
      <c r="K522" s="70"/>
      <c r="L522" s="70"/>
      <c r="M522" s="70"/>
      <c r="N522" s="70"/>
      <c r="O522" s="70"/>
    </row>
    <row r="523" spans="1:15" x14ac:dyDescent="0.25">
      <c r="A523" s="37"/>
      <c r="B523" s="78"/>
      <c r="C523" s="70"/>
      <c r="D523" s="37"/>
      <c r="E523" s="70"/>
      <c r="F523" s="70"/>
      <c r="G523" s="37"/>
      <c r="H523" s="70"/>
      <c r="I523" s="70"/>
      <c r="J523" s="37"/>
      <c r="K523" s="70"/>
      <c r="L523" s="70"/>
      <c r="M523" s="70"/>
      <c r="N523" s="70"/>
      <c r="O523" s="70"/>
    </row>
    <row r="524" spans="1:15" x14ac:dyDescent="0.25">
      <c r="A524" s="37"/>
      <c r="B524" s="78"/>
      <c r="C524" s="70"/>
      <c r="D524" s="37"/>
      <c r="E524" s="70"/>
      <c r="F524" s="70"/>
      <c r="G524" s="37"/>
      <c r="H524" s="70"/>
      <c r="I524" s="70"/>
      <c r="J524" s="37"/>
      <c r="K524" s="70"/>
      <c r="L524" s="70"/>
      <c r="M524" s="70"/>
      <c r="N524" s="70"/>
      <c r="O524" s="70"/>
    </row>
    <row r="525" spans="1:15" x14ac:dyDescent="0.25">
      <c r="A525" s="37"/>
      <c r="B525" s="78"/>
      <c r="C525" s="70"/>
      <c r="D525" s="37"/>
      <c r="E525" s="70"/>
      <c r="F525" s="70"/>
      <c r="G525" s="37"/>
      <c r="H525" s="70"/>
      <c r="I525" s="70"/>
      <c r="J525" s="37"/>
      <c r="K525" s="70"/>
      <c r="L525" s="70"/>
      <c r="M525" s="70"/>
      <c r="N525" s="70"/>
      <c r="O525" s="70"/>
    </row>
    <row r="526" spans="1:15" x14ac:dyDescent="0.25">
      <c r="A526" s="37"/>
      <c r="B526" s="78"/>
      <c r="C526" s="70"/>
      <c r="D526" s="37"/>
      <c r="E526" s="70"/>
      <c r="F526" s="70"/>
      <c r="G526" s="37"/>
      <c r="H526" s="70"/>
      <c r="I526" s="70"/>
      <c r="J526" s="37"/>
      <c r="K526" s="70"/>
      <c r="L526" s="70"/>
      <c r="M526" s="70"/>
      <c r="N526" s="70"/>
      <c r="O526" s="70"/>
    </row>
    <row r="527" spans="1:15" x14ac:dyDescent="0.25">
      <c r="A527" s="37"/>
      <c r="B527" s="78"/>
      <c r="C527" s="70"/>
      <c r="D527" s="37"/>
      <c r="E527" s="70"/>
      <c r="F527" s="70"/>
      <c r="G527" s="37"/>
      <c r="H527" s="70"/>
      <c r="I527" s="70"/>
      <c r="J527" s="37"/>
      <c r="K527" s="70"/>
      <c r="L527" s="70"/>
      <c r="M527" s="70"/>
      <c r="N527" s="70"/>
      <c r="O527" s="70"/>
    </row>
    <row r="528" spans="1:15" x14ac:dyDescent="0.25">
      <c r="A528" s="37"/>
      <c r="B528" s="78"/>
      <c r="C528" s="70"/>
      <c r="D528" s="37"/>
      <c r="E528" s="70"/>
      <c r="F528" s="70"/>
      <c r="G528" s="37"/>
      <c r="H528" s="70"/>
      <c r="I528" s="70"/>
      <c r="J528" s="37"/>
      <c r="K528" s="70"/>
      <c r="L528" s="70"/>
      <c r="M528" s="70"/>
      <c r="N528" s="70"/>
      <c r="O528" s="70"/>
    </row>
    <row r="529" spans="1:15" x14ac:dyDescent="0.25">
      <c r="A529" s="37"/>
      <c r="B529" s="78"/>
      <c r="C529" s="70"/>
      <c r="D529" s="37"/>
      <c r="E529" s="70"/>
      <c r="F529" s="70"/>
      <c r="G529" s="37"/>
      <c r="H529" s="70"/>
      <c r="I529" s="70"/>
      <c r="J529" s="37"/>
      <c r="K529" s="70"/>
      <c r="L529" s="70"/>
      <c r="M529" s="70"/>
      <c r="N529" s="70"/>
      <c r="O529" s="70"/>
    </row>
    <row r="530" spans="1:15" x14ac:dyDescent="0.25">
      <c r="A530" s="37"/>
      <c r="B530" s="78"/>
      <c r="C530" s="70"/>
      <c r="D530" s="37"/>
      <c r="E530" s="70"/>
      <c r="F530" s="70"/>
      <c r="G530" s="37"/>
      <c r="H530" s="70"/>
      <c r="I530" s="70"/>
      <c r="J530" s="37"/>
      <c r="K530" s="70"/>
      <c r="L530" s="70"/>
      <c r="M530" s="70"/>
      <c r="N530" s="70"/>
      <c r="O530" s="70"/>
    </row>
    <row r="531" spans="1:15" x14ac:dyDescent="0.25">
      <c r="A531" s="37"/>
      <c r="B531" s="78"/>
      <c r="C531" s="70"/>
      <c r="D531" s="37"/>
      <c r="E531" s="70"/>
      <c r="F531" s="70"/>
      <c r="G531" s="37"/>
      <c r="H531" s="70"/>
      <c r="I531" s="70"/>
      <c r="J531" s="37"/>
      <c r="K531" s="70"/>
      <c r="L531" s="70"/>
      <c r="M531" s="70"/>
      <c r="N531" s="70"/>
      <c r="O531" s="70"/>
    </row>
    <row r="532" spans="1:15" x14ac:dyDescent="0.25">
      <c r="A532" s="37"/>
      <c r="B532" s="78"/>
      <c r="C532" s="70"/>
      <c r="D532" s="37"/>
      <c r="E532" s="70"/>
      <c r="F532" s="70"/>
      <c r="G532" s="37"/>
      <c r="H532" s="70"/>
      <c r="I532" s="70"/>
      <c r="J532" s="37"/>
      <c r="K532" s="70"/>
      <c r="L532" s="70"/>
      <c r="M532" s="70"/>
      <c r="N532" s="70"/>
      <c r="O532" s="70"/>
    </row>
    <row r="533" spans="1:15" x14ac:dyDescent="0.25">
      <c r="A533" s="37"/>
      <c r="B533" s="78"/>
      <c r="C533" s="70"/>
      <c r="D533" s="37"/>
      <c r="E533" s="70"/>
      <c r="F533" s="70"/>
      <c r="G533" s="37"/>
      <c r="H533" s="70"/>
      <c r="I533" s="70"/>
      <c r="J533" s="37"/>
      <c r="K533" s="70"/>
      <c r="L533" s="70"/>
      <c r="M533" s="70"/>
      <c r="N533" s="70"/>
      <c r="O533" s="70"/>
    </row>
    <row r="534" spans="1:15" x14ac:dyDescent="0.25">
      <c r="A534" s="37"/>
      <c r="B534" s="78"/>
      <c r="C534" s="70"/>
      <c r="D534" s="37"/>
      <c r="E534" s="70"/>
      <c r="F534" s="70"/>
      <c r="G534" s="37"/>
      <c r="H534" s="70"/>
      <c r="I534" s="70"/>
      <c r="J534" s="37"/>
      <c r="K534" s="70"/>
      <c r="L534" s="70"/>
      <c r="M534" s="70"/>
      <c r="N534" s="70"/>
      <c r="O534" s="70"/>
    </row>
    <row r="535" spans="1:15" x14ac:dyDescent="0.25">
      <c r="A535" s="37"/>
      <c r="B535" s="78"/>
      <c r="C535" s="70"/>
      <c r="D535" s="37"/>
      <c r="E535" s="70"/>
      <c r="F535" s="70"/>
      <c r="G535" s="37"/>
      <c r="H535" s="70"/>
      <c r="I535" s="70"/>
      <c r="J535" s="37"/>
      <c r="K535" s="70"/>
      <c r="L535" s="70"/>
      <c r="M535" s="70"/>
      <c r="N535" s="70"/>
      <c r="O535" s="70"/>
    </row>
    <row r="536" spans="1:15" x14ac:dyDescent="0.25">
      <c r="J536" s="37"/>
      <c r="K536" s="70"/>
      <c r="L536" s="70"/>
    </row>
    <row r="537" spans="1:15" x14ac:dyDescent="0.25">
      <c r="J537" s="37"/>
      <c r="K537" s="70"/>
      <c r="L537" s="70"/>
    </row>
    <row r="538" spans="1:15" x14ac:dyDescent="0.25">
      <c r="J538" s="37"/>
      <c r="K538" s="70"/>
      <c r="L538" s="70"/>
    </row>
    <row r="539" spans="1:15" x14ac:dyDescent="0.25">
      <c r="J539" s="37"/>
      <c r="K539" s="70"/>
      <c r="L539" s="70"/>
    </row>
    <row r="540" spans="1:15" x14ac:dyDescent="0.25">
      <c r="J540" s="37"/>
      <c r="K540" s="70"/>
      <c r="L540" s="70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26</vt:i4>
      </vt:variant>
    </vt:vector>
  </HeadingPairs>
  <TitlesOfParts>
    <vt:vector size="41" baseType="lpstr">
      <vt:lpstr>C C portaciones DIC 13</vt:lpstr>
      <vt:lpstr>C C portaciones ENE 15</vt:lpstr>
      <vt:lpstr>C C aportaciones FEB 15 </vt:lpstr>
      <vt:lpstr>C C aportaciones MAR 15  </vt:lpstr>
      <vt:lpstr>C C aportaciones ABR 15    (2)</vt:lpstr>
      <vt:lpstr>C C aportaciones MAY 15    (2)</vt:lpstr>
      <vt:lpstr>C C aportaciones JUN 15    (2)</vt:lpstr>
      <vt:lpstr>C C aportaciones JUL 15    (2</vt:lpstr>
      <vt:lpstr>C C aportaciones AGO 15     (3</vt:lpstr>
      <vt:lpstr>C C aportaciones SEPT 15   (2</vt:lpstr>
      <vt:lpstr>C C aportaciones OCT 15 (2)</vt:lpstr>
      <vt:lpstr>C C aportaciones NOV 15   ( (3</vt:lpstr>
      <vt:lpstr>C C aportaciones DIC 15  </vt:lpstr>
      <vt:lpstr>Hoja1</vt:lpstr>
      <vt:lpstr>Hoja2</vt:lpstr>
      <vt:lpstr>'C C aportaciones ABR 15    (2)'!Área_de_impresión</vt:lpstr>
      <vt:lpstr>'C C aportaciones AGO 15     (3'!Área_de_impresión</vt:lpstr>
      <vt:lpstr>'C C aportaciones DIC 15  '!Área_de_impresión</vt:lpstr>
      <vt:lpstr>'C C aportaciones FEB 15 '!Área_de_impresión</vt:lpstr>
      <vt:lpstr>'C C aportaciones JUL 15    (2'!Área_de_impresión</vt:lpstr>
      <vt:lpstr>'C C aportaciones JUN 15    (2)'!Área_de_impresión</vt:lpstr>
      <vt:lpstr>'C C aportaciones MAR 15  '!Área_de_impresión</vt:lpstr>
      <vt:lpstr>'C C aportaciones MAY 15    (2)'!Área_de_impresión</vt:lpstr>
      <vt:lpstr>'C C aportaciones NOV 15   ( (3'!Área_de_impresión</vt:lpstr>
      <vt:lpstr>'C C aportaciones OCT 15 (2)'!Área_de_impresión</vt:lpstr>
      <vt:lpstr>'C C aportaciones SEPT 15   (2'!Área_de_impresión</vt:lpstr>
      <vt:lpstr>'C C portaciones DIC 13'!Área_de_impresión</vt:lpstr>
      <vt:lpstr>'C C portaciones ENE 15'!Área_de_impresión</vt:lpstr>
      <vt:lpstr>'C C aportaciones ABR 15    (2)'!Títulos_a_imprimir</vt:lpstr>
      <vt:lpstr>'C C aportaciones AGO 15     (3'!Títulos_a_imprimir</vt:lpstr>
      <vt:lpstr>'C C aportaciones DIC 15  '!Títulos_a_imprimir</vt:lpstr>
      <vt:lpstr>'C C aportaciones FEB 15 '!Títulos_a_imprimir</vt:lpstr>
      <vt:lpstr>'C C aportaciones JUL 15    (2'!Títulos_a_imprimir</vt:lpstr>
      <vt:lpstr>'C C aportaciones JUN 15    (2)'!Títulos_a_imprimir</vt:lpstr>
      <vt:lpstr>'C C aportaciones MAR 15  '!Títulos_a_imprimir</vt:lpstr>
      <vt:lpstr>'C C aportaciones MAY 15    (2)'!Títulos_a_imprimir</vt:lpstr>
      <vt:lpstr>'C C aportaciones NOV 15   ( (3'!Títulos_a_imprimir</vt:lpstr>
      <vt:lpstr>'C C aportaciones OCT 15 (2)'!Títulos_a_imprimir</vt:lpstr>
      <vt:lpstr>'C C aportaciones SEPT 15   (2'!Títulos_a_imprimir</vt:lpstr>
      <vt:lpstr>'C C portaciones DIC 13'!Títulos_a_imprimir</vt:lpstr>
      <vt:lpstr>'C C portaciones ENE 15'!Títulos_a_imprimir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GALVEZ</dc:creator>
  <cp:lastModifiedBy>Bsala</cp:lastModifiedBy>
  <cp:lastPrinted>2016-02-26T22:44:54Z</cp:lastPrinted>
  <dcterms:created xsi:type="dcterms:W3CDTF">2013-12-30T22:30:56Z</dcterms:created>
  <dcterms:modified xsi:type="dcterms:W3CDTF">2016-02-28T00:39:46Z</dcterms:modified>
</cp:coreProperties>
</file>