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"/>
    </mc:Choice>
  </mc:AlternateContent>
  <bookViews>
    <workbookView xWindow="120" yWindow="585" windowWidth="23715" windowHeight="9045" firstSheet="1" activeTab="1"/>
  </bookViews>
  <sheets>
    <sheet name="ENERO-15)" sheetId="6" r:id="rId1"/>
    <sheet name="FLUJO FINANCIERO-2015" sheetId="8" r:id="rId2"/>
  </sheets>
  <definedNames>
    <definedName name="_xlnm.Print_Area" localSheetId="0">'ENERO-15)'!$B$1:$F$54</definedName>
    <definedName name="_xlnm.Print_Area" localSheetId="1">'FLUJO FINANCIERO-2015'!$B$1:$N$37</definedName>
  </definedNames>
  <calcPr calcId="152511"/>
</workbook>
</file>

<file path=xl/calcChain.xml><?xml version="1.0" encoding="utf-8"?>
<calcChain xmlns="http://schemas.openxmlformats.org/spreadsheetml/2006/main">
  <c r="H37" i="8" l="1"/>
  <c r="L37" i="8"/>
  <c r="G8" i="8"/>
  <c r="G37" i="8"/>
  <c r="F37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E37" i="8" l="1"/>
  <c r="M9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8" i="8" l="1"/>
  <c r="I12" i="8"/>
  <c r="N12" i="8" s="1"/>
  <c r="I13" i="8"/>
  <c r="N13" i="8" s="1"/>
  <c r="I14" i="8"/>
  <c r="N14" i="8" s="1"/>
  <c r="I15" i="8"/>
  <c r="N15" i="8" s="1"/>
  <c r="I16" i="8"/>
  <c r="N16" i="8" s="1"/>
  <c r="I17" i="8"/>
  <c r="N17" i="8" s="1"/>
  <c r="I18" i="8"/>
  <c r="N18" i="8" s="1"/>
  <c r="I19" i="8"/>
  <c r="N19" i="8" s="1"/>
  <c r="I20" i="8"/>
  <c r="N20" i="8" s="1"/>
  <c r="I21" i="8"/>
  <c r="N21" i="8" s="1"/>
  <c r="I22" i="8"/>
  <c r="N22" i="8" s="1"/>
  <c r="I23" i="8"/>
  <c r="N23" i="8" s="1"/>
  <c r="I24" i="8"/>
  <c r="N24" i="8" s="1"/>
  <c r="I25" i="8"/>
  <c r="N25" i="8" s="1"/>
  <c r="I26" i="8"/>
  <c r="N26" i="8" s="1"/>
  <c r="I27" i="8"/>
  <c r="N27" i="8" s="1"/>
  <c r="I28" i="8"/>
  <c r="N28" i="8" s="1"/>
  <c r="I29" i="8"/>
  <c r="N29" i="8" s="1"/>
  <c r="I30" i="8"/>
  <c r="N30" i="8" s="1"/>
  <c r="I31" i="8"/>
  <c r="N31" i="8" s="1"/>
  <c r="I32" i="8"/>
  <c r="N32" i="8" s="1"/>
  <c r="I33" i="8"/>
  <c r="I34" i="8"/>
  <c r="I35" i="8"/>
  <c r="I36" i="8"/>
  <c r="I9" i="8"/>
  <c r="I10" i="8"/>
  <c r="I11" i="8"/>
  <c r="I8" i="8"/>
  <c r="N8" i="8" l="1"/>
  <c r="I37" i="8"/>
  <c r="N9" i="8"/>
  <c r="J10" i="8"/>
  <c r="K8" i="8"/>
  <c r="K37" i="8" s="1"/>
  <c r="M10" i="8" l="1"/>
  <c r="N10" i="8" s="1"/>
  <c r="N37" i="8" s="1"/>
  <c r="J11" i="8"/>
  <c r="M11" i="8" s="1"/>
  <c r="N11" i="8" s="1"/>
  <c r="F6" i="6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J37" i="8" l="1"/>
  <c r="M37" i="8"/>
  <c r="C37" i="8"/>
  <c r="E49" i="6" l="1"/>
  <c r="D49" i="6"/>
</calcChain>
</file>

<file path=xl/sharedStrings.xml><?xml version="1.0" encoding="utf-8"?>
<sst xmlns="http://schemas.openxmlformats.org/spreadsheetml/2006/main" count="75" uniqueCount="61">
  <si>
    <t>TOTAL</t>
  </si>
  <si>
    <t>FECHA</t>
  </si>
  <si>
    <t>CONCEPTO</t>
  </si>
  <si>
    <t>DIFERENCIA</t>
  </si>
  <si>
    <t>EGRESOS</t>
  </si>
  <si>
    <t>EFECTIVO</t>
  </si>
  <si>
    <t>INGRESOS Y EGRESOS DEL MES DE ENERO/15</t>
  </si>
  <si>
    <t>Ferre Electrica Diaz, 10 cinchos para fijar lonas</t>
  </si>
  <si>
    <t>Saldo del mes de diciembre/14</t>
  </si>
  <si>
    <t>Gloria Mazzón, pago honorarios por captura de datos</t>
  </si>
  <si>
    <t>SAT servicio de administración tributaría, Colegio Carmel, nov/14</t>
  </si>
  <si>
    <t>Entrega al Sr. Baldemar Sala Bay para gastos varios</t>
  </si>
  <si>
    <t>Siegrist Contadores Publicos, honorarios profesionales mes dic/14</t>
  </si>
  <si>
    <t>Electropura, S. de R.L. de C.V. compra de 3 garrafones de agua</t>
  </si>
  <si>
    <t>Nueva Walmart de México, S. de R.L. de C.V. compra mat. Limpieza</t>
  </si>
  <si>
    <t>Jorge Dithurbide Cañizares, Grupo Gama, pago 1° quincena  ene/15</t>
  </si>
  <si>
    <t>Artemio Mora Torres, pago correspondiente a la 1° quincena ene/15</t>
  </si>
  <si>
    <t>Advance Servicio CCTV y Cómputo, honorarios reparacion cableado</t>
  </si>
  <si>
    <t>MD Gran Formato, S.A. de C.V. 1 metro cuadrado lona impresa</t>
  </si>
  <si>
    <t>Roberto Miranda, gratificación por recolección de basura parque</t>
  </si>
  <si>
    <t>Office Depot de México, S.A. de C.V. compra de 4 cartuchos epson</t>
  </si>
  <si>
    <t>Gloria Mazzón, pago de honorarios por captura de datos</t>
  </si>
  <si>
    <t>SAT Servicio de administración tributaría, Colegio Carmel, enero/15</t>
  </si>
  <si>
    <t>Siegrist Contadores Publicos, honorarios profesionales mes ene/15</t>
  </si>
  <si>
    <t>Electropura, S. de R.L. de C.V. compra de 2 garrafones de agua</t>
  </si>
  <si>
    <t>José Alberto González, anticipo para compra de materiales parque</t>
  </si>
  <si>
    <t>Eguía Impresos, 460 copias informe anual</t>
  </si>
  <si>
    <t>José Alberto González, por concepto de pago poda de pasto parque</t>
  </si>
  <si>
    <t>Advance Servicio CCTV y Cómputo, respaldo de una videograbación</t>
  </si>
  <si>
    <t>Manuel Olivares, pago por quitar publlicidad de todas las rejas</t>
  </si>
  <si>
    <t>Jorge López, gratificación por cambio de 5 luminarias en el fracc.</t>
  </si>
  <si>
    <t>Pedro Cortes, pago por recolección de basura en todo el fracc.</t>
  </si>
  <si>
    <t>Jorge Dithurbide Cañizare, Grupo Gama, pago 2° quincena enero/15</t>
  </si>
  <si>
    <t>Artemio Mora Torres, pago correspondiente a la 2° quincena ene/15</t>
  </si>
  <si>
    <t>Advanced Servicio CCTV y Cómputo, 2 barreras vehiculares en alum.</t>
  </si>
  <si>
    <t>Advanced Servicio CCTV y Cómputo, configuración de DVR en grab.</t>
  </si>
  <si>
    <t>Aldama, S.A. compra de una bomba para bicicleta</t>
  </si>
  <si>
    <t>Pedro Cortes, gratificación por recoger y tirar el pasto podado</t>
  </si>
  <si>
    <t>Jorge López, cambiar 9 luminarias en la calle del Hueso</t>
  </si>
  <si>
    <t>Jorge López, gasto para comida de la cuadrilla que esta trabajando</t>
  </si>
  <si>
    <t>Electropura, S. de R.L. de C.V., 2 garrafones de agua</t>
  </si>
  <si>
    <t>SAT servicio de administración tributaría, Colegio Carmel, dic/14</t>
  </si>
  <si>
    <t>ANALISIS COBRANZA 2015 OSCAR ROLDAN-BALDEMAR SALA</t>
  </si>
  <si>
    <t>B.SALA</t>
  </si>
  <si>
    <t>O.ROLDAN</t>
  </si>
  <si>
    <t>SALDO</t>
  </si>
  <si>
    <t xml:space="preserve">TOTAL COBRANZA </t>
  </si>
  <si>
    <t>ACUMULADO</t>
  </si>
  <si>
    <t>SALDO TOTAL</t>
  </si>
  <si>
    <t>DISPONIBLE</t>
  </si>
  <si>
    <t>FONDO OPERATIVO  B.SALA</t>
  </si>
  <si>
    <t xml:space="preserve">TOTAL </t>
  </si>
  <si>
    <t>SALDO BANCO</t>
  </si>
  <si>
    <t>ENTREGA EFECTIVO</t>
  </si>
  <si>
    <t>DEPOSITOS</t>
  </si>
  <si>
    <t>ABRIL/30/15</t>
  </si>
  <si>
    <t>MAYO/15</t>
  </si>
  <si>
    <t>OPERACIONES  FINANCIERAS  DR. OSCAR ROLDAN</t>
  </si>
  <si>
    <t>RETIRO</t>
  </si>
  <si>
    <t>BANCO</t>
  </si>
  <si>
    <t>MOVIMIENTOS FIANCIERO B.SALA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</si>
</sst>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3" fillId="0" borderId="0" applyFont="0" applyFill="0" applyBorder="0" applyAlignment="0" applyProtection="0"/>
  </cellStyleXfs>
  <cellXfs count="90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4" xfId="0" applyFont="1" applyBorder="1" applyAlignment="1">
      <alignment horizontal="center"/>
    </xf>
    <xf numFmtId="4" fontId="0" fillId="0" borderId="3" xfId="0" applyNumberForma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3" xfId="0" applyFill="1" applyBorder="1"/>
    <xf numFmtId="0" fontId="0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4" fontId="0" fillId="0" borderId="8" xfId="0" applyNumberFormat="1" applyBorder="1" applyAlignment="1">
      <alignment horizontal="right"/>
    </xf>
    <xf numFmtId="4" fontId="0" fillId="0" borderId="8" xfId="0" applyNumberFormat="1" applyBorder="1"/>
    <xf numFmtId="0" fontId="0" fillId="0" borderId="8" xfId="0" applyBorder="1"/>
    <xf numFmtId="0" fontId="0" fillId="0" borderId="8" xfId="0" applyFill="1" applyBorder="1"/>
    <xf numFmtId="4" fontId="0" fillId="0" borderId="10" xfId="0" applyNumberFormat="1" applyBorder="1" applyAlignment="1">
      <alignment horizontal="right"/>
    </xf>
    <xf numFmtId="4" fontId="0" fillId="0" borderId="8" xfId="0" applyNumberFormat="1" applyFont="1" applyBorder="1" applyAlignment="1">
      <alignment horizontal="right"/>
    </xf>
    <xf numFmtId="14" fontId="0" fillId="0" borderId="8" xfId="0" applyNumberFormat="1" applyFont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14" fontId="0" fillId="0" borderId="7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4" fontId="1" fillId="0" borderId="8" xfId="0" applyNumberFormat="1" applyFont="1" applyBorder="1"/>
    <xf numFmtId="0" fontId="0" fillId="0" borderId="12" xfId="0" applyBorder="1"/>
    <xf numFmtId="14" fontId="0" fillId="0" borderId="1" xfId="0" applyNumberFormat="1" applyFont="1" applyBorder="1" applyAlignment="1">
      <alignment horizontal="center"/>
    </xf>
    <xf numFmtId="14" fontId="1" fillId="0" borderId="0" xfId="0" applyNumberFormat="1" applyFont="1" applyBorder="1"/>
    <xf numFmtId="14" fontId="0" fillId="0" borderId="1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4" fontId="1" fillId="0" borderId="0" xfId="0" applyNumberFormat="1" applyFont="1" applyBorder="1" applyAlignment="1"/>
    <xf numFmtId="4" fontId="0" fillId="0" borderId="0" xfId="0" applyNumberFormat="1" applyFont="1" applyBorder="1" applyAlignment="1">
      <alignment horizontal="right"/>
    </xf>
    <xf numFmtId="14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4" fontId="1" fillId="0" borderId="8" xfId="0" applyNumberFormat="1" applyFont="1" applyBorder="1" applyAlignment="1">
      <alignment horizontal="right"/>
    </xf>
    <xf numFmtId="0" fontId="2" fillId="0" borderId="0" xfId="1" applyFill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43" fontId="1" fillId="0" borderId="8" xfId="2" applyFont="1" applyBorder="1" applyAlignment="1">
      <alignment horizontal="center"/>
    </xf>
    <xf numFmtId="43" fontId="0" fillId="0" borderId="9" xfId="2" applyFont="1" applyBorder="1" applyAlignment="1">
      <alignment horizontal="right"/>
    </xf>
    <xf numFmtId="43" fontId="0" fillId="0" borderId="8" xfId="2" applyFont="1" applyBorder="1" applyAlignment="1">
      <alignment horizontal="right"/>
    </xf>
    <xf numFmtId="43" fontId="1" fillId="0" borderId="6" xfId="2" applyFont="1" applyBorder="1" applyAlignment="1">
      <alignment horizontal="right"/>
    </xf>
    <xf numFmtId="43" fontId="0" fillId="0" borderId="9" xfId="2" applyFont="1" applyBorder="1" applyAlignment="1">
      <alignment horizontal="center"/>
    </xf>
    <xf numFmtId="43" fontId="0" fillId="0" borderId="14" xfId="2" applyFont="1" applyBorder="1" applyAlignment="1">
      <alignment horizontal="right"/>
    </xf>
    <xf numFmtId="43" fontId="0" fillId="0" borderId="13" xfId="2" applyFont="1" applyBorder="1" applyAlignment="1">
      <alignment horizontal="right"/>
    </xf>
    <xf numFmtId="164" fontId="0" fillId="0" borderId="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43" fontId="0" fillId="0" borderId="24" xfId="2" applyFont="1" applyBorder="1" applyAlignment="1">
      <alignment horizontal="right"/>
    </xf>
    <xf numFmtId="43" fontId="3" fillId="0" borderId="25" xfId="2" applyFont="1" applyBorder="1" applyAlignment="1">
      <alignment horizontal="center"/>
    </xf>
    <xf numFmtId="43" fontId="0" fillId="0" borderId="25" xfId="2" applyFont="1" applyBorder="1" applyAlignment="1">
      <alignment horizontal="right"/>
    </xf>
    <xf numFmtId="43" fontId="0" fillId="0" borderId="26" xfId="2" applyFont="1" applyBorder="1" applyAlignment="1">
      <alignment horizontal="right"/>
    </xf>
    <xf numFmtId="43" fontId="1" fillId="0" borderId="21" xfId="2" applyFont="1" applyBorder="1" applyAlignment="1">
      <alignment horizontal="right"/>
    </xf>
    <xf numFmtId="43" fontId="3" fillId="0" borderId="13" xfId="2" applyFont="1" applyBorder="1" applyAlignment="1">
      <alignment horizontal="right"/>
    </xf>
    <xf numFmtId="43" fontId="0" fillId="0" borderId="14" xfId="2" applyFont="1" applyBorder="1" applyAlignment="1">
      <alignment horizontal="center"/>
    </xf>
    <xf numFmtId="0" fontId="1" fillId="0" borderId="22" xfId="0" applyFont="1" applyBorder="1" applyAlignment="1"/>
    <xf numFmtId="43" fontId="0" fillId="0" borderId="24" xfId="2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1" fillId="0" borderId="32" xfId="0" applyFont="1" applyBorder="1" applyAlignment="1"/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43" fontId="0" fillId="0" borderId="24" xfId="2" applyFont="1" applyBorder="1" applyAlignment="1">
      <alignment vertical="top"/>
    </xf>
    <xf numFmtId="43" fontId="0" fillId="0" borderId="25" xfId="2" applyFont="1" applyBorder="1" applyAlignment="1">
      <alignment vertical="top"/>
    </xf>
    <xf numFmtId="43" fontId="0" fillId="0" borderId="35" xfId="2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1" xfId="0" applyFont="1" applyBorder="1" applyAlignment="1">
      <alignment horizontal="center"/>
    </xf>
  </cellXfs>
  <cellStyles count="3">
    <cellStyle name="Millares" xfId="2" builtinId="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8"/>
  <sheetViews>
    <sheetView topLeftCell="A21" workbookViewId="0">
      <selection activeCell="E50" sqref="E50"/>
    </sheetView>
  </sheetViews>
  <sheetFormatPr baseColWidth="10" defaultRowHeight="15" x14ac:dyDescent="0.25"/>
  <cols>
    <col min="1" max="2" width="10.7109375" customWidth="1"/>
    <col min="3" max="3" width="63.7109375" customWidth="1"/>
    <col min="4" max="4" width="11.5703125" customWidth="1"/>
    <col min="5" max="6" width="11.7109375" customWidth="1"/>
  </cols>
  <sheetData>
    <row r="1" spans="2:6" x14ac:dyDescent="0.25">
      <c r="B1" s="32">
        <v>42034</v>
      </c>
    </row>
    <row r="3" spans="2:6" ht="15.75" thickBot="1" x14ac:dyDescent="0.3">
      <c r="B3" s="83" t="s">
        <v>6</v>
      </c>
      <c r="C3" s="83"/>
      <c r="D3" s="83"/>
      <c r="E3" s="83"/>
      <c r="F3" s="83"/>
    </row>
    <row r="4" spans="2:6" ht="15.75" thickBot="1" x14ac:dyDescent="0.3">
      <c r="B4" s="6" t="s">
        <v>1</v>
      </c>
      <c r="C4" s="11" t="s">
        <v>2</v>
      </c>
      <c r="D4" s="6" t="s">
        <v>5</v>
      </c>
      <c r="E4" s="7" t="s">
        <v>4</v>
      </c>
      <c r="F4" s="8" t="s">
        <v>3</v>
      </c>
    </row>
    <row r="5" spans="2:6" x14ac:dyDescent="0.25">
      <c r="B5" s="42">
        <v>42004</v>
      </c>
      <c r="C5" s="43" t="s">
        <v>8</v>
      </c>
      <c r="D5" s="44"/>
      <c r="E5" s="44"/>
      <c r="F5" s="29">
        <v>37036.199999999997</v>
      </c>
    </row>
    <row r="6" spans="2:6" x14ac:dyDescent="0.25">
      <c r="B6" s="25">
        <v>42006</v>
      </c>
      <c r="C6" s="17" t="s">
        <v>7</v>
      </c>
      <c r="D6" s="18"/>
      <c r="E6" s="19">
        <v>12.5</v>
      </c>
      <c r="F6" s="20">
        <f>+F5+D6-E6</f>
        <v>37023.699999999997</v>
      </c>
    </row>
    <row r="7" spans="2:6" x14ac:dyDescent="0.25">
      <c r="B7" s="25">
        <v>42006</v>
      </c>
      <c r="C7" s="22" t="s">
        <v>9</v>
      </c>
      <c r="D7" s="12"/>
      <c r="E7" s="12">
        <v>500</v>
      </c>
      <c r="F7" s="20">
        <f t="shared" ref="F7:F48" si="0">+F6+D7-E7</f>
        <v>36523.699999999997</v>
      </c>
    </row>
    <row r="8" spans="2:6" x14ac:dyDescent="0.25">
      <c r="B8" s="25">
        <v>42009</v>
      </c>
      <c r="C8" s="21" t="s">
        <v>11</v>
      </c>
      <c r="D8" s="19">
        <v>30000</v>
      </c>
      <c r="E8" s="19"/>
      <c r="F8" s="20">
        <f t="shared" si="0"/>
        <v>66523.7</v>
      </c>
    </row>
    <row r="9" spans="2:6" x14ac:dyDescent="0.25">
      <c r="B9" s="28">
        <v>42010</v>
      </c>
      <c r="C9" s="16" t="s">
        <v>10</v>
      </c>
      <c r="D9" s="12"/>
      <c r="E9" s="9">
        <v>1618</v>
      </c>
      <c r="F9" s="20">
        <f t="shared" si="0"/>
        <v>64905.7</v>
      </c>
    </row>
    <row r="10" spans="2:6" x14ac:dyDescent="0.25">
      <c r="B10" s="25">
        <v>42010</v>
      </c>
      <c r="C10" s="22" t="s">
        <v>41</v>
      </c>
      <c r="D10" s="19"/>
      <c r="E10" s="19">
        <v>1600</v>
      </c>
      <c r="F10" s="20">
        <f t="shared" si="0"/>
        <v>63305.7</v>
      </c>
    </row>
    <row r="11" spans="2:6" x14ac:dyDescent="0.25">
      <c r="B11" s="25">
        <v>42011</v>
      </c>
      <c r="C11" s="21" t="s">
        <v>12</v>
      </c>
      <c r="D11" s="19"/>
      <c r="E11" s="19">
        <v>1000</v>
      </c>
      <c r="F11" s="20">
        <f t="shared" si="0"/>
        <v>62305.7</v>
      </c>
    </row>
    <row r="12" spans="2:6" x14ac:dyDescent="0.25">
      <c r="B12" s="28">
        <v>42011</v>
      </c>
      <c r="C12" s="21" t="s">
        <v>13</v>
      </c>
      <c r="D12" s="19"/>
      <c r="E12" s="19">
        <v>90</v>
      </c>
      <c r="F12" s="20">
        <f t="shared" si="0"/>
        <v>62215.7</v>
      </c>
    </row>
    <row r="13" spans="2:6" x14ac:dyDescent="0.25">
      <c r="B13" s="28">
        <v>42013</v>
      </c>
      <c r="C13" s="21" t="s">
        <v>28</v>
      </c>
      <c r="D13" s="19"/>
      <c r="E13" s="19">
        <v>350</v>
      </c>
      <c r="F13" s="20">
        <f t="shared" si="0"/>
        <v>61865.7</v>
      </c>
    </row>
    <row r="14" spans="2:6" x14ac:dyDescent="0.25">
      <c r="B14" s="28">
        <v>42013</v>
      </c>
      <c r="C14" s="22" t="s">
        <v>9</v>
      </c>
      <c r="D14" s="19"/>
      <c r="E14" s="23">
        <v>500</v>
      </c>
      <c r="F14" s="20">
        <f t="shared" si="0"/>
        <v>61365.7</v>
      </c>
    </row>
    <row r="15" spans="2:6" x14ac:dyDescent="0.25">
      <c r="B15" s="28">
        <v>42016</v>
      </c>
      <c r="C15" s="21" t="s">
        <v>11</v>
      </c>
      <c r="D15" s="19">
        <v>20000</v>
      </c>
      <c r="E15" s="19"/>
      <c r="F15" s="20">
        <f t="shared" si="0"/>
        <v>81365.7</v>
      </c>
    </row>
    <row r="16" spans="2:6" x14ac:dyDescent="0.25">
      <c r="B16" s="28">
        <v>42018</v>
      </c>
      <c r="C16" s="21" t="s">
        <v>13</v>
      </c>
      <c r="D16" s="19"/>
      <c r="E16" s="19">
        <v>90</v>
      </c>
      <c r="F16" s="20">
        <f t="shared" si="0"/>
        <v>81275.7</v>
      </c>
    </row>
    <row r="17" spans="2:6" x14ac:dyDescent="0.25">
      <c r="B17" s="28">
        <v>42019</v>
      </c>
      <c r="C17" s="21" t="s">
        <v>14</v>
      </c>
      <c r="D17" s="19"/>
      <c r="E17" s="19">
        <v>378.6</v>
      </c>
      <c r="F17" s="20">
        <f t="shared" si="0"/>
        <v>80897.099999999991</v>
      </c>
    </row>
    <row r="18" spans="2:6" x14ac:dyDescent="0.25">
      <c r="B18" s="28">
        <v>42019</v>
      </c>
      <c r="C18" s="21" t="s">
        <v>15</v>
      </c>
      <c r="D18" s="19"/>
      <c r="E18" s="19">
        <v>27900</v>
      </c>
      <c r="F18" s="20">
        <f t="shared" si="0"/>
        <v>52997.099999999991</v>
      </c>
    </row>
    <row r="19" spans="2:6" x14ac:dyDescent="0.25">
      <c r="B19" s="28">
        <v>42019</v>
      </c>
      <c r="C19" s="26" t="s">
        <v>16</v>
      </c>
      <c r="D19" s="19"/>
      <c r="E19" s="19">
        <v>3200</v>
      </c>
      <c r="F19" s="20">
        <f t="shared" si="0"/>
        <v>49797.099999999991</v>
      </c>
    </row>
    <row r="20" spans="2:6" x14ac:dyDescent="0.25">
      <c r="B20" s="28">
        <v>42020</v>
      </c>
      <c r="C20" s="21" t="s">
        <v>9</v>
      </c>
      <c r="D20" s="19"/>
      <c r="E20" s="19">
        <v>500</v>
      </c>
      <c r="F20" s="20">
        <f t="shared" si="0"/>
        <v>49297.099999999991</v>
      </c>
    </row>
    <row r="21" spans="2:6" x14ac:dyDescent="0.25">
      <c r="B21" s="28">
        <v>42020</v>
      </c>
      <c r="C21" s="21" t="s">
        <v>17</v>
      </c>
      <c r="D21" s="19"/>
      <c r="E21" s="19">
        <v>600</v>
      </c>
      <c r="F21" s="20">
        <f t="shared" si="0"/>
        <v>48697.099999999991</v>
      </c>
    </row>
    <row r="22" spans="2:6" x14ac:dyDescent="0.25">
      <c r="B22" s="28">
        <v>42020</v>
      </c>
      <c r="C22" s="21" t="s">
        <v>18</v>
      </c>
      <c r="D22" s="19"/>
      <c r="E22" s="19">
        <v>211.31</v>
      </c>
      <c r="F22" s="20">
        <f t="shared" si="0"/>
        <v>48485.789999999994</v>
      </c>
    </row>
    <row r="23" spans="2:6" x14ac:dyDescent="0.25">
      <c r="B23" s="28">
        <v>42023</v>
      </c>
      <c r="C23" s="21" t="s">
        <v>11</v>
      </c>
      <c r="D23" s="19">
        <v>20000</v>
      </c>
      <c r="E23" s="19"/>
      <c r="F23" s="20">
        <f t="shared" si="0"/>
        <v>68485.789999999994</v>
      </c>
    </row>
    <row r="24" spans="2:6" x14ac:dyDescent="0.25">
      <c r="B24" s="28">
        <v>42023</v>
      </c>
      <c r="C24" s="21" t="s">
        <v>19</v>
      </c>
      <c r="D24" s="24"/>
      <c r="E24" s="19">
        <v>300</v>
      </c>
      <c r="F24" s="20">
        <f t="shared" si="0"/>
        <v>68185.789999999994</v>
      </c>
    </row>
    <row r="25" spans="2:6" x14ac:dyDescent="0.25">
      <c r="B25" s="28">
        <v>42024</v>
      </c>
      <c r="C25" s="21" t="s">
        <v>35</v>
      </c>
      <c r="D25" s="19"/>
      <c r="E25" s="23">
        <v>1000</v>
      </c>
      <c r="F25" s="20">
        <f t="shared" si="0"/>
        <v>67185.789999999994</v>
      </c>
    </row>
    <row r="26" spans="2:6" x14ac:dyDescent="0.25">
      <c r="B26" s="25">
        <v>42025</v>
      </c>
      <c r="C26" s="21" t="s">
        <v>20</v>
      </c>
      <c r="D26" s="19"/>
      <c r="E26" s="19">
        <v>816</v>
      </c>
      <c r="F26" s="20">
        <f t="shared" si="0"/>
        <v>66369.789999999994</v>
      </c>
    </row>
    <row r="27" spans="2:6" x14ac:dyDescent="0.25">
      <c r="B27" s="28">
        <v>42025</v>
      </c>
      <c r="C27" s="21" t="s">
        <v>24</v>
      </c>
      <c r="D27" s="19"/>
      <c r="E27" s="19">
        <v>60</v>
      </c>
      <c r="F27" s="20">
        <f t="shared" si="0"/>
        <v>66309.789999999994</v>
      </c>
    </row>
    <row r="28" spans="2:6" x14ac:dyDescent="0.25">
      <c r="B28" s="28">
        <v>42026</v>
      </c>
      <c r="C28" s="21" t="s">
        <v>25</v>
      </c>
      <c r="D28" s="19"/>
      <c r="E28" s="19">
        <v>1000</v>
      </c>
      <c r="F28" s="20">
        <f t="shared" si="0"/>
        <v>65309.789999999994</v>
      </c>
    </row>
    <row r="29" spans="2:6" x14ac:dyDescent="0.25">
      <c r="B29" s="28">
        <v>42026</v>
      </c>
      <c r="C29" s="21" t="s">
        <v>26</v>
      </c>
      <c r="D29" s="19"/>
      <c r="E29" s="19">
        <v>644</v>
      </c>
      <c r="F29" s="20">
        <f t="shared" si="0"/>
        <v>64665.789999999994</v>
      </c>
    </row>
    <row r="30" spans="2:6" x14ac:dyDescent="0.25">
      <c r="B30" s="28">
        <v>42027</v>
      </c>
      <c r="C30" s="21" t="s">
        <v>21</v>
      </c>
      <c r="D30" s="19"/>
      <c r="E30" s="19">
        <v>500</v>
      </c>
      <c r="F30" s="20">
        <f t="shared" si="0"/>
        <v>64165.789999999994</v>
      </c>
    </row>
    <row r="31" spans="2:6" x14ac:dyDescent="0.25">
      <c r="B31" s="28">
        <v>42027</v>
      </c>
      <c r="C31" s="21" t="s">
        <v>22</v>
      </c>
      <c r="D31" s="19"/>
      <c r="E31" s="19">
        <v>1760</v>
      </c>
      <c r="F31" s="20">
        <f t="shared" si="0"/>
        <v>62405.789999999994</v>
      </c>
    </row>
    <row r="32" spans="2:6" x14ac:dyDescent="0.25">
      <c r="B32" s="28">
        <v>42027</v>
      </c>
      <c r="C32" s="21" t="s">
        <v>23</v>
      </c>
      <c r="D32" s="19"/>
      <c r="E32" s="19">
        <v>1051</v>
      </c>
      <c r="F32" s="20">
        <f t="shared" si="0"/>
        <v>61354.789999999994</v>
      </c>
    </row>
    <row r="33" spans="2:8" x14ac:dyDescent="0.25">
      <c r="B33" s="28">
        <v>42027</v>
      </c>
      <c r="C33" s="21" t="s">
        <v>29</v>
      </c>
      <c r="D33" s="19"/>
      <c r="E33" s="19">
        <v>200</v>
      </c>
      <c r="F33" s="20">
        <f t="shared" si="0"/>
        <v>61154.789999999994</v>
      </c>
    </row>
    <row r="34" spans="2:8" x14ac:dyDescent="0.25">
      <c r="B34" s="28">
        <v>42028</v>
      </c>
      <c r="C34" s="21" t="s">
        <v>27</v>
      </c>
      <c r="D34" s="19"/>
      <c r="E34" s="19">
        <v>5000</v>
      </c>
      <c r="F34" s="20">
        <f t="shared" si="0"/>
        <v>56154.789999999994</v>
      </c>
    </row>
    <row r="35" spans="2:8" x14ac:dyDescent="0.25">
      <c r="B35" s="28">
        <v>42028</v>
      </c>
      <c r="C35" s="21" t="s">
        <v>36</v>
      </c>
      <c r="D35" s="19"/>
      <c r="E35" s="23">
        <v>180</v>
      </c>
      <c r="F35" s="20">
        <f t="shared" si="0"/>
        <v>55974.789999999994</v>
      </c>
    </row>
    <row r="36" spans="2:8" x14ac:dyDescent="0.25">
      <c r="B36" s="28">
        <v>42030</v>
      </c>
      <c r="C36" s="21" t="s">
        <v>11</v>
      </c>
      <c r="D36" s="19">
        <v>25000</v>
      </c>
      <c r="E36" s="23"/>
      <c r="F36" s="20">
        <f t="shared" si="0"/>
        <v>80974.789999999994</v>
      </c>
    </row>
    <row r="37" spans="2:8" x14ac:dyDescent="0.25">
      <c r="B37" s="28">
        <v>42030</v>
      </c>
      <c r="C37" s="21" t="s">
        <v>24</v>
      </c>
      <c r="D37" s="19"/>
      <c r="E37" s="19">
        <v>60</v>
      </c>
      <c r="F37" s="20">
        <f t="shared" si="0"/>
        <v>80914.789999999994</v>
      </c>
    </row>
    <row r="38" spans="2:8" x14ac:dyDescent="0.25">
      <c r="B38" s="25">
        <v>42030</v>
      </c>
      <c r="C38" s="22" t="s">
        <v>34</v>
      </c>
      <c r="D38" s="19"/>
      <c r="E38" s="19">
        <v>6000</v>
      </c>
      <c r="F38" s="20">
        <f t="shared" si="0"/>
        <v>74914.789999999994</v>
      </c>
    </row>
    <row r="39" spans="2:8" x14ac:dyDescent="0.25">
      <c r="B39" s="28">
        <v>42031</v>
      </c>
      <c r="C39" s="21" t="s">
        <v>30</v>
      </c>
      <c r="D39" s="19"/>
      <c r="E39" s="19">
        <v>500</v>
      </c>
      <c r="F39" s="20">
        <f t="shared" si="0"/>
        <v>74414.789999999994</v>
      </c>
    </row>
    <row r="40" spans="2:8" x14ac:dyDescent="0.25">
      <c r="B40" s="28">
        <v>42033</v>
      </c>
      <c r="C40" s="21" t="s">
        <v>37</v>
      </c>
      <c r="D40" s="19"/>
      <c r="E40" s="23">
        <v>400</v>
      </c>
      <c r="F40" s="20">
        <f t="shared" si="0"/>
        <v>74014.789999999994</v>
      </c>
      <c r="G40" s="30"/>
    </row>
    <row r="41" spans="2:8" x14ac:dyDescent="0.25">
      <c r="B41" s="28">
        <v>42033</v>
      </c>
      <c r="C41" s="21" t="s">
        <v>38</v>
      </c>
      <c r="D41" s="19"/>
      <c r="E41" s="23">
        <v>3000</v>
      </c>
      <c r="F41" s="20">
        <f t="shared" si="0"/>
        <v>71014.789999999994</v>
      </c>
    </row>
    <row r="42" spans="2:8" x14ac:dyDescent="0.25">
      <c r="B42" s="28">
        <v>42033</v>
      </c>
      <c r="C42" s="21" t="s">
        <v>39</v>
      </c>
      <c r="D42" s="19"/>
      <c r="E42" s="23">
        <v>400</v>
      </c>
      <c r="F42" s="20">
        <f t="shared" si="0"/>
        <v>70614.789999999994</v>
      </c>
      <c r="H42" s="10"/>
    </row>
    <row r="43" spans="2:8" x14ac:dyDescent="0.25">
      <c r="B43" s="28">
        <v>42034</v>
      </c>
      <c r="C43" s="21" t="s">
        <v>40</v>
      </c>
      <c r="D43" s="19"/>
      <c r="E43" s="23">
        <v>60</v>
      </c>
      <c r="F43" s="20">
        <f t="shared" si="0"/>
        <v>70554.789999999994</v>
      </c>
    </row>
    <row r="44" spans="2:8" x14ac:dyDescent="0.25">
      <c r="B44" s="28">
        <v>42034</v>
      </c>
      <c r="C44" s="21" t="s">
        <v>9</v>
      </c>
      <c r="D44" s="19"/>
      <c r="E44" s="23">
        <v>500</v>
      </c>
      <c r="F44" s="20">
        <f t="shared" si="0"/>
        <v>70054.789999999994</v>
      </c>
    </row>
    <row r="45" spans="2:8" x14ac:dyDescent="0.25">
      <c r="B45" s="28">
        <v>42035</v>
      </c>
      <c r="C45" s="21" t="s">
        <v>31</v>
      </c>
      <c r="D45" s="19"/>
      <c r="E45" s="23">
        <v>500</v>
      </c>
      <c r="F45" s="20">
        <f t="shared" si="0"/>
        <v>69554.789999999994</v>
      </c>
    </row>
    <row r="46" spans="2:8" x14ac:dyDescent="0.25">
      <c r="B46" s="28">
        <v>42035</v>
      </c>
      <c r="C46" s="21" t="s">
        <v>32</v>
      </c>
      <c r="D46" s="19"/>
      <c r="E46" s="19">
        <v>27900</v>
      </c>
      <c r="F46" s="20">
        <f t="shared" si="0"/>
        <v>41654.789999999994</v>
      </c>
    </row>
    <row r="47" spans="2:8" x14ac:dyDescent="0.25">
      <c r="B47" s="28">
        <v>42035</v>
      </c>
      <c r="C47" s="21" t="s">
        <v>33</v>
      </c>
      <c r="D47" s="24"/>
      <c r="E47" s="19">
        <v>3200</v>
      </c>
      <c r="F47" s="20">
        <f t="shared" si="0"/>
        <v>38454.789999999994</v>
      </c>
    </row>
    <row r="48" spans="2:8" ht="15.75" thickBot="1" x14ac:dyDescent="0.3">
      <c r="B48" s="28"/>
      <c r="C48" s="21"/>
      <c r="D48" s="19"/>
      <c r="E48" s="23"/>
      <c r="F48" s="20">
        <f t="shared" si="0"/>
        <v>38454.789999999994</v>
      </c>
    </row>
    <row r="49" spans="1:6" ht="15.75" thickBot="1" x14ac:dyDescent="0.3">
      <c r="B49" s="31"/>
      <c r="C49" s="15" t="s">
        <v>0</v>
      </c>
      <c r="D49" s="13">
        <f>SUM(D5:D48)</f>
        <v>95000</v>
      </c>
      <c r="E49" s="13">
        <f>SUM(E5:E48)</f>
        <v>93581.41</v>
      </c>
      <c r="F49" s="14"/>
    </row>
    <row r="50" spans="1:6" x14ac:dyDescent="0.25">
      <c r="B50" s="5"/>
      <c r="C50" s="34"/>
      <c r="D50" s="4"/>
      <c r="E50" s="35"/>
      <c r="F50" s="10"/>
    </row>
    <row r="51" spans="1:6" x14ac:dyDescent="0.25">
      <c r="A51" s="45"/>
      <c r="B51" s="5"/>
      <c r="C51" s="10"/>
      <c r="D51" s="9"/>
      <c r="E51" s="9"/>
      <c r="F51" s="36"/>
    </row>
    <row r="52" spans="1:6" x14ac:dyDescent="0.25">
      <c r="B52" s="5"/>
      <c r="C52" s="10"/>
      <c r="D52" s="9"/>
      <c r="E52" s="9"/>
      <c r="F52" s="36"/>
    </row>
    <row r="53" spans="1:6" x14ac:dyDescent="0.25">
      <c r="B53" s="5"/>
      <c r="C53" s="10"/>
      <c r="D53" s="9"/>
      <c r="E53" s="9"/>
      <c r="F53" s="36"/>
    </row>
    <row r="54" spans="1:6" x14ac:dyDescent="0.25">
      <c r="B54" s="10"/>
      <c r="C54" s="10"/>
      <c r="D54" s="37"/>
      <c r="E54" s="38"/>
      <c r="F54" s="39"/>
    </row>
    <row r="55" spans="1:6" x14ac:dyDescent="0.25">
      <c r="D55" s="2"/>
      <c r="E55" s="3"/>
    </row>
    <row r="56" spans="1:6" x14ac:dyDescent="0.25">
      <c r="D56" s="2"/>
      <c r="E56" s="3"/>
    </row>
    <row r="57" spans="1:6" x14ac:dyDescent="0.25">
      <c r="D57" s="2"/>
      <c r="E57" s="3"/>
    </row>
    <row r="58" spans="1:6" x14ac:dyDescent="0.25">
      <c r="D58" s="2"/>
      <c r="E58" s="3"/>
    </row>
    <row r="59" spans="1:6" x14ac:dyDescent="0.25">
      <c r="D59" s="2"/>
      <c r="E59" s="3"/>
    </row>
    <row r="60" spans="1:6" x14ac:dyDescent="0.25">
      <c r="D60" s="2"/>
      <c r="E60" s="3"/>
    </row>
    <row r="61" spans="1:6" x14ac:dyDescent="0.25">
      <c r="D61" s="2"/>
      <c r="E61" s="3"/>
    </row>
    <row r="62" spans="1:6" x14ac:dyDescent="0.25">
      <c r="D62" s="2"/>
      <c r="E62" s="3"/>
    </row>
    <row r="63" spans="1:6" x14ac:dyDescent="0.25">
      <c r="D63" s="2"/>
      <c r="E63" s="3"/>
    </row>
    <row r="64" spans="1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2"/>
      <c r="E75" s="3"/>
    </row>
    <row r="76" spans="4:5" x14ac:dyDescent="0.25">
      <c r="D76" s="2"/>
      <c r="E76" s="3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</sheetData>
  <mergeCells count="1">
    <mergeCell ref="B3:F3"/>
  </mergeCells>
  <printOptions verticalCentered="1"/>
  <pageMargins left="0.25" right="0.25" top="0.75" bottom="0.75" header="0.3" footer="0.3"/>
  <pageSetup paperSize="9" scale="9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1"/>
  <sheetViews>
    <sheetView tabSelected="1" workbookViewId="0">
      <selection activeCell="H7" sqref="H7"/>
    </sheetView>
  </sheetViews>
  <sheetFormatPr baseColWidth="10" defaultRowHeight="15" x14ac:dyDescent="0.25"/>
  <cols>
    <col min="1" max="1" width="10.7109375" customWidth="1"/>
    <col min="2" max="2" width="9.42578125" customWidth="1"/>
    <col min="3" max="3" width="10.5703125" customWidth="1"/>
    <col min="4" max="4" width="13.5703125" customWidth="1"/>
    <col min="5" max="5" width="11.5703125" customWidth="1"/>
    <col min="6" max="6" width="10.28515625" customWidth="1"/>
    <col min="7" max="7" width="13" customWidth="1"/>
    <col min="8" max="8" width="17.85546875" customWidth="1"/>
    <col min="9" max="9" width="11" customWidth="1"/>
    <col min="10" max="10" width="11.42578125" customWidth="1"/>
    <col min="11" max="11" width="12.42578125" hidden="1" customWidth="1"/>
    <col min="12" max="12" width="10.42578125" customWidth="1"/>
    <col min="13" max="13" width="10.7109375" customWidth="1"/>
    <col min="14" max="14" width="12.140625" customWidth="1"/>
  </cols>
  <sheetData>
    <row r="1" spans="2:15" x14ac:dyDescent="0.25">
      <c r="B1" s="83" t="s">
        <v>42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2:15" x14ac:dyDescent="0.25">
      <c r="B2" s="73"/>
      <c r="C2" s="73"/>
      <c r="D2" s="73"/>
      <c r="E2" s="73"/>
      <c r="F2" s="75"/>
      <c r="G2" s="73"/>
      <c r="H2" s="73"/>
      <c r="I2" s="73"/>
      <c r="J2" s="73"/>
      <c r="K2" s="73"/>
      <c r="L2" s="73"/>
      <c r="M2" s="73"/>
      <c r="N2" s="73"/>
    </row>
    <row r="3" spans="2:15" ht="15.75" thickBot="1" x14ac:dyDescent="0.3">
      <c r="B3" s="73"/>
      <c r="C3" s="73"/>
      <c r="D3" s="73"/>
      <c r="E3" s="73"/>
      <c r="F3" s="75"/>
      <c r="G3" s="73"/>
      <c r="H3" s="73"/>
      <c r="I3" s="73"/>
      <c r="J3" s="73"/>
      <c r="K3" s="73"/>
      <c r="L3" s="73"/>
      <c r="M3" s="73"/>
      <c r="N3" s="73"/>
    </row>
    <row r="4" spans="2:15" ht="15.75" thickBot="1" x14ac:dyDescent="0.3">
      <c r="B4" s="87" t="s">
        <v>57</v>
      </c>
      <c r="C4" s="88"/>
      <c r="D4" s="88"/>
      <c r="E4" s="88"/>
      <c r="F4" s="88"/>
      <c r="G4" s="88"/>
      <c r="H4" s="88"/>
      <c r="I4" s="89"/>
      <c r="J4" s="87" t="s">
        <v>60</v>
      </c>
      <c r="K4" s="88"/>
      <c r="L4" s="88"/>
      <c r="M4" s="88"/>
      <c r="N4" s="77"/>
    </row>
    <row r="5" spans="2:15" x14ac:dyDescent="0.25">
      <c r="B5" s="84" t="s">
        <v>46</v>
      </c>
      <c r="C5" s="85"/>
      <c r="D5" s="71" t="s">
        <v>55</v>
      </c>
      <c r="E5" s="72" t="s">
        <v>56</v>
      </c>
      <c r="F5" s="76" t="s">
        <v>58</v>
      </c>
      <c r="G5" s="59" t="s">
        <v>51</v>
      </c>
      <c r="H5" s="68" t="s">
        <v>53</v>
      </c>
      <c r="I5" s="74" t="s">
        <v>45</v>
      </c>
      <c r="J5" s="86" t="s">
        <v>50</v>
      </c>
      <c r="K5" s="85"/>
      <c r="L5" s="85"/>
      <c r="M5" s="85"/>
      <c r="N5" s="78" t="s">
        <v>48</v>
      </c>
      <c r="O5" s="3"/>
    </row>
    <row r="6" spans="2:15" ht="15.75" thickBot="1" x14ac:dyDescent="0.3">
      <c r="B6" s="49" t="s">
        <v>1</v>
      </c>
      <c r="C6" s="47" t="s">
        <v>44</v>
      </c>
      <c r="D6" s="60" t="s">
        <v>52</v>
      </c>
      <c r="E6" s="70" t="s">
        <v>54</v>
      </c>
      <c r="F6" s="48" t="s">
        <v>59</v>
      </c>
      <c r="G6" s="48" t="s">
        <v>52</v>
      </c>
      <c r="H6" s="60" t="s">
        <v>43</v>
      </c>
      <c r="I6" s="47" t="s">
        <v>44</v>
      </c>
      <c r="J6" s="60" t="s">
        <v>43</v>
      </c>
      <c r="K6" s="46" t="s">
        <v>47</v>
      </c>
      <c r="L6" s="48" t="s">
        <v>4</v>
      </c>
      <c r="M6" s="50" t="s">
        <v>45</v>
      </c>
      <c r="N6" s="79" t="s">
        <v>49</v>
      </c>
    </row>
    <row r="7" spans="2:15" x14ac:dyDescent="0.25">
      <c r="B7" s="27"/>
      <c r="C7" s="56"/>
      <c r="D7" s="61"/>
      <c r="E7" s="55"/>
      <c r="F7" s="67"/>
      <c r="G7" s="67"/>
      <c r="H7" s="69"/>
      <c r="I7" s="56"/>
      <c r="J7" s="61"/>
      <c r="K7" s="52"/>
      <c r="L7" s="52"/>
      <c r="M7" s="56"/>
      <c r="N7" s="80"/>
    </row>
    <row r="8" spans="2:15" x14ac:dyDescent="0.25">
      <c r="B8" s="58">
        <v>42008</v>
      </c>
      <c r="C8" s="66">
        <v>20000</v>
      </c>
      <c r="D8" s="62"/>
      <c r="E8" s="52">
        <v>800</v>
      </c>
      <c r="F8" s="56">
        <v>500</v>
      </c>
      <c r="G8" s="56">
        <f>+D8+E8-F8</f>
        <v>300</v>
      </c>
      <c r="H8" s="61">
        <v>5000</v>
      </c>
      <c r="I8" s="56">
        <f>+C8-H8</f>
        <v>15000</v>
      </c>
      <c r="J8" s="62">
        <v>5000</v>
      </c>
      <c r="K8" s="51">
        <f>J8</f>
        <v>5000</v>
      </c>
      <c r="L8" s="51">
        <v>2500</v>
      </c>
      <c r="M8" s="57">
        <f>+J8-L8</f>
        <v>2500</v>
      </c>
      <c r="N8" s="81">
        <f>+I8+M8</f>
        <v>17500</v>
      </c>
    </row>
    <row r="9" spans="2:15" x14ac:dyDescent="0.25">
      <c r="B9" s="58"/>
      <c r="C9" s="57">
        <v>15000</v>
      </c>
      <c r="D9" s="63"/>
      <c r="E9" s="52"/>
      <c r="F9" s="56"/>
      <c r="G9" s="56">
        <f t="shared" ref="G9:G36" si="0">+D9+E9-F9</f>
        <v>0</v>
      </c>
      <c r="H9" s="61">
        <v>10000</v>
      </c>
      <c r="I9" s="56">
        <f t="shared" ref="I9:I36" si="1">+C9-H9</f>
        <v>5000</v>
      </c>
      <c r="J9" s="63">
        <v>5000</v>
      </c>
      <c r="K9" s="53"/>
      <c r="L9" s="53">
        <v>8000</v>
      </c>
      <c r="M9" s="57">
        <f t="shared" ref="M9:M32" si="2">+J9-L9</f>
        <v>-3000</v>
      </c>
      <c r="N9" s="81">
        <f t="shared" ref="N9:N32" si="3">+I9+M9</f>
        <v>2000</v>
      </c>
    </row>
    <row r="10" spans="2:15" x14ac:dyDescent="0.25">
      <c r="B10" s="58"/>
      <c r="C10" s="57">
        <v>20000</v>
      </c>
      <c r="D10" s="63"/>
      <c r="E10" s="52"/>
      <c r="F10" s="56"/>
      <c r="G10" s="56">
        <f t="shared" si="0"/>
        <v>0</v>
      </c>
      <c r="H10" s="63">
        <v>20000</v>
      </c>
      <c r="I10" s="56">
        <f t="shared" si="1"/>
        <v>0</v>
      </c>
      <c r="J10" s="63">
        <f>+H10+J9</f>
        <v>25000</v>
      </c>
      <c r="K10" s="53"/>
      <c r="L10" s="53"/>
      <c r="M10" s="57">
        <f t="shared" si="2"/>
        <v>25000</v>
      </c>
      <c r="N10" s="81">
        <f t="shared" si="3"/>
        <v>25000</v>
      </c>
    </row>
    <row r="11" spans="2:15" x14ac:dyDescent="0.25">
      <c r="B11" s="58"/>
      <c r="C11" s="57">
        <v>10000</v>
      </c>
      <c r="D11" s="63"/>
      <c r="E11" s="52"/>
      <c r="F11" s="56"/>
      <c r="G11" s="56">
        <f t="shared" si="0"/>
        <v>0</v>
      </c>
      <c r="H11" s="63">
        <v>10000</v>
      </c>
      <c r="I11" s="56">
        <f t="shared" si="1"/>
        <v>0</v>
      </c>
      <c r="J11" s="63">
        <f>+H11+J10</f>
        <v>35000</v>
      </c>
      <c r="K11" s="53"/>
      <c r="L11" s="53"/>
      <c r="M11" s="57">
        <f t="shared" si="2"/>
        <v>35000</v>
      </c>
      <c r="N11" s="81">
        <f t="shared" si="3"/>
        <v>35000</v>
      </c>
    </row>
    <row r="12" spans="2:15" x14ac:dyDescent="0.25">
      <c r="B12" s="58"/>
      <c r="C12" s="57"/>
      <c r="D12" s="64"/>
      <c r="E12" s="52"/>
      <c r="F12" s="56"/>
      <c r="G12" s="56">
        <f t="shared" si="0"/>
        <v>0</v>
      </c>
      <c r="H12" s="64"/>
      <c r="I12" s="56">
        <f t="shared" si="1"/>
        <v>0</v>
      </c>
      <c r="J12" s="63"/>
      <c r="K12" s="57"/>
      <c r="L12" s="57"/>
      <c r="M12" s="57">
        <f t="shared" si="2"/>
        <v>0</v>
      </c>
      <c r="N12" s="81">
        <f t="shared" si="3"/>
        <v>0</v>
      </c>
    </row>
    <row r="13" spans="2:15" x14ac:dyDescent="0.25">
      <c r="B13" s="58"/>
      <c r="C13" s="57"/>
      <c r="D13" s="64"/>
      <c r="E13" s="52"/>
      <c r="F13" s="56"/>
      <c r="G13" s="56">
        <f t="shared" si="0"/>
        <v>0</v>
      </c>
      <c r="H13" s="64"/>
      <c r="I13" s="56">
        <f t="shared" si="1"/>
        <v>0</v>
      </c>
      <c r="J13" s="64"/>
      <c r="K13" s="57"/>
      <c r="L13" s="57"/>
      <c r="M13" s="57">
        <f t="shared" si="2"/>
        <v>0</v>
      </c>
      <c r="N13" s="81">
        <f t="shared" si="3"/>
        <v>0</v>
      </c>
    </row>
    <row r="14" spans="2:15" x14ac:dyDescent="0.25">
      <c r="B14" s="58"/>
      <c r="C14" s="57"/>
      <c r="D14" s="64"/>
      <c r="E14" s="52"/>
      <c r="F14" s="56"/>
      <c r="G14" s="56">
        <f t="shared" si="0"/>
        <v>0</v>
      </c>
      <c r="H14" s="64"/>
      <c r="I14" s="56">
        <f t="shared" si="1"/>
        <v>0</v>
      </c>
      <c r="J14" s="64"/>
      <c r="K14" s="57"/>
      <c r="L14" s="57"/>
      <c r="M14" s="57">
        <f t="shared" si="2"/>
        <v>0</v>
      </c>
      <c r="N14" s="81">
        <f t="shared" si="3"/>
        <v>0</v>
      </c>
    </row>
    <row r="15" spans="2:15" x14ac:dyDescent="0.25">
      <c r="B15" s="58"/>
      <c r="C15" s="57"/>
      <c r="D15" s="63"/>
      <c r="E15" s="52"/>
      <c r="F15" s="56"/>
      <c r="G15" s="56">
        <f t="shared" si="0"/>
        <v>0</v>
      </c>
      <c r="H15" s="63"/>
      <c r="I15" s="56">
        <f t="shared" si="1"/>
        <v>0</v>
      </c>
      <c r="J15" s="63"/>
      <c r="K15" s="53"/>
      <c r="L15" s="53"/>
      <c r="M15" s="57">
        <f t="shared" si="2"/>
        <v>0</v>
      </c>
      <c r="N15" s="81">
        <f t="shared" si="3"/>
        <v>0</v>
      </c>
    </row>
    <row r="16" spans="2:15" x14ac:dyDescent="0.25">
      <c r="B16" s="58"/>
      <c r="C16" s="57"/>
      <c r="D16" s="63"/>
      <c r="E16" s="52"/>
      <c r="F16" s="56"/>
      <c r="G16" s="56">
        <f t="shared" si="0"/>
        <v>0</v>
      </c>
      <c r="H16" s="63"/>
      <c r="I16" s="56">
        <f t="shared" si="1"/>
        <v>0</v>
      </c>
      <c r="J16" s="63"/>
      <c r="K16" s="53"/>
      <c r="L16" s="53"/>
      <c r="M16" s="57">
        <f t="shared" si="2"/>
        <v>0</v>
      </c>
      <c r="N16" s="81">
        <f t="shared" si="3"/>
        <v>0</v>
      </c>
    </row>
    <row r="17" spans="2:14" x14ac:dyDescent="0.25">
      <c r="B17" s="58"/>
      <c r="C17" s="57"/>
      <c r="D17" s="63"/>
      <c r="E17" s="52"/>
      <c r="F17" s="56"/>
      <c r="G17" s="56">
        <f t="shared" si="0"/>
        <v>0</v>
      </c>
      <c r="H17" s="63"/>
      <c r="I17" s="56">
        <f t="shared" si="1"/>
        <v>0</v>
      </c>
      <c r="J17" s="63"/>
      <c r="K17" s="53"/>
      <c r="L17" s="53"/>
      <c r="M17" s="57">
        <f t="shared" si="2"/>
        <v>0</v>
      </c>
      <c r="N17" s="81">
        <f t="shared" si="3"/>
        <v>0</v>
      </c>
    </row>
    <row r="18" spans="2:14" x14ac:dyDescent="0.25">
      <c r="B18" s="58"/>
      <c r="C18" s="57"/>
      <c r="D18" s="63"/>
      <c r="E18" s="52"/>
      <c r="F18" s="56"/>
      <c r="G18" s="56">
        <f t="shared" si="0"/>
        <v>0</v>
      </c>
      <c r="H18" s="63"/>
      <c r="I18" s="56">
        <f t="shared" si="1"/>
        <v>0</v>
      </c>
      <c r="J18" s="63"/>
      <c r="K18" s="53"/>
      <c r="L18" s="53"/>
      <c r="M18" s="57">
        <f t="shared" si="2"/>
        <v>0</v>
      </c>
      <c r="N18" s="81">
        <f t="shared" si="3"/>
        <v>0</v>
      </c>
    </row>
    <row r="19" spans="2:14" x14ac:dyDescent="0.25">
      <c r="B19" s="58"/>
      <c r="C19" s="57"/>
      <c r="D19" s="63"/>
      <c r="E19" s="52"/>
      <c r="F19" s="56"/>
      <c r="G19" s="56">
        <f t="shared" si="0"/>
        <v>0</v>
      </c>
      <c r="H19" s="63"/>
      <c r="I19" s="56">
        <f t="shared" si="1"/>
        <v>0</v>
      </c>
      <c r="J19" s="63"/>
      <c r="K19" s="53"/>
      <c r="L19" s="53"/>
      <c r="M19" s="57">
        <f t="shared" si="2"/>
        <v>0</v>
      </c>
      <c r="N19" s="81">
        <f t="shared" si="3"/>
        <v>0</v>
      </c>
    </row>
    <row r="20" spans="2:14" x14ac:dyDescent="0.25">
      <c r="B20" s="58"/>
      <c r="C20" s="57"/>
      <c r="D20" s="63"/>
      <c r="E20" s="52"/>
      <c r="F20" s="56"/>
      <c r="G20" s="56">
        <f t="shared" si="0"/>
        <v>0</v>
      </c>
      <c r="H20" s="63"/>
      <c r="I20" s="56">
        <f t="shared" si="1"/>
        <v>0</v>
      </c>
      <c r="J20" s="63"/>
      <c r="K20" s="53"/>
      <c r="L20" s="53"/>
      <c r="M20" s="57">
        <f t="shared" si="2"/>
        <v>0</v>
      </c>
      <c r="N20" s="81">
        <f t="shared" si="3"/>
        <v>0</v>
      </c>
    </row>
    <row r="21" spans="2:14" x14ac:dyDescent="0.25">
      <c r="B21" s="58"/>
      <c r="C21" s="57"/>
      <c r="D21" s="63"/>
      <c r="E21" s="52"/>
      <c r="F21" s="56"/>
      <c r="G21" s="56">
        <f t="shared" si="0"/>
        <v>0</v>
      </c>
      <c r="H21" s="63"/>
      <c r="I21" s="56">
        <f t="shared" si="1"/>
        <v>0</v>
      </c>
      <c r="J21" s="63"/>
      <c r="K21" s="53"/>
      <c r="L21" s="53"/>
      <c r="M21" s="57">
        <f t="shared" si="2"/>
        <v>0</v>
      </c>
      <c r="N21" s="81">
        <f t="shared" si="3"/>
        <v>0</v>
      </c>
    </row>
    <row r="22" spans="2:14" x14ac:dyDescent="0.25">
      <c r="B22" s="58"/>
      <c r="C22" s="57"/>
      <c r="D22" s="63"/>
      <c r="E22" s="52"/>
      <c r="F22" s="56"/>
      <c r="G22" s="56">
        <f t="shared" si="0"/>
        <v>0</v>
      </c>
      <c r="H22" s="63"/>
      <c r="I22" s="56">
        <f t="shared" si="1"/>
        <v>0</v>
      </c>
      <c r="J22" s="63"/>
      <c r="K22" s="53"/>
      <c r="L22" s="53"/>
      <c r="M22" s="57">
        <f t="shared" si="2"/>
        <v>0</v>
      </c>
      <c r="N22" s="81">
        <f t="shared" si="3"/>
        <v>0</v>
      </c>
    </row>
    <row r="23" spans="2:14" x14ac:dyDescent="0.25">
      <c r="B23" s="58"/>
      <c r="C23" s="57"/>
      <c r="D23" s="63"/>
      <c r="E23" s="52"/>
      <c r="F23" s="56"/>
      <c r="G23" s="56">
        <f t="shared" si="0"/>
        <v>0</v>
      </c>
      <c r="H23" s="63"/>
      <c r="I23" s="56">
        <f t="shared" si="1"/>
        <v>0</v>
      </c>
      <c r="J23" s="63"/>
      <c r="K23" s="53"/>
      <c r="L23" s="53"/>
      <c r="M23" s="57">
        <f t="shared" si="2"/>
        <v>0</v>
      </c>
      <c r="N23" s="81">
        <f t="shared" si="3"/>
        <v>0</v>
      </c>
    </row>
    <row r="24" spans="2:14" x14ac:dyDescent="0.25">
      <c r="B24" s="58"/>
      <c r="C24" s="57"/>
      <c r="D24" s="63"/>
      <c r="E24" s="52"/>
      <c r="F24" s="56"/>
      <c r="G24" s="56">
        <f t="shared" si="0"/>
        <v>0</v>
      </c>
      <c r="H24" s="63"/>
      <c r="I24" s="56">
        <f t="shared" si="1"/>
        <v>0</v>
      </c>
      <c r="J24" s="63"/>
      <c r="K24" s="53"/>
      <c r="L24" s="53"/>
      <c r="M24" s="57">
        <f t="shared" si="2"/>
        <v>0</v>
      </c>
      <c r="N24" s="81">
        <f t="shared" si="3"/>
        <v>0</v>
      </c>
    </row>
    <row r="25" spans="2:14" x14ac:dyDescent="0.25">
      <c r="B25" s="58"/>
      <c r="C25" s="57"/>
      <c r="D25" s="63"/>
      <c r="E25" s="52"/>
      <c r="F25" s="56"/>
      <c r="G25" s="56">
        <f t="shared" si="0"/>
        <v>0</v>
      </c>
      <c r="H25" s="63"/>
      <c r="I25" s="56">
        <f t="shared" si="1"/>
        <v>0</v>
      </c>
      <c r="J25" s="63"/>
      <c r="K25" s="53"/>
      <c r="L25" s="53"/>
      <c r="M25" s="57">
        <f t="shared" si="2"/>
        <v>0</v>
      </c>
      <c r="N25" s="81">
        <f t="shared" si="3"/>
        <v>0</v>
      </c>
    </row>
    <row r="26" spans="2:14" x14ac:dyDescent="0.25">
      <c r="B26" s="58"/>
      <c r="C26" s="57"/>
      <c r="D26" s="63"/>
      <c r="E26" s="52"/>
      <c r="F26" s="56"/>
      <c r="G26" s="56">
        <f t="shared" si="0"/>
        <v>0</v>
      </c>
      <c r="H26" s="63"/>
      <c r="I26" s="56">
        <f t="shared" si="1"/>
        <v>0</v>
      </c>
      <c r="J26" s="63"/>
      <c r="K26" s="53"/>
      <c r="L26" s="53"/>
      <c r="M26" s="57">
        <f t="shared" si="2"/>
        <v>0</v>
      </c>
      <c r="N26" s="81">
        <f t="shared" si="3"/>
        <v>0</v>
      </c>
    </row>
    <row r="27" spans="2:14" x14ac:dyDescent="0.25">
      <c r="B27" s="58"/>
      <c r="C27" s="57"/>
      <c r="D27" s="63"/>
      <c r="E27" s="52"/>
      <c r="F27" s="56"/>
      <c r="G27" s="56">
        <f t="shared" si="0"/>
        <v>0</v>
      </c>
      <c r="H27" s="63"/>
      <c r="I27" s="56">
        <f t="shared" si="1"/>
        <v>0</v>
      </c>
      <c r="J27" s="63"/>
      <c r="K27" s="53"/>
      <c r="L27" s="53"/>
      <c r="M27" s="57">
        <f t="shared" si="2"/>
        <v>0</v>
      </c>
      <c r="N27" s="81">
        <f t="shared" si="3"/>
        <v>0</v>
      </c>
    </row>
    <row r="28" spans="2:14" x14ac:dyDescent="0.25">
      <c r="B28" s="58"/>
      <c r="C28" s="57"/>
      <c r="D28" s="63"/>
      <c r="E28" s="52"/>
      <c r="F28" s="56"/>
      <c r="G28" s="56">
        <f t="shared" si="0"/>
        <v>0</v>
      </c>
      <c r="H28" s="63"/>
      <c r="I28" s="56">
        <f t="shared" si="1"/>
        <v>0</v>
      </c>
      <c r="J28" s="63"/>
      <c r="K28" s="53"/>
      <c r="L28" s="53"/>
      <c r="M28" s="57">
        <f t="shared" si="2"/>
        <v>0</v>
      </c>
      <c r="N28" s="81">
        <f t="shared" si="3"/>
        <v>0</v>
      </c>
    </row>
    <row r="29" spans="2:14" x14ac:dyDescent="0.25">
      <c r="B29" s="58"/>
      <c r="C29" s="57"/>
      <c r="D29" s="63"/>
      <c r="E29" s="52"/>
      <c r="F29" s="56"/>
      <c r="G29" s="56">
        <f t="shared" si="0"/>
        <v>0</v>
      </c>
      <c r="H29" s="63"/>
      <c r="I29" s="56">
        <f t="shared" si="1"/>
        <v>0</v>
      </c>
      <c r="J29" s="63"/>
      <c r="K29" s="53"/>
      <c r="L29" s="53"/>
      <c r="M29" s="57">
        <f t="shared" si="2"/>
        <v>0</v>
      </c>
      <c r="N29" s="81">
        <f t="shared" si="3"/>
        <v>0</v>
      </c>
    </row>
    <row r="30" spans="2:14" x14ac:dyDescent="0.25">
      <c r="B30" s="58"/>
      <c r="C30" s="57"/>
      <c r="D30" s="63"/>
      <c r="E30" s="52"/>
      <c r="F30" s="56"/>
      <c r="G30" s="56">
        <f t="shared" si="0"/>
        <v>0</v>
      </c>
      <c r="H30" s="63"/>
      <c r="I30" s="56">
        <f t="shared" si="1"/>
        <v>0</v>
      </c>
      <c r="J30" s="63"/>
      <c r="K30" s="53"/>
      <c r="L30" s="53"/>
      <c r="M30" s="57">
        <f t="shared" si="2"/>
        <v>0</v>
      </c>
      <c r="N30" s="81">
        <f t="shared" si="3"/>
        <v>0</v>
      </c>
    </row>
    <row r="31" spans="2:14" x14ac:dyDescent="0.25">
      <c r="B31" s="58"/>
      <c r="C31" s="57"/>
      <c r="D31" s="63"/>
      <c r="E31" s="52"/>
      <c r="F31" s="56"/>
      <c r="G31" s="56">
        <f t="shared" si="0"/>
        <v>0</v>
      </c>
      <c r="H31" s="63"/>
      <c r="I31" s="56">
        <f t="shared" si="1"/>
        <v>0</v>
      </c>
      <c r="J31" s="63"/>
      <c r="K31" s="53"/>
      <c r="L31" s="53"/>
      <c r="M31" s="57">
        <f t="shared" si="2"/>
        <v>0</v>
      </c>
      <c r="N31" s="81">
        <f t="shared" si="3"/>
        <v>0</v>
      </c>
    </row>
    <row r="32" spans="2:14" x14ac:dyDescent="0.25">
      <c r="B32" s="58"/>
      <c r="C32" s="57"/>
      <c r="D32" s="63"/>
      <c r="E32" s="52"/>
      <c r="F32" s="56"/>
      <c r="G32" s="56">
        <f t="shared" si="0"/>
        <v>0</v>
      </c>
      <c r="H32" s="63"/>
      <c r="I32" s="56">
        <f t="shared" si="1"/>
        <v>0</v>
      </c>
      <c r="J32" s="63"/>
      <c r="K32" s="53"/>
      <c r="L32" s="53"/>
      <c r="M32" s="57">
        <f t="shared" si="2"/>
        <v>0</v>
      </c>
      <c r="N32" s="81">
        <f t="shared" si="3"/>
        <v>0</v>
      </c>
    </row>
    <row r="33" spans="2:14" x14ac:dyDescent="0.25">
      <c r="B33" s="58"/>
      <c r="C33" s="57"/>
      <c r="D33" s="63"/>
      <c r="E33" s="52"/>
      <c r="F33" s="56"/>
      <c r="G33" s="56">
        <f t="shared" si="0"/>
        <v>0</v>
      </c>
      <c r="H33" s="63"/>
      <c r="I33" s="56">
        <f t="shared" si="1"/>
        <v>0</v>
      </c>
      <c r="J33" s="63"/>
      <c r="K33" s="53"/>
      <c r="L33" s="53"/>
      <c r="M33" s="57"/>
      <c r="N33" s="81"/>
    </row>
    <row r="34" spans="2:14" x14ac:dyDescent="0.25">
      <c r="B34" s="58"/>
      <c r="C34" s="57"/>
      <c r="D34" s="63"/>
      <c r="E34" s="52"/>
      <c r="F34" s="56"/>
      <c r="G34" s="56">
        <f t="shared" si="0"/>
        <v>0</v>
      </c>
      <c r="H34" s="63"/>
      <c r="I34" s="56">
        <f t="shared" si="1"/>
        <v>0</v>
      </c>
      <c r="J34" s="63"/>
      <c r="K34" s="53"/>
      <c r="L34" s="53"/>
      <c r="M34" s="57"/>
      <c r="N34" s="81"/>
    </row>
    <row r="35" spans="2:14" x14ac:dyDescent="0.25">
      <c r="B35" s="58"/>
      <c r="C35" s="56"/>
      <c r="D35" s="61"/>
      <c r="E35" s="52"/>
      <c r="F35" s="56"/>
      <c r="G35" s="56">
        <f t="shared" si="0"/>
        <v>0</v>
      </c>
      <c r="H35" s="61"/>
      <c r="I35" s="56">
        <f t="shared" si="1"/>
        <v>0</v>
      </c>
      <c r="J35" s="61"/>
      <c r="K35" s="52"/>
      <c r="L35" s="52"/>
      <c r="M35" s="56"/>
      <c r="N35" s="81"/>
    </row>
    <row r="36" spans="2:14" ht="15.75" thickBot="1" x14ac:dyDescent="0.3">
      <c r="B36" s="58"/>
      <c r="C36" s="57"/>
      <c r="D36" s="63"/>
      <c r="E36" s="52"/>
      <c r="F36" s="56"/>
      <c r="G36" s="56">
        <f t="shared" si="0"/>
        <v>0</v>
      </c>
      <c r="H36" s="63"/>
      <c r="I36" s="56">
        <f t="shared" si="1"/>
        <v>0</v>
      </c>
      <c r="J36" s="63"/>
      <c r="K36" s="53"/>
      <c r="L36" s="53"/>
      <c r="M36" s="57"/>
      <c r="N36" s="81"/>
    </row>
    <row r="37" spans="2:14" ht="16.5" thickTop="1" thickBot="1" x14ac:dyDescent="0.3">
      <c r="B37" s="33"/>
      <c r="C37" s="54">
        <f>SUM(C7:C36)</f>
        <v>65000</v>
      </c>
      <c r="D37" s="65"/>
      <c r="E37" s="65">
        <f t="shared" ref="E37:J37" si="4">SUM(E8:E36)</f>
        <v>800</v>
      </c>
      <c r="F37" s="65">
        <f t="shared" si="4"/>
        <v>500</v>
      </c>
      <c r="G37" s="65">
        <f t="shared" si="4"/>
        <v>300</v>
      </c>
      <c r="H37" s="65">
        <f t="shared" si="4"/>
        <v>45000</v>
      </c>
      <c r="I37" s="54">
        <f t="shared" si="4"/>
        <v>20000</v>
      </c>
      <c r="J37" s="65">
        <f t="shared" si="4"/>
        <v>70000</v>
      </c>
      <c r="K37" s="65">
        <f t="shared" ref="K37:L37" si="5">SUM(K8:K36)</f>
        <v>5000</v>
      </c>
      <c r="L37" s="65">
        <f t="shared" si="5"/>
        <v>10500</v>
      </c>
      <c r="M37" s="54">
        <f>SUM(M7:M36)</f>
        <v>59500</v>
      </c>
      <c r="N37" s="82">
        <f>SUM(N8:N36)</f>
        <v>79500</v>
      </c>
    </row>
    <row r="38" spans="2:14" x14ac:dyDescent="0.25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35"/>
    </row>
    <row r="39" spans="2:14" x14ac:dyDescent="0.25">
      <c r="B39" s="5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9"/>
    </row>
    <row r="40" spans="2:14" x14ac:dyDescent="0.25"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4" x14ac:dyDescent="0.25">
      <c r="B41" s="10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0"/>
    </row>
  </sheetData>
  <mergeCells count="5">
    <mergeCell ref="B1:N1"/>
    <mergeCell ref="B5:C5"/>
    <mergeCell ref="J5:M5"/>
    <mergeCell ref="B4:I4"/>
    <mergeCell ref="J4:M4"/>
  </mergeCells>
  <printOptions horizontalCentered="1" verticalCentered="1"/>
  <pageMargins left="0.70866141732283472" right="0.70866141732283472" top="0.55118110236220474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ENERO-15)</vt:lpstr>
      <vt:lpstr>FLUJO FINANCIERO-2015</vt:lpstr>
      <vt:lpstr>'ENERO-15)'!Área_de_impresión</vt:lpstr>
      <vt:lpstr>'FLUJO FINANCIERO-2015'!Área_de_impresión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2015-05-14T19:16:00Z</cp:lastPrinted>
  <dcterms:created xsi:type="dcterms:W3CDTF">2014-03-03T21:03:38Z</dcterms:created>
  <dcterms:modified xsi:type="dcterms:W3CDTF">2015-06-04T18:06:39Z</dcterms:modified>
</cp:coreProperties>
</file>