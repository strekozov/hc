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CIFRAS DE CONTROL EGRESOS MENSUALES 2015\"/>
    </mc:Choice>
  </mc:AlternateContent>
  <bookViews>
    <workbookView xWindow="240" yWindow="660" windowWidth="20115" windowHeight="6945"/>
  </bookViews>
  <sheets>
    <sheet name="CIBRAS DE CONTROL 2015" sheetId="5" r:id="rId1"/>
  </sheets>
  <definedNames>
    <definedName name="_xlnm.Print_Area" localSheetId="0">'CIBRAS DE CONTROL 2015'!$A$1:$O$70</definedName>
    <definedName name="_xlnm.Print_Titles" localSheetId="0">'CIBRAS DE CONTROL 2015'!$1:$4</definedName>
  </definedNames>
  <calcPr calcId="162913"/>
</workbook>
</file>

<file path=xl/calcChain.xml><?xml version="1.0" encoding="utf-8"?>
<calcChain xmlns="http://schemas.openxmlformats.org/spreadsheetml/2006/main">
  <c r="Q3" i="5" l="1"/>
  <c r="K3" i="5" l="1"/>
  <c r="AF3" i="5" l="1"/>
  <c r="AI3" i="5" l="1"/>
  <c r="AH3" i="5"/>
  <c r="AE3" i="5"/>
  <c r="AC3" i="5"/>
  <c r="AB3" i="5"/>
  <c r="Z3" i="5"/>
  <c r="Y3" i="5"/>
  <c r="W3" i="5"/>
  <c r="V3" i="5"/>
  <c r="T3" i="5" l="1"/>
  <c r="S3" i="5"/>
  <c r="J3" i="5" l="1"/>
  <c r="P3" i="5"/>
  <c r="N3" i="5"/>
  <c r="M3" i="5"/>
  <c r="A3" i="5" l="1"/>
  <c r="B3" i="5"/>
  <c r="D3" i="5"/>
  <c r="E3" i="5"/>
  <c r="G3" i="5"/>
  <c r="H3" i="5"/>
</calcChain>
</file>

<file path=xl/sharedStrings.xml><?xml version="1.0" encoding="utf-8"?>
<sst xmlns="http://schemas.openxmlformats.org/spreadsheetml/2006/main" count="924" uniqueCount="731">
  <si>
    <t>Importe</t>
  </si>
  <si>
    <t>enero</t>
  </si>
  <si>
    <t>Fecha</t>
  </si>
  <si>
    <t>CONTROL DE GASTOS</t>
  </si>
  <si>
    <t>CIFRAS DE CONTROL DEL 2015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</si>
  <si>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</si>
  <si>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</si>
  <si>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</si>
  <si>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</si>
  <si>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</si>
  <si>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</si>
  <si>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</si>
  <si>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</si>
  <si>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</si>
  <si>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</si>
  <si>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</si>
  <si>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Ferre Electrica Diaz, compra de 10 cinchos para fijar  lonas</t>
  </si>
  <si>
    <t>Gloria Mazzón Soto, pago de honorarios por captura de datos</t>
  </si>
  <si>
    <t>SAT Servicio de Administración Tributaria, colegio Carmel, nov/14 y recargos</t>
  </si>
  <si>
    <t xml:space="preserve">SAT Servicio de Administración Tributaria, colegio Carmel, diciembre/14 </t>
  </si>
  <si>
    <t>Siegrist Contadores Publicos, pago de honorarios diciembre/14</t>
  </si>
  <si>
    <t>Electropura, S. de R.L. de C.V. compra de 3 garragones de agua</t>
  </si>
  <si>
    <t xml:space="preserve">Advanced Servicio CCTV y Cómputo, respaldo de una videograbación </t>
  </si>
  <si>
    <t>Nueva Walmart de México, S. de R.L. de C.V. compra de material de limpieza</t>
  </si>
  <si>
    <t>Guardias y custodías privadas Gama, S.A. de C.V. 1a quincena enero/15</t>
  </si>
  <si>
    <t>Artemio Mora Torres, 1a quincena enero/15</t>
  </si>
  <si>
    <t>Pago de honorarios reparacion de cabeado aereo Cuchilla y Romeral</t>
  </si>
  <si>
    <t>MD Gran Formato, S.A. de C.V. 1 metro cuadrado lona impresa</t>
  </si>
  <si>
    <t>Roberto Miranda, gratificación por recolección de basura en el hueso y parq.</t>
  </si>
  <si>
    <t>Office Depot de México, S.A. de C.V., compra de 4 cartuchos epson</t>
  </si>
  <si>
    <t>Gloria Mazzón, pago de honorarios por captura de datos</t>
  </si>
  <si>
    <t>SAT Servicios de Administración Tributaria, colegio Carmel, enero/15</t>
  </si>
  <si>
    <t>Siegrist Contadores Publicos, pago de honorarios enero/15</t>
  </si>
  <si>
    <t>Electropura, S. de R.L. de C.V. compra de 2 garragones de agua</t>
  </si>
  <si>
    <t>José Alberto González, anticipo compra de material poda del parque</t>
  </si>
  <si>
    <t>Eguía Impresos, 460 copias para el informe anual</t>
  </si>
  <si>
    <t>José Alberto González, concepto de pago poda pasto parque fraccionamiento</t>
  </si>
  <si>
    <t>Manuel Olivares, pago por quitar publicidad de todas las rejas del frac.</t>
  </si>
  <si>
    <t>Jorge López, gratificación por cambio de luminarias en mal estado fracc.</t>
  </si>
  <si>
    <t>Pedro Coetes, recolección de basura del fraccionamiento</t>
  </si>
  <si>
    <t>Artemio Mora Torres, 2° quincena enero/15</t>
  </si>
  <si>
    <t>Advanced Servicio CCTV y Cómputo, 2 barreras vehiculares en aluminio4</t>
  </si>
  <si>
    <t>Advanced Servicio CCTV y Cómputo, configuración de DVR continua</t>
  </si>
  <si>
    <t>Aldama, S.A. compra de una bomba para bicicleta</t>
  </si>
  <si>
    <t>Pedro Cortes, gratificación por recoger y tirar el pasto podado del parque</t>
  </si>
  <si>
    <t>Jorge Lopez, cambiar 9 luminarias en la calle del Hueso</t>
  </si>
  <si>
    <t>Jorge López, gasto para comida de la cuadrilla que esta trabajando en cambio l</t>
  </si>
  <si>
    <t>Electropura, S. de R.L. de C.V. 2 garrafones de agua</t>
  </si>
  <si>
    <t>Roberto Miranda, gratificación por limpieza del parque 2° quincena enero/15</t>
  </si>
  <si>
    <t>Jorge López, cambio 7 luminarias, EZ,RM esq UP, LD, UP,RV,CL</t>
  </si>
  <si>
    <t>Telefonos de México, SAB de C.V. pago dic/14 y ene/15</t>
  </si>
  <si>
    <t>Electropura, S. de R.L. de C.V. 3 garrafones de agua</t>
  </si>
  <si>
    <t>Advanced Servicio CCTV y Cómputo, respaldo de 2 videograbaciones ZB</t>
  </si>
  <si>
    <t>Olegario Vázquez, gratificación especial trabajo tarjetones</t>
  </si>
  <si>
    <t>Humberto Soto, gratificación especial trabajo tarjetones</t>
  </si>
  <si>
    <t>Gloria Mazzón, pago de honorarios por captura de dattos</t>
  </si>
  <si>
    <t>Distribución de papelería y fetteraría el capricho, material para hoyo CL y EP</t>
  </si>
  <si>
    <t>Office Depot de México, S.A. de C.V., compra de material de papeleria</t>
  </si>
  <si>
    <t>Jorge López, cambio luminarias CL, EZ, HS Y ZB, parque, instaleción 2 proyector</t>
  </si>
  <si>
    <t>Manuel Olivares, pavimetar hoyo en la calle de Cuchilla y Estopila</t>
  </si>
  <si>
    <t>Advanced Servicio CCTV y Cómputo, respaldo USB, configuración de tarjetas</t>
  </si>
  <si>
    <t>Compra de 50 duplicados llaves kale</t>
  </si>
  <si>
    <t>Guarias y custodías privadas Gama, S.A. de C.V. 2° quincena enero/15</t>
  </si>
  <si>
    <t>Guardias y custodias privadas Gama, S.A. de C.V. 1° quincena febrero/15</t>
  </si>
  <si>
    <t>Artemio Mora Torres 1° quincena febrero/15</t>
  </si>
  <si>
    <t>Contastino Cabrera, poda de pasto de la entrada caseta Romeral ambas aceras</t>
  </si>
  <si>
    <t>Electropura, S de R.L. de C.V. 2 garrafones de agua</t>
  </si>
  <si>
    <t>Siegrist Contadores Publicos, pago de honorarios febrero/15</t>
  </si>
  <si>
    <t>Alberto González, pago por recoger y barrer toda la hojarasca del parque</t>
  </si>
  <si>
    <t>Advanced Servicio CCTV y Cómpuro, anticipo para intalar 8 camaras y cableado</t>
  </si>
  <si>
    <t>Pedro Cortés, recoger y tirar toda la hojarasca del parque</t>
  </si>
  <si>
    <t xml:space="preserve">MD Gran Formato, S.A. de C.V. 1 metro de lona impresa </t>
  </si>
  <si>
    <t>Electropura, S. de R.L. de C.V., 3 garrafones de agua</t>
  </si>
  <si>
    <t>Guardias y custodias privadas Gama, S.A. de C.V. 2° quincena febrero/15</t>
  </si>
  <si>
    <t>Artemio Mora Torres 2° quincena febrero/15</t>
  </si>
  <si>
    <t>Pedro Cortés, gratificación por la recolección de basura del fraccionamiento</t>
  </si>
  <si>
    <t>Telefonos de México SAB, de C.V., pago mes de febrero/15</t>
  </si>
  <si>
    <t>Electropura, S. de R.L. de C.V., compra de 3 garrafones de agua</t>
  </si>
  <si>
    <t>Roberto Miranda, gratificación por recolección de basura en varias calles</t>
  </si>
  <si>
    <t xml:space="preserve">Roberto Miranda, gratificación especial por recoger la hojarasca </t>
  </si>
  <si>
    <t>Advanced Servicios CCTV y Cómputo, respaldo de una videograbación</t>
  </si>
  <si>
    <t>Grupo ERN, comptra de 10 gabinetes</t>
  </si>
  <si>
    <t>Electropura, S. de R.L. de C.V., compra de 2 garrafones de agua</t>
  </si>
  <si>
    <t>Dr. Oscar Roldan, gastos erogados en el Globo con motivo de juntas quincenales</t>
  </si>
  <si>
    <t>Home Depot México, S. de R.L. de C.V. compra de 3 conos para señalizaciónes</t>
  </si>
  <si>
    <t>Guardias y custodias privadas Gama, S.A. de C.V. 1° quincena marzo/15</t>
  </si>
  <si>
    <t>Artemio Mora Torres 1° quincena marzo/15</t>
  </si>
  <si>
    <t>Cambio de frenos y ajuste de los mismos</t>
  </si>
  <si>
    <t>Advanced Servicios CCTV y Cómputo, pago honorarios por configurar tarjetas TAG</t>
  </si>
  <si>
    <t>Cambio eje trasero, alineación, ajuste taza, ajuste rayos y ajuste de manubrio</t>
  </si>
  <si>
    <t>Siegrist Contadores Publicos, pago de honorarios marzo/15</t>
  </si>
  <si>
    <t>Electropura, S. de R.L. de C.V. 2 garrafones</t>
  </si>
  <si>
    <t>Roberto Medina, gratificación especial por recoger basura en todo el fracc</t>
  </si>
  <si>
    <t>Electropura, S. de R.L. de C.V. 3 garrafones</t>
  </si>
  <si>
    <t>Facturar en Linea S. de R.L. de C.V. 1 paquete de 25 cfdis</t>
  </si>
  <si>
    <t>Esteba Alejo, compra de pintura para caseta el cual se llevó y no regreso</t>
  </si>
  <si>
    <t>SAT Servicio de Administración Tributaria, Colegio Carmel mes de febrero/15</t>
  </si>
  <si>
    <t>Gloria Mazzón, pago de honorarios por captura de datos y un día adicional</t>
  </si>
  <si>
    <t>Advanced Servicio CCTV y Cómputo, respaldo de una videograbacion Romeral</t>
  </si>
  <si>
    <t>Costo de elaboración de 500 recibos con copia, cobranza cuotas</t>
  </si>
  <si>
    <t>Guardias y custodias privadas Gama, S.A. de C.V. 2° quincena marzo/15</t>
  </si>
  <si>
    <t>Artemio Mora Torres 2° quincena marzo/15</t>
  </si>
  <si>
    <t>Advanced Servicios CCTV y Cómputo, liq. Instalación circuito 8 camaras</t>
  </si>
  <si>
    <t>Advamced Servicios CCTV y Cómputo, compra 3 tarjetas con clip</t>
  </si>
  <si>
    <t xml:space="preserve">Electropura, S. de R.L. de C.V. 1 garrafon </t>
  </si>
  <si>
    <t>Roberto Medina, gratificación especial para el barrido y tirado de basura</t>
  </si>
  <si>
    <t>Gloria Mazzón, pago por captura de datos</t>
  </si>
  <si>
    <t>Office Depot de México, S.A. de C.V. compra de cartuchos y papeleria</t>
  </si>
  <si>
    <t>Eguía Impresos, compra de 460 juegos de copias Bond Carta</t>
  </si>
  <si>
    <t>José Alberto González, por concepto de pago de poda de pasto y recolección</t>
  </si>
  <si>
    <t>Electropura, S. de R.L. de C.V., compra de 1 garrafon de agua</t>
  </si>
  <si>
    <t>Telefonos de México, S.A.B. de C.V., pago del mes de marzo/15</t>
  </si>
  <si>
    <t>Siegrist Contadores Publicos, pago de honorarios abril/15</t>
  </si>
  <si>
    <t>Electropura, S. de R.L. de C.V. pago de 2 garrafones de agua</t>
  </si>
  <si>
    <t>Advanced Servicio CCTV y Cómuto, pago por respaldo de una videograbación</t>
  </si>
  <si>
    <t>Pedro Cortés, gratificación especial por la recolección de la basura de fracc.</t>
  </si>
  <si>
    <t>Guardias y custodias privadas Gama, S.A. de C.V. 1° quincena abril/15</t>
  </si>
  <si>
    <t>Artemio Mora Torres 1° quincena abril/15</t>
  </si>
  <si>
    <t>Advanced Servicio CCTV y Cómputo, compra 50 tarjetas RFID procard PROF12</t>
  </si>
  <si>
    <t>Advanced Servicio CCTV y Cómputo,compra 1 camara varifocal y su instalación</t>
  </si>
  <si>
    <t>Eguía Impresos, compra de 450 juegos de copias Bond Carta</t>
  </si>
  <si>
    <t xml:space="preserve">Pedro Dazan, servicio especial por la descompostura del camión que recoge </t>
  </si>
  <si>
    <t>Home Depot México, S. de R.L. de C.V. compra de cadena para puerta RM</t>
  </si>
  <si>
    <t>Control de plagas, servicio de aplicación contra insectos en general</t>
  </si>
  <si>
    <t>Electropura, S. de R.L. de C.V. compra de 2 garrafones de agua</t>
  </si>
  <si>
    <t>Electropura, S. de R.L. de C.V. compra de 3 garrafones de agua</t>
  </si>
  <si>
    <t>Manuel Olivares, quitar propaganda y mantas de las rejas del Hueso</t>
  </si>
  <si>
    <t>Guardias y custodias privadas Gama, S.A. de C.V. 2° quincena abril/15</t>
  </si>
  <si>
    <t>Artemio Mora Torres 2° quincena abril/15</t>
  </si>
  <si>
    <t>Advanced Servicio CCTV y Cómputo,compra de 10 fuentes de energia</t>
  </si>
  <si>
    <t>Advanced Servicio CCTV y Cómputo, respaldo de dos videograbaciones</t>
  </si>
  <si>
    <t>SAT Servicio de Administración Tributaria, Colegio Carmel mes de marzo/15</t>
  </si>
  <si>
    <t>Electropura, S. de R.L. de C.V. compra de 1 garrafon de agua</t>
  </si>
  <si>
    <t>Roberto Medina, gratificación, por trabajos adicionales en fraccionamineto</t>
  </si>
  <si>
    <t>Horacio Campos, reparación de chapas de puertas en LD, EP Y RV</t>
  </si>
  <si>
    <t>SAT Servicio de Administración Tributaria, Colegio Carmel mes de abril/15</t>
  </si>
  <si>
    <t>Telefonos de México, S.A.B. de C.V. pago mes de abril/15</t>
  </si>
  <si>
    <t>Electropura, S. de R.L. de C.V. compra de 3 garrafon de agua</t>
  </si>
  <si>
    <t>Cadena Comercial Oxxo, S.A. de C.V. compra agua ciel</t>
  </si>
  <si>
    <t>Cadena Comercial Oxxo, S.A. de C.V. compra vasos</t>
  </si>
  <si>
    <t>Pedro Cortes, graficación mensual por la recolección de basura en abril/15</t>
  </si>
  <si>
    <t>Aldan Electrónica, S.A. de C.V. compra de cable en espiral telefonico</t>
  </si>
  <si>
    <t>Eguía Impresos, 30 copias</t>
  </si>
  <si>
    <t>Cadena Comercial Oxxo, S.A. de C.V. compra de 1 garrafon de agua</t>
  </si>
  <si>
    <t>Horacio Campos, reparación de chapa de puerta en Romeral</t>
  </si>
  <si>
    <t>Eguía Impresos, 27 copias</t>
  </si>
  <si>
    <t>Daniel Chávez, pago por comidas proporcionadas  a los trabajadores de la deleg</t>
  </si>
  <si>
    <t>Constantino Cabrera, trabajos de jardinería en la caseta del Romeral</t>
  </si>
  <si>
    <t>Agua Dally Inmaculada, compra de 4 garrafones</t>
  </si>
  <si>
    <t>Eguía Impresos, 43 copias</t>
  </si>
  <si>
    <t>Ferre Electrica Díaz, compra 1 rollo poliflex 3/4 y 5 chaluyas</t>
  </si>
  <si>
    <t>Guardias y custodias privadas Gama, S.A. de C.V. pago 1° quincena mayo/15</t>
  </si>
  <si>
    <t>Artemio Mora Torres pago 1° quincena mes de mayo/15</t>
  </si>
  <si>
    <t>Advanced Servicio CCTV y Cómputo, respaldo de una videograbación</t>
  </si>
  <si>
    <t>Ferre Electrica Díaz, compra 5 cajas 3/4galn y 5 tapas 3/4 galn</t>
  </si>
  <si>
    <t>Roberto Medina, gratificación especial por barrer y recoger basura 1° quincena</t>
  </si>
  <si>
    <t>Electropura, S. de R.L. de C.V. compra 2 garrafones de agua</t>
  </si>
  <si>
    <t>Electropura, S. de R.L. de C.V. compra 3 garrafones</t>
  </si>
  <si>
    <t>José Alberto González, Pago por poda y recolección del pasto del parque</t>
  </si>
  <si>
    <t>Nueva Walmart de México, S. de R.L. de C.V. Compra de material de limpieza</t>
  </si>
  <si>
    <t>Electropura, S. de R.L. de C.V. compra 1 garrafon de agua</t>
  </si>
  <si>
    <t>Office Depot de México, S.A. de C.V. compra de 3 cartuchos</t>
  </si>
  <si>
    <t>Eguía Impresos, compra 450 copias bond carta</t>
  </si>
  <si>
    <t>Ferre Electrica Díaz, destrqbado de chapa</t>
  </si>
  <si>
    <t>Advanced Servicio CCTV y Cómputo, colocación de 40 metros de concertina</t>
  </si>
  <si>
    <t>Advanced Servicio CCTV y Cómputo, compra y configuración de 50 tarjetas</t>
  </si>
  <si>
    <t>Cerrajeria Azteca, copias</t>
  </si>
  <si>
    <t>Ferre Electrica Díaz, compra 1 rollo poliflex 3/4  con guia</t>
  </si>
  <si>
    <t>Advanced Servicio CCTV y Cómputo, compra de una bobina de cable UTP</t>
  </si>
  <si>
    <t>Advanced Servicio CCTV y Cómputo, mantenimiento circuito ZB</t>
  </si>
  <si>
    <t>Pedro Cortes, gratificación recoger y tirar todo el pasto podado del parque</t>
  </si>
  <si>
    <t>SAT Servicio de Administración Tributaria, Colegio Carmel mes de mayo/15</t>
  </si>
  <si>
    <t>Electropura, S. de R.L. de CV, compra de 2 garrafones</t>
  </si>
  <si>
    <t>Vicente García, gratificación por el trabajo de revisión en el drenaje</t>
  </si>
  <si>
    <t>Artemio Mora Torres pago 2° quincena mes de mayo/15</t>
  </si>
  <si>
    <t>Eguía impresos, 116 copias tamaño carta</t>
  </si>
  <si>
    <t>Ferre Electríca Díaz, compra de 12 cinchos 30 cms.</t>
  </si>
  <si>
    <t>Electropura, S. de R.L. de C.V. compra de 2 garrafones</t>
  </si>
  <si>
    <t>Francisco Suarez, reparar corto circuto LD y UP</t>
  </si>
  <si>
    <t>Ing. Roberto Mendoza, por trabajos de topografia</t>
  </si>
  <si>
    <t>Pedro Cortés, gratificación por basura recolectada y tirada del fraccionamiento</t>
  </si>
  <si>
    <t>Roberto Medina, gratificación por el trabajo especial de barrer fraccionamiento</t>
  </si>
  <si>
    <t>Ferreelectrica Crital, compra 45 mts cable uso rudo, protección interna</t>
  </si>
  <si>
    <t>José Luis Hernández, trabajos de preparación para hacer el dragado en EZ</t>
  </si>
  <si>
    <t>José Luis Hernández, gratificación por el servicio de drenaje en EZ 1a sección</t>
  </si>
  <si>
    <t>Gloria Mazzón pago por captura de datos</t>
  </si>
  <si>
    <t>Daniel Chávez, pago por comidas proporcionadas a los trabajadores de la deleg</t>
  </si>
  <si>
    <t xml:space="preserve">Advanced Servicio y CCTV y Cómputo, compra de 8 fuentes de energía </t>
  </si>
  <si>
    <t>Electropura, S. de R.L. de C.V. compra de 1 garrafon</t>
  </si>
  <si>
    <t>Ing. Roberto Mendoza, por trabajos de electrificación, iluminación de lamparas</t>
  </si>
  <si>
    <t>Mario Martínez, pago por reparación pluma Zinampa</t>
  </si>
  <si>
    <t>Electropura, S. de R.L. de C.V. compra de 3 garrafones</t>
  </si>
  <si>
    <t>Olegario Vázquez, pago por reparación pluma Zinampa</t>
  </si>
  <si>
    <t>Advanced Servicio y CCTV y Cómputo, pago por revisión extracción camaras</t>
  </si>
  <si>
    <t>Servicio de grua, para llevarse automovil abandonado en Zinampa</t>
  </si>
  <si>
    <t>Reparación de bicicleta para dondines</t>
  </si>
  <si>
    <t>Materiales y Tlapalería Metropolitana, compra de 30 kg cemento gris</t>
  </si>
  <si>
    <t>Telefonos de México, SAB, de C.V. pago mes de mayo/15</t>
  </si>
  <si>
    <t>Ayuda para alimentos con motivo del dragado en la calle Estanzuela</t>
  </si>
  <si>
    <t>Ayuda para alimentos con motivo del dragado en la calle Upacuaro</t>
  </si>
  <si>
    <t>Servicio de grua, para llevarse automovil abandonado en Landero y Calz del H</t>
  </si>
  <si>
    <t>José Luis Hernández, gratificación por el servicio de dragado en UP y CL</t>
  </si>
  <si>
    <t>José Manuel Olivares detallar con pintura 3 puertas grafiteadas en fraccionami</t>
  </si>
  <si>
    <t xml:space="preserve">Office Depot de México, S.A. de C.V. compra de papelería </t>
  </si>
  <si>
    <t>Home Depot México, S. de R.L. de C.V. compra de cadena y candado</t>
  </si>
  <si>
    <t>Dr. Oscar Roldan pago por gastos erogados en el Globo cafería</t>
  </si>
  <si>
    <t>Ing. Roberto Mendoza Ordoñez, correspondiente a trabajos topográficos</t>
  </si>
  <si>
    <t>Ing. Roberto Mendoza Ordoñez, liq. De electrificación etc</t>
  </si>
  <si>
    <t>Comercializadora Caspin, S.A. de C.V. compra pintura blanco, thinner y brocha</t>
  </si>
  <si>
    <t>Guardias y Custodías Privadas Gama, S.A. de C.V. pago 1° quincena junio/15</t>
  </si>
  <si>
    <t>Artemio Mora Torres, pago 1° quincena junio/15</t>
  </si>
  <si>
    <t>No-breaks Reguladores, compra de un fax</t>
  </si>
  <si>
    <t>Tecno Plaza Electrónica S.A. de C.V., compra de fuente, conectores y balums</t>
  </si>
  <si>
    <t>Jorge Vázquez, desintalar revisar camaras</t>
  </si>
  <si>
    <t>Pedro Hernández, mantenimiento mensual a las 8 chapas de las puertas</t>
  </si>
  <si>
    <t>José Alberto González, pago de poda y recolección del pasto</t>
  </si>
  <si>
    <t>Electropura, S. de R.L. de D.V. compra de 3 garrafones</t>
  </si>
  <si>
    <t>Olegario Vázquez, pago por tapar 3 baches en la calle Zinampa y Cuchilla</t>
  </si>
  <si>
    <t>Jóse Luis Hernández, gratificación otorgada por los trabajos de dragado CL 18 y 19</t>
  </si>
  <si>
    <t>Pedro Cortés, gratificación por recoger y tirar pasto podado del parque</t>
  </si>
  <si>
    <t>Moen grupo industrial, a/c por suministro y colocación de techado en RM</t>
  </si>
  <si>
    <t>Moen grupo industrial, liq por suministro y colocación de techado en RM</t>
  </si>
  <si>
    <t>Cerrajería Gran Sur, compra dd 50 llaves travex</t>
  </si>
  <si>
    <t>Advanced Servicio CCTV y Cómputo, pago de intalacion de 3 camaras</t>
  </si>
  <si>
    <t>Eguía Impresos, 460 copias bond carta de 3 juegos de cada una</t>
  </si>
  <si>
    <t>Constantino Cabrera, poda efectuada en la barda de ladrillo en la entrada RM</t>
  </si>
  <si>
    <t>Ing. Roberto Mendoza Ordoñez, ant de Diseño e Impresión de un triptico</t>
  </si>
  <si>
    <t>Nueva Walmar de México, S de R.L. de C.V. compra de productos de limpieza</t>
  </si>
  <si>
    <t>Ing. Roberto Mendoza Ordoñez, liq.  De Diseño e Impresión de un triptico</t>
  </si>
  <si>
    <t>Ing. Roberto Mendoza Ordoñez, gasto de taxi para transportar personal y acces.</t>
  </si>
  <si>
    <t>El univesal compañía periodística nacional, S.A. de C.V. puclicación periodico</t>
  </si>
  <si>
    <t>Guardias y Custodías Privadas Gama, S.A. de C.V. pago 2° quincena junio/15</t>
  </si>
  <si>
    <t>Artemio Mora Torres, pago 2° quincena junio/15</t>
  </si>
  <si>
    <t>JULIO</t>
  </si>
  <si>
    <t>Pedro Cortés, gratificación especial por recolección de basura del fraccionamien</t>
  </si>
  <si>
    <t>Ferretería Cristal compra de material electrico</t>
  </si>
  <si>
    <t>Gerardo Gutierrez, gratificación por trabajos de cambio de tubos de drenaje</t>
  </si>
  <si>
    <t>Advanced Servicio CCTV y Cómputo, respaldo de videograbación en DVRS</t>
  </si>
  <si>
    <t>José Luis Gómez, pago por el servicio de poda en la caseta RM y el árbol</t>
  </si>
  <si>
    <t>Tecno Plaza Electrónica S.A. de C.V., compra de 3 camaras y materiales</t>
  </si>
  <si>
    <t>Ricardo García, gratificación por el mano de las sillas utilizadas en el parque</t>
  </si>
  <si>
    <t>Banquetes Cafetales, Evento Sociales, alquiler de sillas y una mesa por 3 días</t>
  </si>
  <si>
    <t>Ing. Roberto Mendoza, Cobro a servicios de mantenimiento a drenaje</t>
  </si>
  <si>
    <t>Ing. Roberto Mendoza Ordoñez, ant 1/4 por estudio topografico del fracciona.</t>
  </si>
  <si>
    <t>Ing. Roberto Mendoza, Ant. 2/4 por estudio topografico del fraccionamiento</t>
  </si>
  <si>
    <t>Advanced Servicio CCTV y Cómputo, Pago por intalación de 3 camara y fuentes</t>
  </si>
  <si>
    <t>Impresiones Graficas, compra de 1000 recibos de cobranza del # 9767 al 10766</t>
  </si>
  <si>
    <t>Sabina Péreez González, comida que se le otorgarón al personal de la delegación</t>
  </si>
  <si>
    <t>Ing Roberto Mendoza, pago de transporte a 5 personas de la delegación</t>
  </si>
  <si>
    <t>Eguía Impresos, 450 copias bond carta 2 por juego</t>
  </si>
  <si>
    <t>Ing. Roberto Mendoza, Liquitación al reforzamiento a techumbre</t>
  </si>
  <si>
    <t>Ing. Roberto Mendoza, Anticipo al reforzamiento a techumbre</t>
  </si>
  <si>
    <t>Ing. Roberto Mendoza, Ant 3/4 por estudio topografico del fraccionamiento</t>
  </si>
  <si>
    <t>Gregorio Bazaldoa, trabajos de plomería y cambio de piezas en los casetas</t>
  </si>
  <si>
    <t>Luis Hernández, por trabajos de herrería en 2 puertas y fabricación  1 bastidor</t>
  </si>
  <si>
    <t>Ing. Roberto Mendoza, compra de disel para camión de delegación</t>
  </si>
  <si>
    <t>Nueva Walmart de México, S. de R.L. de C.V. compra de productos varios casetas</t>
  </si>
  <si>
    <t>MG gran formato, compra de 2 mantas convocatoría votaciones nueva mesa direc</t>
  </si>
  <si>
    <t>Guardias y Custodías Privadas Gama, S.A. de C.V. pago 1° quincena julio/15</t>
  </si>
  <si>
    <t>Artemio Mora Torres, pago 1° quincena julio/15</t>
  </si>
  <si>
    <t>Luis Hernández, por trabajos de reparación chapa Eztanzuela-Hueso</t>
  </si>
  <si>
    <t xml:space="preserve">Ferre Electrica Díaz, 20 cinchos de 30 cm. Para colocar mantas votación </t>
  </si>
  <si>
    <t>MG gran formato, compra de 1mantas convocatoría votaciones nueva mesa direc</t>
  </si>
  <si>
    <t>Roberto Medina gratificación por recoger basura en todo el fraccionamiento</t>
  </si>
  <si>
    <t>Ing. Roberto Mendoza, liq. 4/4 por estudio topografico del fraccionamiento</t>
  </si>
  <si>
    <t>Alquiladora Casa Reynoso se alquilo 50 silla y 1 tablon para votaciónes</t>
  </si>
  <si>
    <t>Ing. Roberto Mendoza, pago documento describiendo el final desazolve</t>
  </si>
  <si>
    <t>Gloria Mazzón, pago por concepto de trabajo especial en votaciónes</t>
  </si>
  <si>
    <t>Ing. Roberto Mendoza, pago preparación y exposición ante delegación</t>
  </si>
  <si>
    <t>Telefonos de México, SAB, de C.V. pago del mes de junio/15</t>
  </si>
  <si>
    <t>Advanced Servicio CCTV y Cómputo, reparación de 1 camara profesional</t>
  </si>
  <si>
    <t>Advanced Servicio CCTV y Cómputo, sustitución de lentente profesional</t>
  </si>
  <si>
    <t>Manuel Olivares, gratificación especial por el apoyo a la mesa directiva</t>
  </si>
  <si>
    <t>Tecno Plaza Electrónica S.A. de C.V., compra de 1 camaras y materiales</t>
  </si>
  <si>
    <t>Advanced Servicio CCTV y Cómputo, 1 respaldo de videograbación USB</t>
  </si>
  <si>
    <t>Constantino Cabrera, remover los árboles chicos sembrados al lado de la reja</t>
  </si>
  <si>
    <t>Siegrist Contadores Publicos, pago de honorarios Junio/15</t>
  </si>
  <si>
    <t>Siegrist Contadores Publicos, pago de honorarios mayo/15</t>
  </si>
  <si>
    <t>Guardias y Custodías Privadas Gama, S.A. de C.V. pago 2° quincena julio/15</t>
  </si>
  <si>
    <t>Artemio Mora Torres, pago 2° quincena julio/15</t>
  </si>
  <si>
    <t>SAT Servicio de Administración Tributaría, Pago del mes de julio/15</t>
  </si>
  <si>
    <t>Miguel Angel Balbuena, pago de gasolina</t>
  </si>
  <si>
    <t>Home Depot México, S. de R.L. de C.V., compra de 2 candados</t>
  </si>
  <si>
    <t>Papelería de Oficina, Cómputo y Regalos, compra de pintura para llaves</t>
  </si>
  <si>
    <t>Miguel Angel Balbuena, compra de thinner, pinceles y estacionamiento</t>
  </si>
  <si>
    <t>Gisela Peralta, compra de 5 paquetes de galletas para visita delegación</t>
  </si>
  <si>
    <t>Advanced Servicio CCTV y Cómputo, reparación de 1 camara RV en poste</t>
  </si>
  <si>
    <t>Abastecedora Lumen, S.A. de C.V. papeleria</t>
  </si>
  <si>
    <t>Office Depot de México, S.A de C.V., caja archivo y libro florete</t>
  </si>
  <si>
    <t>Office Depot de México, S.A. de C.V., 3 cartuchos, sobres, boligrafos y hojas</t>
  </si>
  <si>
    <t xml:space="preserve">Ing. Roberto Mendoza, pago de 1 día de trabajo y 1 día de pago de disel </t>
  </si>
  <si>
    <t>Advanced CCTV y Cómputo, pago de respaldo de videograbación a USB</t>
  </si>
  <si>
    <t>Materiales y Tlapalería Metropolitana, 1 Saco de cemento</t>
  </si>
  <si>
    <t>Luis Hernández, elaborar tapa met+alica de la coladera de Recoveco</t>
  </si>
  <si>
    <t>Manuel Olivares, tapar baches en la calle de EZ, LD y CL.</t>
  </si>
  <si>
    <t>Leticia López, cooperación para comida anual de los servidores de basura</t>
  </si>
  <si>
    <t>José Luis Gómez, Poda pasto jardín, alreededor de la caseta Zinampa</t>
  </si>
  <si>
    <t>Advanced Servicio CCTV y Cómputo, paro restauración de camara LD</t>
  </si>
  <si>
    <t>Sistemaqs y Comunicaciones Gaytan Medina, S.A. de C.V. compra material elec.</t>
  </si>
  <si>
    <t>Sabina Pérez González, comida que se le otorgarón al personal de la delegación</t>
  </si>
  <si>
    <t>Pedro Cortés, gratificación especial por la recolección de basura en el fraccionamien</t>
  </si>
  <si>
    <t>Office Depot DE México, S.A. de C.V., compra de 1 block camario tcarta raya</t>
  </si>
  <si>
    <t>Luis Hernández, instalación de ruedas (2) en las puertas de Zinampa</t>
  </si>
  <si>
    <t>Luis Hernández, compra de 2 ruedas para pueta de Zinampa</t>
  </si>
  <si>
    <t>Ing. Roberto Mendoza Ordoñez, honorarios por día trabajado</t>
  </si>
  <si>
    <t>José Alberto González, pago por poda de pasto del parque del fraccionamiento</t>
  </si>
  <si>
    <t>Roberto Medina, gratificación especial por barrer calles que no le corresponden</t>
  </si>
  <si>
    <t>Daniel Chavez, pago por comidas para trabajadores del kiosko del fraccionamiento</t>
  </si>
  <si>
    <t>Advanced Servicio CCTV y Cómputo, reestructuración de cuatro cabledo</t>
  </si>
  <si>
    <t>Telefonos de Mexico, SAB de C.V. pago del mes de julio/15</t>
  </si>
  <si>
    <t>Sistemas y Comunicaciónes Gaytan Medina, S.A. de C.V. compra camara profesional</t>
  </si>
  <si>
    <t>Manuel Olivares, gratificación por quitar anuncios y mantas en rejas y bardas</t>
  </si>
  <si>
    <t>Advanced Servicio CCTV y Cómputo, 2 respaldos de videograbacipon en USB</t>
  </si>
  <si>
    <t>Eguía Impresos, 84 copias b/n</t>
  </si>
  <si>
    <t>Office Max, compra de 4 cartuchos epson 196</t>
  </si>
  <si>
    <t>Nueva Wal Mart de México, S. de R.L. de C.V., compra de material de limpieza</t>
  </si>
  <si>
    <t>Yolanda Jaime Lugo, compra de bolsas y jergas</t>
  </si>
  <si>
    <t>Grisela Peralta Portugal, compensación otorgada por mi trabajo de presidente MD</t>
  </si>
  <si>
    <t>Artemio Mora Torres, pago de la 1° quincena del mes de agosto/15</t>
  </si>
  <si>
    <t>Guardias y Custodías Privadas Gama, S.A. de C.C. pago 1° quincena agosto/15</t>
  </si>
  <si>
    <t>Telma Carrilo Chavarria, por concepto de devolución por el cobro doble de junio/15</t>
  </si>
  <si>
    <t>Olegario Vazquez, pago por trabajos dentro del fraccionamiento</t>
  </si>
  <si>
    <t>José Manuel Olivares, pago por trabajos dentro del fraccionamiento</t>
  </si>
  <si>
    <t>Operadora central de estacionamientos, SAPI de C.V.</t>
  </si>
  <si>
    <t>Operadora VIPS S de R.L. de C.V. junta relacionada con el Kiosko</t>
  </si>
  <si>
    <t>Papeleria, letrero para avisar que se cambio de dirección el cobro del fraccionamien</t>
  </si>
  <si>
    <t>Servicio Robledo, S.A. de C.V. pago de gasolina sra. Griselda Peralta</t>
  </si>
  <si>
    <t>Sra. Griselda Peralta, propinas gasolina y Wings</t>
  </si>
  <si>
    <t>Especialistas en Alta Cocina, S.A. de C.V. reunión para cambio de nombre asociación</t>
  </si>
  <si>
    <t>Daniel Chavez, pago por comidas para 15 trabajadores colocación de camara de 360o</t>
  </si>
  <si>
    <t>Grisela Peralta Portugal, compra de sobres para pagos de sueldos</t>
  </si>
  <si>
    <t>Nueva Wal Mart de México, S de R.L. de C.V,. Griselda, compra de una calculadora</t>
  </si>
  <si>
    <t>Nueva Wal Mart de México, S de R.L. de C.V., compra  2 Pullman JQ verona</t>
  </si>
  <si>
    <t>Electropura, S. de R.L. de C.V., compra de 5 garrafones de agua</t>
  </si>
  <si>
    <t>Sr. Roberto, pago por recolección de basura dentro del fraccionamiento 1° quincena</t>
  </si>
  <si>
    <t>Sanborn Hermanos S.A.  Compra de 1 lonchera vinil azul c/correa</t>
  </si>
  <si>
    <t>Sra. Griselda Peralta, pago de estacionamiento y agua para mesa directiva</t>
  </si>
  <si>
    <t>Sra. Griselda Peralta, pago sr. Basura de domingo 23/08/15</t>
  </si>
  <si>
    <t>Office Depot de México, S.A. de C.V., compra de toner y papel Sr. Griselda Peralta</t>
  </si>
  <si>
    <t xml:space="preserve">Ing. Roberto Mendoza Ordoñez, detalles de albañilería, suministro y colocación </t>
  </si>
  <si>
    <t>Desarrolladora de Estacionamiento Privados, S.A. de C.V. servicio de estacionamien</t>
  </si>
  <si>
    <t>SAT Servicio de Administración Tributaría, Pago del mes de agosto/15</t>
  </si>
  <si>
    <t>Sra. Griselda Peralta, estacionamiento compra de bolsas basura y lampara</t>
  </si>
  <si>
    <t>Daniel Chavez, pago por comidas para personal de telmex</t>
  </si>
  <si>
    <t>Eguía Impresos, 104 copias b/n</t>
  </si>
  <si>
    <t xml:space="preserve">Advanced Servicio CCTV y Cómputo, Reparación de sistema de alimentación </t>
  </si>
  <si>
    <t>Sr. Antelmo Chavez, jardinero que tapo un hoyo en el parque</t>
  </si>
  <si>
    <t>Nueva Wal Mart de México, S. de R.L. de C.V., Sr. Griselda compra material papelería</t>
  </si>
  <si>
    <t>Camil-Mex, compra de refrescos para trabajadores camara 360o</t>
  </si>
  <si>
    <t>José Luis López,  poda de árbol y corte de pasto en la entrada de RM los 2 lados banq</t>
  </si>
  <si>
    <t>Advanced Servicio CCTV y Cómputo, colocación de 6 transceptores en DVR caseta CL</t>
  </si>
  <si>
    <t>Electropura, S. de R.L. de C.V., compra de 2 garrafones</t>
  </si>
  <si>
    <t>Nueva Wal Mart de México, S. de R.L. de C.V., sra. Griselda  compra de papelería</t>
  </si>
  <si>
    <t xml:space="preserve">Gratificación especial a la patrulla 07 por ayudar a despejar areas públicas </t>
  </si>
  <si>
    <t>Cadena Comercial Oxxo, S.A. de C.V., compra de agua mesa directiva</t>
  </si>
  <si>
    <t>Artemio Mora Torres, pago de la 2° quincena del mes de agosto/15</t>
  </si>
  <si>
    <t>Griselda Peralta Portugal, compensación otrogada por el trabajo de presidente MD</t>
  </si>
  <si>
    <t xml:space="preserve">Danniel Chávez, pago de alimentos del personal de telmes </t>
  </si>
  <si>
    <t>Office Depot de México, S.A. de C.V., compra de papelería</t>
  </si>
  <si>
    <t>Office Depot de México, S.A. de C.V., compra de 1 libreta workline</t>
  </si>
  <si>
    <t>Gestión Avance, S.A. de C.V., estacionamiento Griselda Peralta</t>
  </si>
  <si>
    <t>Ranver, S.A. de C.V., estacionamiento Griselda Peralta</t>
  </si>
  <si>
    <t>Grisela Peralta, compra de refrescos y 2 cajas de galletas</t>
  </si>
  <si>
    <t>Roberto Miranda, pago por recolección de basura</t>
  </si>
  <si>
    <t>Constantino Cabrera, poda alrededor de las luminarías</t>
  </si>
  <si>
    <t>Eguia Impresos, 460 copias bond carta 5 por juego 81 con tinta roja)</t>
  </si>
  <si>
    <t>P'kas papelería, 20 copias</t>
  </si>
  <si>
    <t>Grisela Peralta, estaconamiento protocolización MD</t>
  </si>
  <si>
    <t>Electropura, S. de R.L. de C.V.., compra de 2 garragones de agua</t>
  </si>
  <si>
    <t>Super Servicio Coapa, S.A. de C.V., pago gasolina sra. Grisela Peralta</t>
  </si>
  <si>
    <t>Gloria Mazzón, Pago por captura de datos</t>
  </si>
  <si>
    <t>Advanced Servicio CCTV y Cómputo, 1 camara varifocal marca emesse</t>
  </si>
  <si>
    <t>Nueva Walmart de México, S. de R.L. de C.V. compra material de limpieza</t>
  </si>
  <si>
    <t>Oficial Franco sector 07, por apoyo dentro del fraccionamiento</t>
  </si>
  <si>
    <t>Griselda Peralta, pago de estacionamiento</t>
  </si>
  <si>
    <t>Griselda Peralta, propina varias, compra de marrial de vigilancia etc</t>
  </si>
  <si>
    <t>Papelería, enmicado de dos relaciónes de gastos</t>
  </si>
  <si>
    <t>Cadena Comercial Oxxo, agua para mesa directiva y vigilancia</t>
  </si>
  <si>
    <t>Electropura, S. de R.L. de C.V.., compra de 1 garragones de agua</t>
  </si>
  <si>
    <t>Claudia Sánchez López, Pago por hojalateria y pintura por insedente pluma ZB</t>
  </si>
  <si>
    <t>Telefonos de México, SAB de C.V. pago del mes de agosto/15</t>
  </si>
  <si>
    <t>Tradición en Pastelería, S.A. de C.V. junta 1° quincena de septiembre/15 MD</t>
  </si>
  <si>
    <t>Office Depot de México, S.A. de C.V., 150 copias carta</t>
  </si>
  <si>
    <t>Oficial Franco sector 07, por apoyo de retiro de una unidad en RM</t>
  </si>
  <si>
    <t>Griselda Peralta, propina valet parking</t>
  </si>
  <si>
    <t>Modatelas SAPI de C.V., compra de adornos para la caseta RM 15 de sept.</t>
  </si>
  <si>
    <t>Modatelas SAPI de C.V., compra de adornos para la caseta zb 15 de sept.</t>
  </si>
  <si>
    <t>Estacionamiento Corsa, S.A. de C.V. Griselda Peralta</t>
  </si>
  <si>
    <t>Office Max, compra de 2 cartuchos epson</t>
  </si>
  <si>
    <t>Griselda Peralta, pago de propina personal Globo y valet parking</t>
  </si>
  <si>
    <t xml:space="preserve">Pago a patrulla y afociales con vecino que tiro deshechos con vecino </t>
  </si>
  <si>
    <t>Marcelino Carrera Torres, reparación reja soldadura de barrotes, EZ y Cafetales</t>
  </si>
  <si>
    <t>Guardías y Custodías Privadas Gama, S.A. de C.V. pago 1° quincena septiembre/15</t>
  </si>
  <si>
    <t>Guardías y Custodias Privadas Gama, S.A. de C.V. pago 2° quincena agosto/15</t>
  </si>
  <si>
    <t>Artemio Mora Torres, pago de la 1° quincena del mes de septiembre/15</t>
  </si>
  <si>
    <t>Roberto Medina, recolección basura pago 1° quincena sept/15</t>
  </si>
  <si>
    <t>Marcelino Carrera Torres, 50% anticipo de 2 registros de coladeras del parque</t>
  </si>
  <si>
    <t>Advanced Servicio CCTV y Cómputo, cableado nuevo video y voltaje de 4 camaras</t>
  </si>
  <si>
    <t>Marcelino Carrera Torres, liq. 50% terminó de trabajos de dos registros</t>
  </si>
  <si>
    <t>Cadena Comercial Oxxo, compra de frituras para personal poda parque</t>
  </si>
  <si>
    <t>Cadena Comercial Oxxo, compra de refrescos para personal de caleo del parque</t>
  </si>
  <si>
    <t>Grisela Peralta, compra de tacos de guisados y refrescos para personal delegación</t>
  </si>
  <si>
    <t>Camión de basura, pago por recolectar basura en el fracciónamiento</t>
  </si>
  <si>
    <t>Grisela Peralta, compra de gasolina motores de cortadoras de árboles(tala y clareo)</t>
  </si>
  <si>
    <t>Grisela Peralta, 15 septiembre alimentos vigilancia</t>
  </si>
  <si>
    <t>Grisela Peralta, desayono tacos para el personal delegación clareo de árboles</t>
  </si>
  <si>
    <t>Cadena Comercial Oxxo, compra refrescos MD, vigilancia y personal delegación</t>
  </si>
  <si>
    <t>Grisela Peralta, compra de pizzas personal de vigilancia por apoyo varias labores</t>
  </si>
  <si>
    <t>Tecnoplaza Electrónica S.A. de C.V., doble forro negro CAT6.60 8 hilos 300 M</t>
  </si>
  <si>
    <t>Tecnoplaza Electrónica S.A. de C.V., biometrico asistencia X red 3000 huellas</t>
  </si>
  <si>
    <t>Marcelino Carrera Flores, A/C trabajos de herrería en un poste de LD</t>
  </si>
  <si>
    <t>Electropura, S de R.L. de C.V. compra de 4 garrafones de agua</t>
  </si>
  <si>
    <t>Comercializadora Caspin, S.A. de C.V. compra de pintura y materiales</t>
  </si>
  <si>
    <t>Home Depot México, S de R.L. de C.V. compra de 1 candado</t>
  </si>
  <si>
    <t>SAT Servicio de Administración Tributaría, pago del mes de septiembre/15</t>
  </si>
  <si>
    <t>Siegris Contadores Publicos, pago de honorarios septiembre/15</t>
  </si>
  <si>
    <t>Siegrist Contadores Publicos, pago de honorarios Julio/15</t>
  </si>
  <si>
    <t>Marcelino Carrera Flores liquidación de trabajos de herrería en poste de LD</t>
  </si>
  <si>
    <t>Administradora Auriga, S.A. de C.V. Griselda Peralta pago de gasolina</t>
  </si>
  <si>
    <t>Griselda Peralta, pago de estacionamiento notaría protocolización</t>
  </si>
  <si>
    <t>Ing. Alberto Mejía Saavedra, pago por la cinta reflejante blanco con rojo para la plum</t>
  </si>
  <si>
    <t>Cadena Comercial Oxxo, S.A. de, C.V. refrescos para persoanl delegación parque</t>
  </si>
  <si>
    <t>Cadena Comercial Oxxo, S.A. de, CV. Cuernitos para personal delegación parque</t>
  </si>
  <si>
    <t>Servicio Robledo, S.A. de C.V. Griselda Peralta, pago de gasolina</t>
  </si>
  <si>
    <t>Miguel Balderas, 3 kgs cemento, brocha, estopa, thinner</t>
  </si>
  <si>
    <t>Tradición en Pastelería, S.A. de C.V. junta 2° quincena de septiembre/15 MD</t>
  </si>
  <si>
    <t>Tradición en Pastelaría, S.A. de C.V propina y valet parking, junta quincenal</t>
  </si>
  <si>
    <t>Antelmo Chávez, sacar tierra de registro del parque</t>
  </si>
  <si>
    <t>Sistemas de Seguridad Electrónica, compra de 50 tarjetas  12/RF</t>
  </si>
  <si>
    <t>Dr. Oscar Roldan, pago de acumulado del Globo por juntas de la Mesa Directiva</t>
  </si>
  <si>
    <t>Administradora Auriga, S.A. de C.V. Miguel Angel Balderas pago de gasolina</t>
  </si>
  <si>
    <t>Antelmo Chávez, por trabajos de jardinería, en calle EP y CL</t>
  </si>
  <si>
    <t xml:space="preserve">Advanced Servicio CCTV y Cómputo, recomfiguración de 50 tarjetas </t>
  </si>
  <si>
    <t>Griselda Peralta, compra de agua y pastes junta delegación Mesa Directiva</t>
  </si>
  <si>
    <t>Griselda Peralta, estacionamiento delegación</t>
  </si>
  <si>
    <t>Roberto Miranda, pago por llevarse las bolsas de pasto de EZ y CL</t>
  </si>
  <si>
    <t>Patrulla 07, pago por apoyo de vigilancia</t>
  </si>
  <si>
    <t>Griselda Peralta, Cuemanco estacionamiento y propina</t>
  </si>
  <si>
    <t>Cadena Comercial Oxxo, S.A. de C.V. compra de aguas para MD y vigilancia</t>
  </si>
  <si>
    <t>Roberto Miranda, pago por recolección de basura en RM, EZ Y RV</t>
  </si>
  <si>
    <t>Advanced Servicio CCTV y Cómputo, restructuración de cableado video</t>
  </si>
  <si>
    <t>Advanced Servicio CCTV y Cómputo, No-breck 48116 140100782</t>
  </si>
  <si>
    <t xml:space="preserve">Gloria Mazzón, pago por 1 día de trabajo extraordinario </t>
  </si>
  <si>
    <t>Antelmo Chávez, pago por corte pasto den la Cuchilla y Estopila</t>
  </si>
  <si>
    <t>Electropura, S. de R.L. de C.V. compra de 4 garrafones de agua</t>
  </si>
  <si>
    <t>Papelería, enmicado de dos relaciónes de claves</t>
  </si>
  <si>
    <t>Roberto Medina, pago por limpieza Romeral y recolección de pasto de EZ y CL</t>
  </si>
  <si>
    <t>Roberto Medina, pago por recoleccion de basura de la 2° quincena de sept/15</t>
  </si>
  <si>
    <t>Pedro Cortes, pago por recolección de basura de todo el fraccionamiento sept/15</t>
  </si>
  <si>
    <t>Nueva Walmart de México, S. de R.L. de C.V. compra de papelería</t>
  </si>
  <si>
    <t>Griselda Peralta, pago de propina y estacionamiento</t>
  </si>
  <si>
    <t xml:space="preserve">Home Depot México S. de R.L. de C.V., compra de 1 candado </t>
  </si>
  <si>
    <t>Miguel Angel, dio mal el cambio le falto la cantidad de $ 21</t>
  </si>
  <si>
    <t>Advanced Servicio CCTV y Cómputo, reparación cableado sistema iluminación</t>
  </si>
  <si>
    <t>Advanced Servicio CCTV y Cómputo, venta de dimmer AC3 , fuente energia y 6 conec</t>
  </si>
  <si>
    <t>Cadena Comercial Oxxo, compra de agua y refrescos mesa directiva</t>
  </si>
  <si>
    <t>Electropura, S. de R.L. de C.V., compra de 5 garrafones</t>
  </si>
  <si>
    <t>Pemex, S.A. de C.V., junta Mesa Directiva Elena Osorio</t>
  </si>
  <si>
    <t>Nueva Walmart de México, S. de R.L. de C.V. vasos, platos, pan y refrescos parques y j</t>
  </si>
  <si>
    <t>Estacionamiento Walmart</t>
  </si>
  <si>
    <t>Centro de copiado y papalería, 3600 copias t carta reporte trimestral Mesa Directiva</t>
  </si>
  <si>
    <t>Ramiro Pérez, trabajo de electricidad en la camara de 360°</t>
  </si>
  <si>
    <t>Ivan Luna, honorarios a patrulla 07 por traer policia vial con trafitambos</t>
  </si>
  <si>
    <t>Electropura, S. de R.L. de C.V., compra de 4 garrafones</t>
  </si>
  <si>
    <t>Papelería, enmicado y cinta canela letrero temporal Zinamba</t>
  </si>
  <si>
    <t>Eestacionamiento Cuemanco compra material de papelería</t>
  </si>
  <si>
    <t>Pedro Cortes, pago por recolección de basura fin de semana</t>
  </si>
  <si>
    <t>Ing. Jorge Vazquez, respaldo de una videograbación y codificar 4 tarjetas electrónicas</t>
  </si>
  <si>
    <t>Sabine Pérez González, pago alimetno Parque y jardines, poda de parque</t>
  </si>
  <si>
    <t>Advanced Servicio CCTV y Cómputo, pago de 1 placa de alimentación 12 volts y 5 volts</t>
  </si>
  <si>
    <t>Home Depot México S. de R.L. de C.V., tapa boca para trabajadores parque</t>
  </si>
  <si>
    <t>Cadena Comercial Oxxo, compra de refrescos para trabajadores parque poda</t>
  </si>
  <si>
    <t>Servicio del Hueso Gasolina para 15 maquinas cortadoras de cesped parque</t>
  </si>
  <si>
    <t>Cadena Cormecial Oxxo, compra de refrescos para trabajadores parque poda</t>
  </si>
  <si>
    <t>Advanced Servicio CCTV y  Cómputo, honorarios por reparación de DVR</t>
  </si>
  <si>
    <t>Advanced Servicio CCTV y Cómputo, Reparación conexión dos camaras RM</t>
  </si>
  <si>
    <t>Advanced Servicio CCTV y Cómputo, respaldo USB busqueda tipos</t>
  </si>
  <si>
    <t>Nueva Walmart de México, S. de R.L. de C.V. compra material de limpeza</t>
  </si>
  <si>
    <t>Telefonos de México, SAB de C.V. pago del mes de septiembre/15</t>
  </si>
  <si>
    <t>Servicio Robledo S.A. compra de gasolina camión delegación carga de pasto</t>
  </si>
  <si>
    <t>Renato Muñoz, compra de gasolina para maquinas cortadoras de pasto</t>
  </si>
  <si>
    <t>Propimex, S. de R.L. de C.V. 1 paquete de refrescos para personal de poda de jardin</t>
  </si>
  <si>
    <t>Roberto Medina, pago por recolección basura de la 1° quincena de octubre/15</t>
  </si>
  <si>
    <t xml:space="preserve">Mario Martínez, trabajo extra por trafitambos </t>
  </si>
  <si>
    <t xml:space="preserve">Nueva Walmart de México, S. de R.L. de C.V., compra de papelería             </t>
  </si>
  <si>
    <t>Cuemanco estacionamiento, compras de material de limpieza</t>
  </si>
  <si>
    <t>Artemio Mora Torres,, pago de la 1° quincena del mes octubre/15</t>
  </si>
  <si>
    <t>Guardías y Custodías Privadas Gama, S.A. de C.V. pago 1° quincena octubre/15</t>
  </si>
  <si>
    <t>Gloria Mazzón, pago por captura de datos día sabado 10 de octubre lista de cobranza</t>
  </si>
  <si>
    <t>Cualli Gasolinera, gasolina para 6 maquinas podadoras del parque</t>
  </si>
  <si>
    <t>Sabina y Manuel Flores Perez , pago de comida semana personal del parque y jardin</t>
  </si>
  <si>
    <t>Camión basura, recolección basura, fraccionamiento domingo</t>
  </si>
  <si>
    <t>Carmelo, vigilante que dio mantenimiento a las bicicletas del fraccionamiento</t>
  </si>
  <si>
    <t>Estacionamiento Gransur compra de llaves para fraccionamiento</t>
  </si>
  <si>
    <t>Cerrajería Gran Sur compra de 500 llaves para fraccionamiento</t>
  </si>
  <si>
    <t>Estacionamiento Tradición en Pastelería, S.A. de C.V.</t>
  </si>
  <si>
    <t>Olegario Vázquez, pago por trabajos de jardinería de la caseta de RM</t>
  </si>
  <si>
    <t>Baldemar Sala Bay, pago por adeudo de la MD en el cierre del mes de agosto/15</t>
  </si>
  <si>
    <t>Electropura, S. de R.L. de C.V. compra de 6 garrafones de agua</t>
  </si>
  <si>
    <t>Cadena comercial Oxxo, S.A. de C.V. compra de refrescos para parque y jardines y MD</t>
  </si>
  <si>
    <t>Cerrajería y Plomería Azul, 3 duplicados de llaves</t>
  </si>
  <si>
    <t>Luis Hernández, anticipo 50% por trabajos de herrerían el el paso entre camaras y plum</t>
  </si>
  <si>
    <t xml:space="preserve">Federico Medina, compra de gasolina camión carga y 6 galones cuadrilla </t>
  </si>
  <si>
    <t>SAT Servicio de Administración Tributaria, pago del mes de Octubre/15</t>
  </si>
  <si>
    <t>Estacionamiento, visita al contador Siegris</t>
  </si>
  <si>
    <t>Griselda Peralta, compra de paraguas para la cobranza de la Mesa Directiva</t>
  </si>
  <si>
    <t>Sr. Manuel vigilante, pago de mantenimiento de la calle del Hueso sin anuncios</t>
  </si>
  <si>
    <t>Protección y Seguridad Industrial, S.A. de C.V.recarga extintor</t>
  </si>
  <si>
    <t>Jose Luis Hernández, Tapar un pedaso de parque con pasto y tierra</t>
  </si>
  <si>
    <t>Siegrist Contadores Publicos, pago de honorarios profesionales de octubre/15</t>
  </si>
  <si>
    <t>Tradición en Pastelería, S.A. de C.V. junta quincenal Mesa Directiva</t>
  </si>
  <si>
    <t>Sabina Pérez González, comida d trabajadores del paque y jardines poda</t>
  </si>
  <si>
    <t>Electropura, S. de R.L. de C.V. pago de 5 garrafones de agua</t>
  </si>
  <si>
    <t>Ing. Jorge Vazquez, pago de 1 respaldo de videograbacion UP_79</t>
  </si>
  <si>
    <t>Advanced Servicio CCTV y Cómputo, pago de bloqueo de tarjetas e desboquer de TE</t>
  </si>
  <si>
    <t>Luis Hernández, A/C de cerrajería, en EZ $ 400, y A/C DE Herrería UP y CL</t>
  </si>
  <si>
    <t>Camion de Basura, recolección de basura el trecer domingo de cotubre</t>
  </si>
  <si>
    <t>Oficial Franco, por resguardad al Herrero la semana que realizo los hoyos en LD y RM</t>
  </si>
  <si>
    <t>Office Depot de México, S.A. de C.V., compra de tuner brother</t>
  </si>
  <si>
    <t>El Bollo, compra de bocadillos, Mesa Directiva cobranza y Persoanal Delegación</t>
  </si>
  <si>
    <t>Cadena comercial Oxxo, S.A. de C.V., compra refrescos y aguas Mesa Directiva</t>
  </si>
  <si>
    <t>Angelica, compra de galletas, pastes y polvorones para  junta MD y Comité Vecinal</t>
  </si>
  <si>
    <t>Sr. Gaston, poda de árboles y sacar tronco del fraccionamiento</t>
  </si>
  <si>
    <t>Paletería Bodon, S.A. de C.V., compra de dulces ofrenda 01 noviembre/15</t>
  </si>
  <si>
    <t>Paletería Bodon, S.A. de C.V., compra de dulces ofrenda 30 octubre/15</t>
  </si>
  <si>
    <t>Paletería Bodon, S.A. de C.V., compra de dulces para dar a niños en fraccionamiento</t>
  </si>
  <si>
    <t>Grisela Peralta Portugal, compras varias para evento del 30/octubre/15 kiosko</t>
  </si>
  <si>
    <t>Estacionamiento Portales, compra para evento del 30 de octubre</t>
  </si>
  <si>
    <t>Hector Vazquez, pago por apoyo entrega circulares del día de muertos</t>
  </si>
  <si>
    <t>Estacionamiento calzada del hueso plaza</t>
  </si>
  <si>
    <t>Bolsas, para forrar poster invitación a evento</t>
  </si>
  <si>
    <t>Omega centro de copiado y papelería, 10 copias tamaño carta</t>
  </si>
  <si>
    <t>Omega centro de copiado y papelería, 1500 copias tamaño carta</t>
  </si>
  <si>
    <t>Electropura, S. de R.L. de C.V., compra de 4 garrafones de agua</t>
  </si>
  <si>
    <t>Administradora Auriga, S.A. de C.V. compra de gasolina Grisela Peralta</t>
  </si>
  <si>
    <t>Pastelaría Bodon, S.A. de C.V. compra de dulces para repartir niños kiosko</t>
  </si>
  <si>
    <t>Distribuidora Grammi, S.A. de C.V. candados y cadenas para 4 trafitambos vialidad ZB</t>
  </si>
  <si>
    <t>Distribuidora Grammi, S.A. de C.V. compra de 4 candados de alta seguridad kiosko</t>
  </si>
  <si>
    <t>Luis Hernández Liquidación 50% por trabajos de herrería en la puerta de ZB</t>
  </si>
  <si>
    <t>Luis Hernández pago por trabajos de electicidad, alumbrado del kiosko</t>
  </si>
  <si>
    <t>Gloria Mazzón, pago de captura de ingresos y egresos</t>
  </si>
  <si>
    <t>Grisela Peralta, compensación otorgada por el trabajo de presidente MD 2° quincena</t>
  </si>
  <si>
    <t>Griselda Peralta Portugal, compensación otorgada por el trabajo de presidente MD</t>
  </si>
  <si>
    <t>Electropura, S. de R.L. de C.V., compra de 1 garrafón de agua</t>
  </si>
  <si>
    <t>Olegario Vázquez, por apoyo en adornar kiosco</t>
  </si>
  <si>
    <t>Helen Osorio, pago por aseo de kiosco con pino y cloro que hay que reponer</t>
  </si>
  <si>
    <t>Fernando Vázquez, Pago de catrinas para la ofrenda del kiosco</t>
  </si>
  <si>
    <t>Ferre Electrica Díaz, compra de material electrico para el alumbrado del kiosco</t>
  </si>
  <si>
    <t>Olegario Vázquez, pago apoyo en la iluminación del kiosco poner cableado</t>
  </si>
  <si>
    <t>Panadería La Esperanza, S.A. de C.V., compra de paletas de bombon detalles kiosco</t>
  </si>
  <si>
    <t>Panadería La Esperanza, S.A. de C.V., compra de galletas junta acuerdo entrega kiosco</t>
  </si>
  <si>
    <t>Mercado de las Flores Cuemanco, para adornar el altar del kiosco</t>
  </si>
  <si>
    <t>Panerías La Esperanza, compra de pan de muerto para la ofrenda del kiosco</t>
  </si>
  <si>
    <t>Pedro Cortes, pago por recolección de basura del mes de octubre/15</t>
  </si>
  <si>
    <t>Pedro Cortes, pago por recolección de pasto del jardin del fraccionamiento</t>
  </si>
  <si>
    <t>Omega centro de copiado y papelería, 200 copias, 3 copias doble carta  y 1 disco</t>
  </si>
  <si>
    <t>José Luis López, a/c de corte de pasto en RV será un total de $350</t>
  </si>
  <si>
    <t>Omega centro de copiado y papelelría, 4 pliegos de papael crepe</t>
  </si>
  <si>
    <t>Roberto Medina, pago por recolección basura de la 2° quincena de octubre/15</t>
  </si>
  <si>
    <t>Artemio Mora Torres,, pago de la 12° quincena del mes octubre/15</t>
  </si>
  <si>
    <t>Herrería Janiel, soldar una base al tubo que sirve de señalización, para estacionarse ZB</t>
  </si>
  <si>
    <t>Fuente Plaza, A.C. estacionamiento tesoreria</t>
  </si>
  <si>
    <t>Office Depot de México, S.A. de C.V., compra papelería, varios</t>
  </si>
  <si>
    <t>Cadena Comercial Oxxo, S.A. de C.V. compra de refrescos vigilancia y MD</t>
  </si>
  <si>
    <t>Nueva Walmart de Méxco, S. de R.L. de C.V. compra de hojas blancas para MD</t>
  </si>
  <si>
    <t>Ing. Jorge Vázquez, pago 1 respaldo de videograbación a USB</t>
  </si>
  <si>
    <t>Guardías y Custodías Privadas Gama, S.A. de C.V. pago 2° quincena octubre/15</t>
  </si>
  <si>
    <t>Nueva Walmart de México, S. de R.L. de C.V. compra de 1 mesa pleglable MD</t>
  </si>
  <si>
    <t>Estacionamiento Cuemanco, pago estacionamiento compra 1 mesa plegable</t>
  </si>
  <si>
    <t>Patrulla 007, pago oficial franco por ayuda en supervisión de hoyos en UP y CL</t>
  </si>
  <si>
    <t>Telefonos de México, S.A. de C.V., pago telefono del mes de octubre/15</t>
  </si>
  <si>
    <t>Gloria Mázzón, pago por captura de datos, egresos e ingresos</t>
  </si>
  <si>
    <t>Judith Villafaña Perez, compra de 1 café para la mesa directiva</t>
  </si>
  <si>
    <t>Camión de Basura, recolección de basura del fin de semana</t>
  </si>
  <si>
    <t>Tiendas Chedraui, S.A. de C.V. compra de material de limpieza</t>
  </si>
  <si>
    <t>Ing. Jorge Vázque, pago de reparación de pluma vehicular salida extención etc</t>
  </si>
  <si>
    <t>Advanced, Servicio CCTV y Cómputo, venta de 2 metros de neopreno para sujeción</t>
  </si>
  <si>
    <t xml:space="preserve">Advanced, Servicio CCTV y Cómputo compra de 1 encoder  ajuste de  pluma </t>
  </si>
  <si>
    <t>Patrulla 007, pago por apoyo a patrullaje en la colonia Haciendas de Coyoaca</t>
  </si>
  <si>
    <t>Roberto Miranda, pago 1er quincena por recolección de basura del fraccionamiento</t>
  </si>
  <si>
    <t>Ing. Jorge Vázquez, camio de junta a camaras tipo snorkel de ZB</t>
  </si>
  <si>
    <t>Roberto Miranda, pago por apoyo por barrer Romeral</t>
  </si>
  <si>
    <t>José Antonio Martínez, Pago por apoyo en trafitambos y marcar llaves de la puerta</t>
  </si>
  <si>
    <t>Artemio Mora Torres, pago de la 1er semana del mes de noviembre/15</t>
  </si>
  <si>
    <t>Guardías y Custodías Privadas Gama, S.A. de C.V. pago 1° quincena noviembre/15</t>
  </si>
  <si>
    <t>Fuentes Plaza, A.C. estacionamiento visita notaría</t>
  </si>
  <si>
    <t>SAT Servicio de Administración Tributaria, pago mes de noviembre/15</t>
  </si>
  <si>
    <t>Siegrist Contadores Publicos, pago de honorarios profesionales de noviembre/15</t>
  </si>
  <si>
    <t>Estacionamiento visita condatod Siegrist</t>
  </si>
  <si>
    <t>Ing. Jorge Vázquez, pago de 2 respaldos  y 1 USB 8 GB de Upacuaro #46</t>
  </si>
  <si>
    <t>Ing. Jorge Vázquez, pago de matarials para camaras</t>
  </si>
  <si>
    <t>Ing. Jorge Vázquez, pago de 1 respaldo de video del parque</t>
  </si>
  <si>
    <t>Tradición en Pastelería, S.A. de C.V. sexta junta MD del mes de noviembre</t>
  </si>
  <si>
    <t>Grisela Peralta, compensación a trabajadores que arreglaron las luminarías colonia</t>
  </si>
  <si>
    <t>Pedro Cortes, pago por recolección de basura y llevarse las ramas de un árbol</t>
  </si>
  <si>
    <t>Grisela Peralta, pago de recorte de pasto en caseta RV y bolsas de basura</t>
  </si>
  <si>
    <t>Ing. Jorge Vázquez, reubicación de camara en LD esq. RM</t>
  </si>
  <si>
    <t>Ing. Jorge Vázquez, reparación y mantenimiento de 2 camaras tipo caja BNC LD y ZB</t>
  </si>
  <si>
    <t>Ing. Jorge Vázquez, cableado y reubicación de 2 camaras en UP y cambio de fuente</t>
  </si>
  <si>
    <t xml:space="preserve">Advanced Servicio CCTV y Cómputo, compra de 1 adaptador de CA de 110 </t>
  </si>
  <si>
    <t>José Luis López, pago de corte de pasto</t>
  </si>
  <si>
    <t xml:space="preserve">Patrulla 007, pago por apoyo en insidente afuera de Calzada Hueso </t>
  </si>
  <si>
    <t>Luis Hernández, pago por repración de chapa en Estopila</t>
  </si>
  <si>
    <t xml:space="preserve">Roberto Miranda, pago por recolección basura fracc. </t>
  </si>
  <si>
    <t>Roberto Miranda, pago por recolección basura de Romeral</t>
  </si>
  <si>
    <t>Pedro Cortes, pago por recolección de basura en el fracc entre semana</t>
  </si>
  <si>
    <t>Electropura, S. de R.L. de C.V. compra de 5 garrafones</t>
  </si>
  <si>
    <t>Ing. Jorge Vázque, un respaldo daños a UP 50 tsuro blanco estacionado</t>
  </si>
  <si>
    <t>Martín Bejarano, pago por trabajos de iluminación</t>
  </si>
  <si>
    <t>Martín Bejarano, reparación corto en Zinampa</t>
  </si>
  <si>
    <t>Tecnoplaza Electrónica, S.A. de C.V., compra de bullet AHD, baluns y fuente</t>
  </si>
  <si>
    <t>Artemio Mora Torres, pago de la 2° quincena del mes de noviembre/15</t>
  </si>
  <si>
    <t>Guardías y Custodias Privadas Gama, S.A. de C.V. pago 2° quincena noviembre/15</t>
  </si>
  <si>
    <t>Marío Martínez, pago compesnación de apoyo extra por trafitambos y reparción</t>
  </si>
  <si>
    <t>Advance, Servico CCTV y Cómputo, compra de bote de aire comprimido y lubricante</t>
  </si>
  <si>
    <t>Tecnoplaza Electrónica, S.A. de C.V. compra de cable doble forro negro</t>
  </si>
  <si>
    <t>Telefonos de México, S.A.B. de C.V. pago del mes de noviembre/15</t>
  </si>
  <si>
    <t>Fuentes Plaza, A.C. estacionamiento notaría</t>
  </si>
  <si>
    <t>Patrulla 007, comandante franco conpensación por rondines por apoagon en parque</t>
  </si>
  <si>
    <t>Ing. Jorge Vázquez, reparación de DVR caseta ZB, falla intermitente en puertos</t>
  </si>
  <si>
    <t>Papelería, compra de 1 pritt</t>
  </si>
  <si>
    <t>Martín Bejarano, pago a trabajadores del arreglo de luz parque</t>
  </si>
  <si>
    <t>Ing. Jorge Vázquez, centro de carga de camara autech tipo caja</t>
  </si>
  <si>
    <t>Lic. Guadalupe Guerrero Guerrero, pago de la protocolización Mesa Directiva</t>
  </si>
  <si>
    <t>Super Servicio Coapa, S.A. de C.V. gasolina Griselda Peralta</t>
  </si>
  <si>
    <t>Ing. Jorge Vázquez, reparación de camara Autech tipo caja profesional</t>
  </si>
  <si>
    <t>Ing. Jorge Vázquez, Instalación de camara y cableado calle RV</t>
  </si>
  <si>
    <t>Gustavo Gil, Pago por reparacion de Luiz en parque del fraccionamiento</t>
  </si>
  <si>
    <t>Grisela Peralta, compra de café y refrescos a señores del alumbrado público</t>
  </si>
  <si>
    <t>Ing. Jorge Vázquez, compra de una camara profesional marca CNB tipo caja</t>
  </si>
  <si>
    <t>Gloria Mazzón, pago por captura de datos, egresos e ingresos</t>
  </si>
  <si>
    <t>Jose Luis Vázquez, Instalación de camara en RV y Cafetales</t>
  </si>
  <si>
    <t>Electropura, S. de R.L. de C.V., compra de 6 garrafones</t>
  </si>
  <si>
    <t>Grisela Peralta, compra de adornos navideños para las dos casetas fraccionamiento</t>
  </si>
  <si>
    <t>Estacionamiento Plaza Colombia, compra de adornos navideños</t>
  </si>
  <si>
    <t>Administradora Auriga, S.A. de C.V. grisela peralta compra de gasolina</t>
  </si>
  <si>
    <t>Cadena Comercial Oxxo, S.A. de C.V. compra de agua y refrescos MD</t>
  </si>
  <si>
    <t>Grisela Peralta, compra de masquin para adornar casetas</t>
  </si>
  <si>
    <t>Imagen Publicitaría, compra de 400 recibos de cuotas del fraccionamiento</t>
  </si>
  <si>
    <t>Bubu, compra de piñatas para la posada del fraccionamiento</t>
  </si>
  <si>
    <t>Sr. Raúl, pago por recolección de basura fin de semana</t>
  </si>
  <si>
    <t>Imagen Publicitaría, una lona y 200 copias para el fraccionamiento invietación posad</t>
  </si>
  <si>
    <t>Ing. Jorge Vázquez, pago de 1 respaldo en USB UP_54</t>
  </si>
  <si>
    <t>Ing. Jorge Vázquez, Mano de obra por reparación de 7 camaras situadas en parque</t>
  </si>
  <si>
    <t>Ing. Jorge Vázquez, compra de cable para dlupex cal-14</t>
  </si>
  <si>
    <t>Olegarío Vázquez, corte de pasto en casetas</t>
  </si>
  <si>
    <t>Electropura, S. de R,L, de C,V, compra de 2 garrafones de agua</t>
  </si>
  <si>
    <t>SAT Servicio de Administración Tributaría, pago del mes de diciembre/15</t>
  </si>
  <si>
    <t>SAT Servciode Administración Tributaría, pago mes de junio/15</t>
  </si>
  <si>
    <t>Siegrist Contadores Públicos pago mes diciembre/15 y anualidad 2015</t>
  </si>
  <si>
    <t>Grisela Peralta. Pago estaciónamiento visita al contador Siegrist</t>
  </si>
  <si>
    <t>Adcoapa, S.A. de C.V., estacionameinto presupuesto de lona</t>
  </si>
  <si>
    <t>Farmacias nacionales, pago de doctor y medicamentos al Sr. Olegarío Vigilancia</t>
  </si>
  <si>
    <t>Grisela Peralta, comra de velas y 2 piñatas para la posada del kiosko</t>
  </si>
  <si>
    <t>Cemtro de copiado y papelería, 450 copias t.c. y 1 cd grabado</t>
  </si>
  <si>
    <t>Servicio el Hueso S.A. de C.V., compra gasolina Grisela Peralta</t>
  </si>
  <si>
    <t>Estacionamiento Cuemanco, entrega de lona</t>
  </si>
  <si>
    <t>Electropura, S. de R.L. de C.V., compra de 5 garragones de agua</t>
  </si>
  <si>
    <t>Gloria Mazzón, por concepto de aniguinaldo del 2015</t>
  </si>
  <si>
    <t>Grisela Peralta, entrega de aguinaldo a vigilancia (13 vigilantes)</t>
  </si>
  <si>
    <t>Juan Pablo Vázquez, doblado de invitaciones y repartirlas en todo el fraccionamiento</t>
  </si>
  <si>
    <t>El Paricutin, compra de pollos para la comida de vigilancia, entrega de vales despen</t>
  </si>
  <si>
    <t>Convertipap, compra de deshechables para comida de vigilancia</t>
  </si>
  <si>
    <t>Cadena Comercial Oxxo, S.A. de C.V. compra de refrescos para comida vigilancia</t>
  </si>
  <si>
    <t>Cadena Comercial Oxxo, S.A. de C.V., compra de refrescos para  comida de vigilanc</t>
  </si>
  <si>
    <t>Cadena Comercial Oxxo, S.A. de C.V. compra de deshechables para comida vigilanc</t>
  </si>
  <si>
    <t>Papelaría P¨Kas, compra de 1 USB</t>
  </si>
  <si>
    <t>Roberto Miranda, pago por recolección de basura de la 1er quincena diciembre/15</t>
  </si>
  <si>
    <t>Roberto Miranda, pago por barrer calle Romeral</t>
  </si>
  <si>
    <t>Artemio Mora Torres, pago de la 1° quincena del mes de diciembre/15</t>
  </si>
  <si>
    <t>Estacionamiento Cuemanco,  mandar hacer lona</t>
  </si>
  <si>
    <t>Guardias y Custodías Privadas Gama, S.A. de C.V. pago 1° quincena diciembre/15</t>
  </si>
  <si>
    <t>Gustavo Gil, pago por cambio de lampara y fotocelda</t>
  </si>
  <si>
    <t>Luis Hernández, pago por trabajo de reparación de la reja de Romeral puerta princi</t>
  </si>
  <si>
    <t>Modatelas SAPI de C.V., compra colgantes navideños para adornar kiosko</t>
  </si>
  <si>
    <t>Art. De temporada González, compra de 6 faroles para adornor kiosko</t>
  </si>
  <si>
    <t>Estacionamiento y propina para compra de adonrnos kiosko</t>
  </si>
  <si>
    <t>Modatelas SAPI, de C.V.,compra de adornos navideños para adornar kiosko</t>
  </si>
  <si>
    <t>Ing. Jorge Luis Vazquéz, compra de fransformador para camaras (7)</t>
  </si>
  <si>
    <t>Servicio Robledo, S.A. de C.V., gasolina Grisela Peralta</t>
  </si>
  <si>
    <t>Operadora Central de estacionamientos SAPI de C.V. fantasias Miguel</t>
  </si>
  <si>
    <t>Fantasías Miguel, compra de bolsas de celofan, ligas y liston para aguinaldos</t>
  </si>
  <si>
    <t>Pastelería Bodon, S.A. de C.V., compra de dulces para aguinaldos posada kiosko</t>
  </si>
  <si>
    <t>Estacionamiento Cuemanco, Grisela Peralta</t>
  </si>
  <si>
    <t>Office Depot, S.A. de C.V., compra de papelería</t>
  </si>
  <si>
    <t xml:space="preserve">Advance, Servicio CCTV y Cómputo, compra de material eléctrico para lineas </t>
  </si>
  <si>
    <t>Nueva Walmart de México, S. de R.L. de C.V. compra de materiales de limpieza</t>
  </si>
  <si>
    <t>José Mauel Olivares, pago por apoyo trabajos en kiosko colocar adornos</t>
  </si>
  <si>
    <t>Electropura, S. de R.L. de C.V., compra de 4 garafones de agua</t>
  </si>
  <si>
    <t>Elena Osorio, pago por arreglar kiosko en cuestion limpieza</t>
  </si>
  <si>
    <t>Roberto Miranda, pago por recolección de basura parque</t>
  </si>
  <si>
    <t>Grisela Peralta, Compras varias para posada kiosko</t>
  </si>
  <si>
    <t>Centro de Copiado y Papelería, copias</t>
  </si>
  <si>
    <t>Jóse Manuel Olivares, pago en apoyo en limpieza kiosko a fondo y retirar lonas</t>
  </si>
  <si>
    <t>Sabine Peréz, comida para oficiales que estan ayudando en la busqueda de vecino</t>
  </si>
  <si>
    <t>Así Dulces, S.A. de C.V., compra de 2 cucharas para ponche</t>
  </si>
  <si>
    <t>Daniel Linares, compra de tacos de canasta para posada en kiosko</t>
  </si>
  <si>
    <t>Pedro Cortes, pago por recolección basura fin de semana</t>
  </si>
  <si>
    <t>Grisela Peralta, compra de peregrinos que se rifaron en kiosko</t>
  </si>
  <si>
    <t>Mercado San Judas, compra varias posada kiosko</t>
  </si>
  <si>
    <t>Sabine Peréz, pago por preparación de ponche</t>
  </si>
  <si>
    <t>Cadena Comercial Oxxo, S.A. de C.V. compra de refrescos y aguas MD</t>
  </si>
  <si>
    <t xml:space="preserve">Roberto Medina, pago navideño por parte del fraccionamiento por un excelente </t>
  </si>
  <si>
    <t>Imagen Publicitaría, compra de 1 lona para ZB para informar que días permanece</t>
  </si>
  <si>
    <t>Materiales y Tlapalería Metropolitana, compra de material para arreglar entrada RM</t>
  </si>
  <si>
    <t>Cadena comercial Oxxo, S.A. de C.V. compra de refrescos para cena navideña vigilan</t>
  </si>
  <si>
    <t>Cadena comercial Oxxo, S.A. de C.V. compra de botanas cena navideña vigilancia</t>
  </si>
  <si>
    <t>Virgínia Sánchez pago por hacer cena navideña a 5 elemento de vigilancia</t>
  </si>
  <si>
    <t>Pedro Cortes, pago de navidad por eccelente servicio de recoleccion basura fracc</t>
  </si>
  <si>
    <t>Gloria Mazzón Soto, pago por concepto de captura de datos</t>
  </si>
  <si>
    <t>José Manuel Olivares, pago por trabajo de aplanado entrade caseta RM</t>
  </si>
  <si>
    <t>Olegario Vázquez, pago por poda de árbol entrada de Romeral</t>
  </si>
  <si>
    <t>José Luis López, funigación de árbol en la entrada de Romeral en vigilancia</t>
  </si>
  <si>
    <t>José Manuel Olivares, pago a camión por llevarse carga de saco de escombros</t>
  </si>
  <si>
    <t>Compra candado, candado para reja de computadora DVD caset Zinampa</t>
  </si>
  <si>
    <t>Roberto Miranda, pago 2da. Quincena del mes de diciembre/15 por recoleccion y b</t>
  </si>
  <si>
    <t>Pedro Cortes, pago del mes de diciembre por recolección de basura de lunes a viern</t>
  </si>
  <si>
    <t>Artemio Mora Torres, pago 2° quincena del mes de diciembre/15</t>
  </si>
  <si>
    <t>Guardias y Custodias Privadas Gama, S.A. de C.V. pago 2° quincena del mes de dic/15</t>
  </si>
  <si>
    <t>Grisela Peralta Portugal, compensación en calidad de presedente MD 2da quincena</t>
  </si>
  <si>
    <t>Estacionamiento Cuemanco, recoger lona</t>
  </si>
  <si>
    <t>Imagen Publicitaria, compra 2 lonas para informar a vecinos los días de cierre en pue</t>
  </si>
  <si>
    <t>Cadena Comercial Oxxo, S.A. de C.V. compra de aguas en la espera del banco Inbursa</t>
  </si>
  <si>
    <t>Ing. Jorge Luis Vazquéz, compra de una camara nueva profesional macra CUB Monalis</t>
  </si>
  <si>
    <t>Ing. Jorge Luis Vázquez, pago de 1 respaldo de video en USB caseta Zinampa</t>
  </si>
  <si>
    <t>Tlapalería, compra de 1 candado para puerta de Zinampa</t>
  </si>
  <si>
    <t>Tlapalería Los Leones, compra de 1 candodo y 1 cadena</t>
  </si>
  <si>
    <t>Sra. Julie, comida de fin de año para vigilantes</t>
  </si>
  <si>
    <t>Papelería P"kas, compra de 200 hojas.</t>
  </si>
  <si>
    <t>Nueva Walmart de México, S. de R.L. de C.V. compra refrescos comida fin de año vigi</t>
  </si>
  <si>
    <t>Nueva Walmart de México, S. de R.L. de C.V. compra botanas comida fin de año vigi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</si>
</sst>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_-;\-* #,##0.00_-;_-* &quot;-&quot;??_-;_-@_-"/>
    <numFmt numFmtId="165" formatCode="_-* #,##0_-;\-* #,##0_-;_-* &quot;-&quot;??_-;_-@_-"/>
    <numFmt numFmtId="166" formatCode="dd\-mm\-yy;@"/>
    <numFmt numFmtId="167" formatCode="#,##0.00_ ;\-#,##0.00\ "/>
    <numFmt numFmtId="168" formatCode="d/mm/yy;@"/>
    <numFmt numFmtId="169" formatCode="dd/mm/yy;@"/>
    <numFmt numFmtId="170" formatCode="#,##0.00;[Red]\(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165" fontId="3" fillId="2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49" fontId="0" fillId="5" borderId="0" xfId="0" applyNumberFormat="1" applyFill="1" applyAlignment="1">
      <alignment horizontal="left"/>
    </xf>
    <xf numFmtId="166" fontId="0" fillId="7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2" fillId="7" borderId="1" xfId="0" applyNumberFormat="1" applyFont="1" applyFill="1" applyBorder="1" applyAlignment="1">
      <alignment horizontal="center"/>
    </xf>
    <xf numFmtId="39" fontId="3" fillId="2" borderId="0" xfId="1" applyNumberFormat="1" applyFont="1" applyFill="1" applyAlignment="1">
      <alignment vertical="center"/>
    </xf>
    <xf numFmtId="15" fontId="6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7" fontId="3" fillId="2" borderId="0" xfId="1" applyNumberFormat="1" applyFont="1" applyFill="1" applyAlignment="1">
      <alignment horizontal="center" vertical="center"/>
    </xf>
    <xf numFmtId="4" fontId="0" fillId="5" borderId="0" xfId="0" applyNumberFormat="1" applyFill="1"/>
    <xf numFmtId="167" fontId="3" fillId="2" borderId="0" xfId="1" applyNumberFormat="1" applyFont="1" applyFill="1" applyAlignment="1">
      <alignment vertical="center"/>
    </xf>
    <xf numFmtId="166" fontId="0" fillId="5" borderId="0" xfId="0" applyNumberForma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0" xfId="0" applyFill="1"/>
    <xf numFmtId="15" fontId="2" fillId="9" borderId="1" xfId="0" applyNumberFormat="1" applyFont="1" applyFill="1" applyBorder="1" applyAlignment="1">
      <alignment horizontal="center"/>
    </xf>
    <xf numFmtId="17" fontId="2" fillId="9" borderId="1" xfId="0" applyNumberFormat="1" applyFont="1" applyFill="1" applyBorder="1" applyAlignment="1">
      <alignment horizontal="center"/>
    </xf>
    <xf numFmtId="17" fontId="2" fillId="6" borderId="1" xfId="0" applyNumberFormat="1" applyFont="1" applyFill="1" applyBorder="1" applyAlignment="1">
      <alignment horizontal="center"/>
    </xf>
    <xf numFmtId="15" fontId="2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7" fontId="6" fillId="8" borderId="1" xfId="0" applyNumberFormat="1" applyFont="1" applyFill="1" applyBorder="1" applyAlignment="1">
      <alignment horizontal="center"/>
    </xf>
    <xf numFmtId="166" fontId="4" fillId="8" borderId="0" xfId="0" applyNumberFormat="1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Border="1"/>
    <xf numFmtId="49" fontId="4" fillId="8" borderId="0" xfId="0" applyNumberFormat="1" applyFont="1" applyFill="1"/>
    <xf numFmtId="168" fontId="4" fillId="8" borderId="0" xfId="0" applyNumberFormat="1" applyFont="1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 applyFill="1"/>
    <xf numFmtId="4" fontId="0" fillId="0" borderId="0" xfId="0" applyNumberFormat="1" applyFill="1"/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/>
    </xf>
    <xf numFmtId="4" fontId="0" fillId="0" borderId="0" xfId="0" applyNumberFormat="1" applyFill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2" fillId="10" borderId="1" xfId="0" applyNumberFormat="1" applyFont="1" applyFill="1" applyBorder="1" applyAlignment="1">
      <alignment horizontal="center"/>
    </xf>
    <xf numFmtId="17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" fontId="2" fillId="10" borderId="1" xfId="0" applyNumberFormat="1" applyFont="1" applyFill="1" applyBorder="1" applyAlignment="1">
      <alignment horizontal="center"/>
    </xf>
    <xf numFmtId="0" fontId="0" fillId="10" borderId="0" xfId="0" applyFill="1"/>
    <xf numFmtId="15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7" fontId="2" fillId="11" borderId="1" xfId="0" applyNumberFormat="1" applyFont="1" applyFill="1" applyBorder="1" applyAlignment="1">
      <alignment horizontal="center"/>
    </xf>
    <xf numFmtId="0" fontId="0" fillId="11" borderId="0" xfId="0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15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7" fontId="2" fillId="13" borderId="1" xfId="0" applyNumberFormat="1" applyFont="1" applyFill="1" applyBorder="1" applyAlignment="1">
      <alignment horizontal="center"/>
    </xf>
    <xf numFmtId="0" fontId="0" fillId="13" borderId="0" xfId="0" applyFill="1"/>
    <xf numFmtId="15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7" fontId="2" fillId="12" borderId="1" xfId="0" applyNumberFormat="1" applyFont="1" applyFill="1" applyBorder="1" applyAlignment="1">
      <alignment horizontal="center"/>
    </xf>
    <xf numFmtId="0" fontId="0" fillId="12" borderId="0" xfId="0" applyFill="1"/>
    <xf numFmtId="4" fontId="0" fillId="9" borderId="0" xfId="0" applyNumberFormat="1" applyFill="1"/>
    <xf numFmtId="166" fontId="0" fillId="4" borderId="0" xfId="0" applyNumberFormat="1" applyFill="1" applyAlignment="1"/>
    <xf numFmtId="4" fontId="0" fillId="4" borderId="0" xfId="0" applyNumberFormat="1" applyFill="1" applyAlignment="1"/>
    <xf numFmtId="0" fontId="0" fillId="4" borderId="0" xfId="0" applyFill="1" applyAlignment="1"/>
    <xf numFmtId="49" fontId="0" fillId="4" borderId="0" xfId="0" applyNumberFormat="1" applyFill="1" applyAlignment="1"/>
    <xf numFmtId="15" fontId="0" fillId="4" borderId="0" xfId="0" applyNumberFormat="1" applyFill="1" applyBorder="1" applyAlignment="1">
      <alignment vertical="center"/>
    </xf>
    <xf numFmtId="2" fontId="0" fillId="4" borderId="0" xfId="0" applyNumberFormat="1" applyFill="1" applyAlignment="1"/>
    <xf numFmtId="14" fontId="0" fillId="10" borderId="0" xfId="0" applyNumberFormat="1" applyFill="1"/>
    <xf numFmtId="4" fontId="0" fillId="10" borderId="0" xfId="0" applyNumberFormat="1" applyFill="1"/>
    <xf numFmtId="0" fontId="0" fillId="10" borderId="0" xfId="0" applyFill="1" applyBorder="1"/>
    <xf numFmtId="0" fontId="4" fillId="7" borderId="0" xfId="0" applyFont="1" applyFill="1"/>
    <xf numFmtId="0" fontId="4" fillId="5" borderId="0" xfId="0" applyFont="1" applyFill="1"/>
    <xf numFmtId="14" fontId="0" fillId="8" borderId="0" xfId="0" applyNumberFormat="1" applyFill="1"/>
    <xf numFmtId="4" fontId="0" fillId="8" borderId="0" xfId="0" applyNumberFormat="1" applyFill="1"/>
    <xf numFmtId="0" fontId="0" fillId="14" borderId="0" xfId="0" applyFill="1"/>
    <xf numFmtId="0" fontId="0" fillId="15" borderId="0" xfId="0" applyFill="1"/>
    <xf numFmtId="14" fontId="0" fillId="12" borderId="0" xfId="0" applyNumberFormat="1" applyFill="1"/>
    <xf numFmtId="4" fontId="0" fillId="12" borderId="0" xfId="0" applyNumberFormat="1" applyFill="1"/>
    <xf numFmtId="14" fontId="0" fillId="11" borderId="0" xfId="0" applyNumberFormat="1" applyFill="1"/>
    <xf numFmtId="4" fontId="0" fillId="11" borderId="0" xfId="0" applyNumberFormat="1" applyFill="1"/>
    <xf numFmtId="0" fontId="0" fillId="0" borderId="0" xfId="0" applyFill="1" applyAlignment="1"/>
    <xf numFmtId="4" fontId="0" fillId="0" borderId="0" xfId="0" applyNumberFormat="1" applyFill="1" applyAlignment="1"/>
    <xf numFmtId="14" fontId="0" fillId="3" borderId="0" xfId="0" applyNumberFormat="1" applyFill="1"/>
    <xf numFmtId="4" fontId="0" fillId="3" borderId="0" xfId="0" applyNumberFormat="1" applyFill="1"/>
    <xf numFmtId="14" fontId="0" fillId="3" borderId="0" xfId="0" applyNumberFormat="1" applyFont="1" applyFill="1" applyBorder="1" applyAlignment="1">
      <alignment horizontal="center"/>
    </xf>
    <xf numFmtId="17" fontId="0" fillId="3" borderId="0" xfId="0" applyNumberFormat="1" applyFont="1" applyFill="1" applyBorder="1" applyAlignment="1">
      <alignment horizontal="left"/>
    </xf>
    <xf numFmtId="4" fontId="0" fillId="3" borderId="0" xfId="0" applyNumberFormat="1" applyFont="1" applyFill="1" applyBorder="1" applyAlignment="1">
      <alignment horizontal="right"/>
    </xf>
    <xf numFmtId="4" fontId="0" fillId="7" borderId="0" xfId="0" applyNumberFormat="1" applyFill="1" applyAlignment="1">
      <alignment horizontal="right"/>
    </xf>
    <xf numFmtId="166" fontId="0" fillId="6" borderId="0" xfId="0" applyNumberFormat="1" applyFill="1" applyAlignment="1">
      <alignment horizontal="center"/>
    </xf>
    <xf numFmtId="4" fontId="4" fillId="8" borderId="0" xfId="0" applyNumberFormat="1" applyFont="1" applyFill="1" applyAlignment="1">
      <alignment horizontal="right"/>
    </xf>
    <xf numFmtId="2" fontId="4" fillId="8" borderId="0" xfId="0" applyNumberFormat="1" applyFont="1" applyFill="1" applyAlignment="1">
      <alignment horizontal="right"/>
    </xf>
    <xf numFmtId="4" fontId="0" fillId="6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169" fontId="0" fillId="9" borderId="0" xfId="0" applyNumberFormat="1" applyFill="1"/>
    <xf numFmtId="0" fontId="0" fillId="16" borderId="0" xfId="0" applyFill="1"/>
    <xf numFmtId="4" fontId="0" fillId="16" borderId="0" xfId="0" applyNumberFormat="1" applyFill="1"/>
    <xf numFmtId="0" fontId="4" fillId="10" borderId="0" xfId="0" applyFont="1" applyFill="1"/>
    <xf numFmtId="0" fontId="4" fillId="6" borderId="0" xfId="0" applyFont="1" applyFill="1"/>
    <xf numFmtId="0" fontId="4" fillId="14" borderId="0" xfId="0" applyFont="1" applyFill="1"/>
    <xf numFmtId="0" fontId="0" fillId="14" borderId="0" xfId="0" applyFill="1" applyBorder="1"/>
    <xf numFmtId="4" fontId="0" fillId="12" borderId="0" xfId="0" applyNumberFormat="1" applyFill="1" applyBorder="1" applyAlignment="1">
      <alignment horizontal="right"/>
    </xf>
    <xf numFmtId="14" fontId="0" fillId="12" borderId="0" xfId="0" applyNumberFormat="1" applyFont="1" applyFill="1" applyBorder="1" applyAlignment="1">
      <alignment horizontal="center"/>
    </xf>
    <xf numFmtId="0" fontId="0" fillId="12" borderId="0" xfId="0" applyFill="1" applyBorder="1"/>
    <xf numFmtId="15" fontId="0" fillId="11" borderId="0" xfId="0" applyNumberFormat="1" applyFill="1" applyBorder="1" applyAlignment="1">
      <alignment vertical="center"/>
    </xf>
    <xf numFmtId="15" fontId="0" fillId="3" borderId="0" xfId="0" applyNumberFormat="1" applyFill="1" applyBorder="1" applyAlignment="1">
      <alignment vertical="center"/>
    </xf>
    <xf numFmtId="14" fontId="0" fillId="13" borderId="0" xfId="0" applyNumberFormat="1" applyFill="1"/>
    <xf numFmtId="4" fontId="0" fillId="13" borderId="0" xfId="0" applyNumberFormat="1" applyFill="1"/>
    <xf numFmtId="0" fontId="0" fillId="17" borderId="0" xfId="0" applyFill="1"/>
    <xf numFmtId="0" fontId="0" fillId="17" borderId="0" xfId="0" applyFont="1" applyFill="1"/>
    <xf numFmtId="0" fontId="4" fillId="17" borderId="0" xfId="0" applyFont="1" applyFill="1"/>
    <xf numFmtId="49" fontId="0" fillId="17" borderId="0" xfId="0" applyNumberFormat="1" applyFill="1" applyAlignment="1"/>
    <xf numFmtId="0" fontId="0" fillId="17" borderId="0" xfId="0" applyFill="1" applyAlignment="1"/>
    <xf numFmtId="15" fontId="0" fillId="17" borderId="0" xfId="0" applyNumberFormat="1" applyFill="1" applyBorder="1" applyAlignment="1">
      <alignment vertical="center"/>
    </xf>
    <xf numFmtId="0" fontId="0" fillId="0" borderId="0" xfId="0" applyFill="1" applyBorder="1" applyAlignment="1">
      <alignment horizontal="left" indent="1"/>
    </xf>
    <xf numFmtId="0" fontId="0" fillId="0" borderId="0" xfId="0" applyBorder="1" applyAlignment="1">
      <alignment horizontal="left" indent="1"/>
    </xf>
    <xf numFmtId="14" fontId="0" fillId="13" borderId="0" xfId="0" applyNumberFormat="1" applyFill="1" applyBorder="1" applyAlignment="1">
      <alignment horizontal="center" vertical="center"/>
    </xf>
    <xf numFmtId="170" fontId="0" fillId="13" borderId="0" xfId="0" applyNumberFormat="1" applyFill="1" applyBorder="1"/>
    <xf numFmtId="15" fontId="0" fillId="13" borderId="0" xfId="0" applyNumberFormat="1" applyFill="1" applyBorder="1" applyAlignment="1">
      <alignment vertic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6"/>
  <sheetViews>
    <sheetView tabSelected="1" topLeftCell="AE1" zoomScale="99" zoomScaleNormal="99" workbookViewId="0">
      <pane ySplit="4" topLeftCell="A5" activePane="bottomLeft" state="frozen"/>
      <selection activeCell="P1" sqref="P1"/>
      <selection pane="bottomLeft" activeCell="AH1" sqref="AH1"/>
    </sheetView>
  </sheetViews>
  <sheetFormatPr baseColWidth="10" defaultRowHeight="15" x14ac:dyDescent="0.25"/>
  <cols>
    <col min="1" max="1" width="9.7109375" style="3" customWidth="1"/>
    <col min="2" max="2" width="11.7109375" style="3" customWidth="1"/>
    <col min="3" max="3" width="70.7109375" customWidth="1"/>
    <col min="4" max="4" width="9.7109375" style="3" customWidth="1"/>
    <col min="5" max="5" width="11.7109375" customWidth="1"/>
    <col min="6" max="6" width="70.7109375" customWidth="1"/>
    <col min="7" max="7" width="9.7109375" style="3" customWidth="1"/>
    <col min="8" max="8" width="11.7109375" customWidth="1"/>
    <col min="9" max="9" width="71.85546875" customWidth="1"/>
    <col min="10" max="10" width="9.7109375" style="3" customWidth="1"/>
    <col min="11" max="11" width="11.7109375" customWidth="1"/>
    <col min="12" max="12" width="70.7109375" customWidth="1"/>
    <col min="13" max="13" width="9.7109375" customWidth="1"/>
    <col min="14" max="14" width="11.7109375" customWidth="1"/>
    <col min="15" max="15" width="70.7109375" customWidth="1"/>
    <col min="16" max="16" width="9.7109375" customWidth="1"/>
    <col min="17" max="17" width="11.7109375" customWidth="1"/>
    <col min="18" max="18" width="70.7109375" customWidth="1"/>
    <col min="19" max="19" width="10.42578125" customWidth="1"/>
    <col min="20" max="20" width="11.7109375" customWidth="1"/>
    <col min="21" max="21" width="71.5703125" customWidth="1"/>
    <col min="22" max="22" width="10.5703125" customWidth="1"/>
    <col min="23" max="23" width="11.7109375" customWidth="1"/>
    <col min="24" max="24" width="74.5703125" customWidth="1"/>
    <col min="25" max="25" width="10.7109375" customWidth="1"/>
    <col min="26" max="26" width="11.7109375" customWidth="1"/>
    <col min="27" max="27" width="76.7109375" customWidth="1"/>
    <col min="28" max="28" width="10.5703125" customWidth="1"/>
    <col min="29" max="29" width="11.7109375" customWidth="1"/>
    <col min="30" max="30" width="76.7109375" customWidth="1"/>
    <col min="31" max="31" width="10.85546875" customWidth="1"/>
    <col min="32" max="32" width="11.7109375" customWidth="1"/>
    <col min="33" max="33" width="74.5703125" customWidth="1"/>
    <col min="34" max="34" width="10.7109375" customWidth="1"/>
    <col min="35" max="35" width="11.7109375" customWidth="1"/>
    <col min="36" max="36" width="76.28515625" customWidth="1"/>
  </cols>
  <sheetData>
    <row r="1" spans="1:36" ht="15.75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</v>
      </c>
      <c r="M1" s="134"/>
      <c r="N1" s="2">
        <v>2014</v>
      </c>
      <c r="O1" s="1"/>
      <c r="Q1" s="2">
        <v>2014</v>
      </c>
      <c r="T1" s="2">
        <v>2014</v>
      </c>
      <c r="W1" s="2">
        <v>2014</v>
      </c>
      <c r="Z1" s="2">
        <v>2014</v>
      </c>
      <c r="AB1" s="2">
        <v>2014</v>
      </c>
      <c r="AE1" s="2">
        <v>2014</v>
      </c>
      <c r="AH1" s="2">
        <v>2014</v>
      </c>
    </row>
    <row r="2" spans="1:36" x14ac:dyDescent="0.25">
      <c r="A2" s="147" t="s">
        <v>4</v>
      </c>
      <c r="B2" s="148"/>
      <c r="C2" s="149"/>
      <c r="D2" s="144" t="s">
        <v>4</v>
      </c>
      <c r="E2" s="145"/>
      <c r="F2" s="146"/>
      <c r="G2" s="141" t="s">
        <v>4</v>
      </c>
      <c r="H2" s="142"/>
      <c r="I2" s="143"/>
      <c r="J2" s="138" t="s">
        <v>4</v>
      </c>
      <c r="K2" s="139"/>
      <c r="L2" s="140"/>
      <c r="M2" s="135" t="s">
        <v>4</v>
      </c>
      <c r="N2" s="136"/>
      <c r="O2" s="137"/>
      <c r="P2" s="129" t="s">
        <v>4</v>
      </c>
      <c r="Q2" s="130"/>
      <c r="R2" s="131"/>
      <c r="S2" s="126" t="s">
        <v>4</v>
      </c>
      <c r="T2" s="127"/>
      <c r="U2" s="128"/>
      <c r="V2" s="150" t="s">
        <v>4</v>
      </c>
      <c r="W2" s="151"/>
      <c r="X2" s="152"/>
      <c r="Y2" s="153" t="s">
        <v>4</v>
      </c>
      <c r="Z2" s="154"/>
      <c r="AA2" s="155"/>
      <c r="AB2" s="156" t="s">
        <v>4</v>
      </c>
      <c r="AC2" s="157"/>
      <c r="AD2" s="158"/>
      <c r="AE2" s="159" t="s">
        <v>4</v>
      </c>
      <c r="AF2" s="160"/>
      <c r="AG2" s="161"/>
      <c r="AH2" s="162" t="s">
        <v>4</v>
      </c>
      <c r="AI2" s="163"/>
      <c r="AJ2" s="164"/>
    </row>
    <row r="3" spans="1:36" x14ac:dyDescent="0.25">
      <c r="A3" s="4">
        <f>SUBTOTAL(3,A5:A128)</f>
        <v>38</v>
      </c>
      <c r="B3" s="22">
        <f>SUBTOTAL(9,B5:B128)</f>
        <v>93581.41</v>
      </c>
      <c r="C3" s="16" t="s">
        <v>3</v>
      </c>
      <c r="D3" s="4">
        <f>SUBTOTAL(3,D5:D120)</f>
        <v>31</v>
      </c>
      <c r="E3" s="24">
        <f>SUBTOTAL(9,E5:E120)</f>
        <v>99810.49</v>
      </c>
      <c r="F3" s="18" t="s">
        <v>3</v>
      </c>
      <c r="G3" s="4">
        <f>SUBTOTAL(3,G5:G136)</f>
        <v>35</v>
      </c>
      <c r="H3" s="15">
        <f>SUBTOTAL(9,H5:H136)</f>
        <v>91516.03</v>
      </c>
      <c r="I3" s="19" t="s">
        <v>3</v>
      </c>
      <c r="J3" s="4">
        <f>SUBTOTAL(3,J5:J126)</f>
        <v>35</v>
      </c>
      <c r="K3" s="15">
        <f>SUBTOTAL(9,K5:K126)</f>
        <v>94695.9</v>
      </c>
      <c r="L3" s="31" t="s">
        <v>3</v>
      </c>
      <c r="M3" s="4">
        <f>SUBTOTAL(3,M5:M134)</f>
        <v>59</v>
      </c>
      <c r="N3" s="15">
        <f>SUBTOTAL(9,N5:N134)</f>
        <v>136307.15000000002</v>
      </c>
      <c r="O3" s="46" t="s">
        <v>3</v>
      </c>
      <c r="P3" s="4">
        <f>SUBTOTAL(3,P5:P137)</f>
        <v>70</v>
      </c>
      <c r="Q3" s="24">
        <f>SUBTOTAL(9,Q5:Q137)</f>
        <v>228181.52</v>
      </c>
      <c r="R3" s="28" t="s">
        <v>3</v>
      </c>
      <c r="S3" s="4">
        <f>SUBTOTAL(3,S5:S148)</f>
        <v>83</v>
      </c>
      <c r="T3" s="15">
        <f>SUBTOTAL(9,T5:T148)</f>
        <v>159857.56</v>
      </c>
      <c r="U3" s="47" t="s">
        <v>3</v>
      </c>
      <c r="V3" s="4">
        <f>SUBTOTAL(3,V5:V122)</f>
        <v>72</v>
      </c>
      <c r="W3" s="15">
        <f>SUBTOTAL(9,W5:W122)</f>
        <v>113042.07999999999</v>
      </c>
      <c r="X3" s="31" t="s">
        <v>3</v>
      </c>
      <c r="Y3" s="4">
        <f>SUBTOTAL(3,Y5:Y127)</f>
        <v>113</v>
      </c>
      <c r="Z3" s="15">
        <f>SUBTOTAL(9,Z5:Z127)</f>
        <v>115201.95</v>
      </c>
      <c r="AA3" s="64" t="s">
        <v>3</v>
      </c>
      <c r="AB3" s="4">
        <f>SUBTOTAL(3,AB5:AB133)</f>
        <v>122</v>
      </c>
      <c r="AC3" s="15">
        <f>SUBTOTAL(9,AC5:AC133)</f>
        <v>105020.21999999999</v>
      </c>
      <c r="AD3" s="53" t="s">
        <v>3</v>
      </c>
      <c r="AE3" s="4">
        <f>SUBTOTAL(3,AE6:AE129)</f>
        <v>71</v>
      </c>
      <c r="AF3" s="15">
        <f>SUBTOTAL(9,AF5:AF129)</f>
        <v>131033.2</v>
      </c>
      <c r="AG3" s="20" t="s">
        <v>3</v>
      </c>
      <c r="AH3" s="4">
        <f>SUBTOTAL(3,AH5:AH138)</f>
        <v>133</v>
      </c>
      <c r="AI3" s="15">
        <f>SUBTOTAL(9,AI5:AI138)</f>
        <v>160262.43</v>
      </c>
      <c r="AJ3" s="60" t="s">
        <v>3</v>
      </c>
    </row>
    <row r="4" spans="1:36" x14ac:dyDescent="0.25">
      <c r="A4" s="17" t="s">
        <v>2</v>
      </c>
      <c r="B4" s="17" t="s">
        <v>0</v>
      </c>
      <c r="C4" s="14" t="s">
        <v>5</v>
      </c>
      <c r="D4" s="12" t="s">
        <v>2</v>
      </c>
      <c r="E4" s="12" t="s">
        <v>0</v>
      </c>
      <c r="F4" s="12" t="s">
        <v>6</v>
      </c>
      <c r="G4" s="13" t="s">
        <v>2</v>
      </c>
      <c r="H4" s="13" t="s">
        <v>0</v>
      </c>
      <c r="I4" s="13" t="s">
        <v>7</v>
      </c>
      <c r="J4" s="32" t="s">
        <v>2</v>
      </c>
      <c r="K4" s="32" t="s">
        <v>0</v>
      </c>
      <c r="L4" s="33" t="s">
        <v>8</v>
      </c>
      <c r="M4" s="21" t="s">
        <v>2</v>
      </c>
      <c r="N4" s="21" t="s">
        <v>0</v>
      </c>
      <c r="O4" s="30" t="s">
        <v>9</v>
      </c>
      <c r="P4" s="26" t="s">
        <v>2</v>
      </c>
      <c r="Q4" s="26" t="s">
        <v>0</v>
      </c>
      <c r="R4" s="29" t="s">
        <v>10</v>
      </c>
      <c r="S4" s="50" t="s">
        <v>2</v>
      </c>
      <c r="T4" s="50" t="s">
        <v>0</v>
      </c>
      <c r="U4" s="51" t="s">
        <v>233</v>
      </c>
      <c r="V4" s="49" t="s">
        <v>2</v>
      </c>
      <c r="W4" s="49" t="s">
        <v>0</v>
      </c>
      <c r="X4" s="48" t="s">
        <v>11</v>
      </c>
      <c r="Y4" s="65" t="s">
        <v>2</v>
      </c>
      <c r="Z4" s="65" t="s">
        <v>0</v>
      </c>
      <c r="AA4" s="66" t="s">
        <v>12</v>
      </c>
      <c r="AB4" s="54" t="s">
        <v>2</v>
      </c>
      <c r="AC4" s="54" t="s">
        <v>0</v>
      </c>
      <c r="AD4" s="55" t="s">
        <v>13</v>
      </c>
      <c r="AE4" s="57" t="s">
        <v>2</v>
      </c>
      <c r="AF4" s="57" t="s">
        <v>0</v>
      </c>
      <c r="AG4" s="58" t="s">
        <v>14</v>
      </c>
      <c r="AH4" s="61" t="s">
        <v>2</v>
      </c>
      <c r="AI4" s="61" t="s">
        <v>0</v>
      </c>
      <c r="AJ4" s="62" t="s">
        <v>15</v>
      </c>
    </row>
    <row r="5" spans="1:36" x14ac:dyDescent="0.25">
      <c r="A5" s="10">
        <v>42006</v>
      </c>
      <c r="B5" s="95">
        <v>12.5</v>
      </c>
      <c r="C5" s="8" t="s">
        <v>16</v>
      </c>
      <c r="D5" s="25">
        <v>42036</v>
      </c>
      <c r="E5" s="23">
        <v>300</v>
      </c>
      <c r="F5" s="9" t="s">
        <v>48</v>
      </c>
      <c r="G5" s="69">
        <v>42064</v>
      </c>
      <c r="H5" s="74">
        <v>600</v>
      </c>
      <c r="I5" s="71" t="s">
        <v>75</v>
      </c>
      <c r="J5" s="34">
        <v>42095</v>
      </c>
      <c r="K5" s="97">
        <v>300</v>
      </c>
      <c r="L5" s="35" t="s">
        <v>105</v>
      </c>
      <c r="M5" s="96">
        <v>42125</v>
      </c>
      <c r="N5" s="99">
        <v>30</v>
      </c>
      <c r="O5" s="7" t="s">
        <v>132</v>
      </c>
      <c r="P5" s="101">
        <v>42156</v>
      </c>
      <c r="Q5" s="68">
        <v>11</v>
      </c>
      <c r="R5" s="27" t="s">
        <v>176</v>
      </c>
      <c r="S5" s="75">
        <v>42186</v>
      </c>
      <c r="T5" s="76">
        <v>600</v>
      </c>
      <c r="U5" s="52" t="s">
        <v>234</v>
      </c>
      <c r="V5" s="80">
        <v>42217</v>
      </c>
      <c r="W5" s="81">
        <v>600</v>
      </c>
      <c r="X5" s="39" t="s">
        <v>300</v>
      </c>
      <c r="Y5" s="84">
        <v>42248</v>
      </c>
      <c r="Z5" s="85">
        <v>98</v>
      </c>
      <c r="AA5" s="67" t="s">
        <v>357</v>
      </c>
      <c r="AB5" s="86">
        <v>42278</v>
      </c>
      <c r="AC5" s="87">
        <v>119</v>
      </c>
      <c r="AD5" s="56" t="s">
        <v>451</v>
      </c>
      <c r="AE5" s="92">
        <v>42309</v>
      </c>
      <c r="AF5" s="94">
        <v>109</v>
      </c>
      <c r="AG5" s="93" t="s">
        <v>563</v>
      </c>
      <c r="AH5" s="113">
        <v>42339</v>
      </c>
      <c r="AI5" s="114">
        <v>300</v>
      </c>
      <c r="AJ5" s="63" t="s">
        <v>613</v>
      </c>
    </row>
    <row r="6" spans="1:36" ht="15" customHeight="1" x14ac:dyDescent="0.25">
      <c r="A6" s="10">
        <v>42006</v>
      </c>
      <c r="B6" s="95">
        <v>500</v>
      </c>
      <c r="C6" s="8" t="s">
        <v>17</v>
      </c>
      <c r="D6" s="25">
        <v>42038</v>
      </c>
      <c r="E6" s="23">
        <v>2100</v>
      </c>
      <c r="F6" s="6" t="s">
        <v>49</v>
      </c>
      <c r="G6" s="69">
        <v>42065</v>
      </c>
      <c r="H6" s="74">
        <v>988</v>
      </c>
      <c r="I6" s="71" t="s">
        <v>76</v>
      </c>
      <c r="J6" s="34">
        <v>42095</v>
      </c>
      <c r="K6" s="98">
        <v>90</v>
      </c>
      <c r="L6" s="35" t="s">
        <v>77</v>
      </c>
      <c r="M6" s="96">
        <v>42125</v>
      </c>
      <c r="N6" s="100">
        <v>600</v>
      </c>
      <c r="O6" s="7" t="s">
        <v>106</v>
      </c>
      <c r="P6" s="101">
        <v>42156</v>
      </c>
      <c r="Q6" s="68">
        <v>60</v>
      </c>
      <c r="R6" s="27" t="s">
        <v>177</v>
      </c>
      <c r="S6" s="75">
        <v>42186</v>
      </c>
      <c r="T6" s="76">
        <v>2470</v>
      </c>
      <c r="U6" s="52" t="s">
        <v>235</v>
      </c>
      <c r="V6" s="80">
        <v>42218</v>
      </c>
      <c r="W6" s="81">
        <v>800</v>
      </c>
      <c r="X6" s="39" t="s">
        <v>303</v>
      </c>
      <c r="Y6" s="84">
        <v>42248</v>
      </c>
      <c r="Z6" s="85">
        <v>211.84</v>
      </c>
      <c r="AA6" s="67" t="s">
        <v>358</v>
      </c>
      <c r="AB6" s="86">
        <v>42278</v>
      </c>
      <c r="AC6" s="87">
        <v>21</v>
      </c>
      <c r="AD6" s="56" t="s">
        <v>452</v>
      </c>
      <c r="AE6" s="90">
        <v>42310</v>
      </c>
      <c r="AF6" s="91">
        <v>110</v>
      </c>
      <c r="AG6" s="59" t="s">
        <v>125</v>
      </c>
      <c r="AH6" s="113">
        <v>42339</v>
      </c>
      <c r="AI6" s="114">
        <v>190</v>
      </c>
      <c r="AJ6" s="63" t="s">
        <v>614</v>
      </c>
    </row>
    <row r="7" spans="1:36" x14ac:dyDescent="0.25">
      <c r="A7" s="10">
        <v>42010</v>
      </c>
      <c r="B7" s="95">
        <v>1618</v>
      </c>
      <c r="C7" s="115" t="s">
        <v>18</v>
      </c>
      <c r="D7" s="25">
        <v>42038</v>
      </c>
      <c r="E7" s="23">
        <v>1688</v>
      </c>
      <c r="F7" s="6" t="s">
        <v>50</v>
      </c>
      <c r="G7" s="69">
        <v>42065</v>
      </c>
      <c r="H7" s="70">
        <v>90</v>
      </c>
      <c r="I7" s="71" t="s">
        <v>77</v>
      </c>
      <c r="J7" s="34">
        <v>42095</v>
      </c>
      <c r="K7" s="97">
        <v>600</v>
      </c>
      <c r="L7" s="35" t="s">
        <v>115</v>
      </c>
      <c r="M7" s="96">
        <v>42127</v>
      </c>
      <c r="N7" s="99">
        <v>300</v>
      </c>
      <c r="O7" s="7" t="s">
        <v>133</v>
      </c>
      <c r="P7" s="101">
        <v>42156</v>
      </c>
      <c r="Q7" s="68">
        <v>400</v>
      </c>
      <c r="R7" s="27" t="s">
        <v>178</v>
      </c>
      <c r="S7" s="75">
        <v>42187</v>
      </c>
      <c r="T7" s="76">
        <v>500</v>
      </c>
      <c r="U7" s="52" t="s">
        <v>236</v>
      </c>
      <c r="V7" s="80">
        <v>42219</v>
      </c>
      <c r="W7" s="81">
        <v>90</v>
      </c>
      <c r="X7" s="39" t="s">
        <v>77</v>
      </c>
      <c r="Y7" s="84">
        <v>42248</v>
      </c>
      <c r="Z7" s="85">
        <v>3.5</v>
      </c>
      <c r="AA7" s="67" t="s">
        <v>360</v>
      </c>
      <c r="AB7" s="86">
        <v>42279</v>
      </c>
      <c r="AC7" s="87">
        <v>800</v>
      </c>
      <c r="AD7" s="56" t="s">
        <v>106</v>
      </c>
      <c r="AE7" s="90">
        <v>42310</v>
      </c>
      <c r="AF7" s="91">
        <v>89</v>
      </c>
      <c r="AG7" s="59" t="s">
        <v>564</v>
      </c>
      <c r="AH7" s="113">
        <v>42339</v>
      </c>
      <c r="AI7" s="114">
        <v>1230</v>
      </c>
      <c r="AJ7" s="63" t="s">
        <v>615</v>
      </c>
    </row>
    <row r="8" spans="1:36" x14ac:dyDescent="0.25">
      <c r="A8" s="10">
        <v>42010</v>
      </c>
      <c r="B8" s="95">
        <v>1600</v>
      </c>
      <c r="C8" s="116" t="s">
        <v>19</v>
      </c>
      <c r="D8" s="25">
        <v>42039</v>
      </c>
      <c r="E8" s="23">
        <v>90</v>
      </c>
      <c r="F8" s="6" t="s">
        <v>51</v>
      </c>
      <c r="G8" s="69">
        <v>42066</v>
      </c>
      <c r="H8" s="70">
        <v>300</v>
      </c>
      <c r="I8" s="71" t="s">
        <v>78</v>
      </c>
      <c r="J8" s="34">
        <v>42097</v>
      </c>
      <c r="K8" s="97">
        <v>600</v>
      </c>
      <c r="L8" s="35" t="s">
        <v>106</v>
      </c>
      <c r="M8" s="96">
        <v>42127</v>
      </c>
      <c r="N8" s="99">
        <v>1100</v>
      </c>
      <c r="O8" s="7" t="s">
        <v>168</v>
      </c>
      <c r="P8" s="101">
        <v>42157</v>
      </c>
      <c r="Q8" s="68">
        <v>800</v>
      </c>
      <c r="R8" s="27" t="s">
        <v>187</v>
      </c>
      <c r="S8" s="75">
        <v>42187</v>
      </c>
      <c r="T8" s="76">
        <v>450</v>
      </c>
      <c r="U8" s="52" t="s">
        <v>237</v>
      </c>
      <c r="V8" s="80">
        <v>42219</v>
      </c>
      <c r="W8" s="81">
        <v>69.900000000000006</v>
      </c>
      <c r="X8" s="39" t="s">
        <v>301</v>
      </c>
      <c r="Y8" s="84">
        <v>42248</v>
      </c>
      <c r="Z8" s="85">
        <v>30</v>
      </c>
      <c r="AA8" s="67" t="s">
        <v>361</v>
      </c>
      <c r="AB8" s="86">
        <v>42279</v>
      </c>
      <c r="AC8" s="87">
        <v>400</v>
      </c>
      <c r="AD8" s="56" t="s">
        <v>453</v>
      </c>
      <c r="AE8" s="90">
        <v>42311</v>
      </c>
      <c r="AF8" s="91">
        <v>350</v>
      </c>
      <c r="AG8" s="59" t="s">
        <v>565</v>
      </c>
      <c r="AH8" s="113">
        <v>42339</v>
      </c>
      <c r="AI8" s="114">
        <v>1037</v>
      </c>
      <c r="AJ8" s="63" t="s">
        <v>616</v>
      </c>
    </row>
    <row r="9" spans="1:36" x14ac:dyDescent="0.25">
      <c r="A9" s="10">
        <v>42162</v>
      </c>
      <c r="B9" s="95">
        <v>1000</v>
      </c>
      <c r="C9" s="8" t="s">
        <v>20</v>
      </c>
      <c r="D9" s="25">
        <v>42039</v>
      </c>
      <c r="E9" s="23">
        <v>600</v>
      </c>
      <c r="F9" s="6" t="s">
        <v>52</v>
      </c>
      <c r="G9" s="69">
        <v>42067</v>
      </c>
      <c r="H9" s="70">
        <v>200</v>
      </c>
      <c r="I9" s="71" t="s">
        <v>79</v>
      </c>
      <c r="J9" s="34">
        <v>42100</v>
      </c>
      <c r="K9" s="97">
        <v>90</v>
      </c>
      <c r="L9" s="35" t="s">
        <v>77</v>
      </c>
      <c r="M9" s="96">
        <v>42128</v>
      </c>
      <c r="N9" s="99">
        <v>1200</v>
      </c>
      <c r="O9" s="7" t="s">
        <v>134</v>
      </c>
      <c r="P9" s="101">
        <v>42157</v>
      </c>
      <c r="Q9" s="68">
        <v>20000</v>
      </c>
      <c r="R9" s="27" t="s">
        <v>179</v>
      </c>
      <c r="S9" s="75">
        <v>42188</v>
      </c>
      <c r="T9" s="76">
        <v>300</v>
      </c>
      <c r="U9" s="52" t="s">
        <v>238</v>
      </c>
      <c r="V9" s="80">
        <v>42221</v>
      </c>
      <c r="W9" s="81">
        <v>750</v>
      </c>
      <c r="X9" s="39" t="s">
        <v>302</v>
      </c>
      <c r="Y9" s="84">
        <v>42248</v>
      </c>
      <c r="Z9" s="85">
        <v>120</v>
      </c>
      <c r="AA9" s="67" t="s">
        <v>362</v>
      </c>
      <c r="AB9" s="86">
        <v>42279</v>
      </c>
      <c r="AC9" s="87">
        <v>500</v>
      </c>
      <c r="AD9" s="56" t="s">
        <v>454</v>
      </c>
      <c r="AE9" s="90">
        <v>42311</v>
      </c>
      <c r="AF9" s="91">
        <v>29000</v>
      </c>
      <c r="AG9" s="59" t="s">
        <v>566</v>
      </c>
      <c r="AH9" s="113">
        <v>42339</v>
      </c>
      <c r="AI9" s="114">
        <v>45</v>
      </c>
      <c r="AJ9" s="63" t="s">
        <v>617</v>
      </c>
    </row>
    <row r="10" spans="1:36" x14ac:dyDescent="0.25">
      <c r="A10" s="10">
        <v>42011</v>
      </c>
      <c r="B10" s="95">
        <v>90</v>
      </c>
      <c r="C10" s="8" t="s">
        <v>21</v>
      </c>
      <c r="D10" s="25">
        <v>42040</v>
      </c>
      <c r="E10" s="23">
        <v>500</v>
      </c>
      <c r="F10" s="6" t="s">
        <v>53</v>
      </c>
      <c r="G10" s="69">
        <v>42068</v>
      </c>
      <c r="H10" s="70">
        <v>350</v>
      </c>
      <c r="I10" s="71" t="s">
        <v>80</v>
      </c>
      <c r="J10" s="34">
        <v>42104</v>
      </c>
      <c r="K10" s="97">
        <v>60</v>
      </c>
      <c r="L10" s="36" t="s">
        <v>82</v>
      </c>
      <c r="M10" s="96">
        <v>42128</v>
      </c>
      <c r="N10" s="99">
        <v>120</v>
      </c>
      <c r="O10" s="7" t="s">
        <v>106</v>
      </c>
      <c r="P10" s="101">
        <v>42158</v>
      </c>
      <c r="Q10" s="68">
        <v>600</v>
      </c>
      <c r="R10" s="27" t="s">
        <v>180</v>
      </c>
      <c r="S10" s="75">
        <v>42188</v>
      </c>
      <c r="T10" s="76">
        <v>90</v>
      </c>
      <c r="U10" s="52" t="s">
        <v>125</v>
      </c>
      <c r="V10" s="80">
        <v>42222</v>
      </c>
      <c r="W10" s="81">
        <v>1300</v>
      </c>
      <c r="X10" s="39" t="s">
        <v>304</v>
      </c>
      <c r="Y10" s="84">
        <v>42248</v>
      </c>
      <c r="Z10" s="85">
        <v>300</v>
      </c>
      <c r="AA10" s="67" t="s">
        <v>363</v>
      </c>
      <c r="AB10" s="86">
        <v>42281</v>
      </c>
      <c r="AC10" s="87">
        <v>26</v>
      </c>
      <c r="AD10" s="56" t="s">
        <v>455</v>
      </c>
      <c r="AE10" s="90">
        <v>42311</v>
      </c>
      <c r="AF10" s="91">
        <v>30</v>
      </c>
      <c r="AG10" s="59" t="s">
        <v>585</v>
      </c>
      <c r="AH10" s="113">
        <v>42339</v>
      </c>
      <c r="AI10" s="114">
        <v>450</v>
      </c>
      <c r="AJ10" s="63" t="s">
        <v>618</v>
      </c>
    </row>
    <row r="11" spans="1:36" x14ac:dyDescent="0.25">
      <c r="A11" s="10">
        <v>42013</v>
      </c>
      <c r="B11" s="95">
        <v>350</v>
      </c>
      <c r="C11" s="8" t="s">
        <v>22</v>
      </c>
      <c r="D11" s="25">
        <v>42040</v>
      </c>
      <c r="E11" s="23">
        <v>500</v>
      </c>
      <c r="F11" s="6" t="s">
        <v>54</v>
      </c>
      <c r="G11" s="69">
        <v>42068</v>
      </c>
      <c r="H11" s="70">
        <v>420</v>
      </c>
      <c r="I11" s="71" t="s">
        <v>81</v>
      </c>
      <c r="J11" s="34">
        <v>42104</v>
      </c>
      <c r="K11" s="97">
        <v>1153.4000000000001</v>
      </c>
      <c r="L11" s="35" t="s">
        <v>107</v>
      </c>
      <c r="M11" s="96">
        <v>42130</v>
      </c>
      <c r="N11" s="99">
        <v>1760</v>
      </c>
      <c r="O11" s="119" t="s">
        <v>135</v>
      </c>
      <c r="P11" s="101">
        <v>42158</v>
      </c>
      <c r="Q11" s="68">
        <v>300</v>
      </c>
      <c r="R11" s="27" t="s">
        <v>181</v>
      </c>
      <c r="S11" s="75">
        <v>42188</v>
      </c>
      <c r="T11" s="76">
        <v>600</v>
      </c>
      <c r="U11" s="52" t="s">
        <v>106</v>
      </c>
      <c r="V11" s="80">
        <v>42223</v>
      </c>
      <c r="W11" s="81">
        <v>90</v>
      </c>
      <c r="X11" s="39" t="s">
        <v>77</v>
      </c>
      <c r="Y11" s="84">
        <v>42248</v>
      </c>
      <c r="Z11" s="85">
        <v>70</v>
      </c>
      <c r="AA11" s="67" t="s">
        <v>364</v>
      </c>
      <c r="AB11" s="86">
        <v>42282</v>
      </c>
      <c r="AC11" s="87">
        <v>160</v>
      </c>
      <c r="AD11" s="56" t="s">
        <v>456</v>
      </c>
      <c r="AE11" s="90">
        <v>42312</v>
      </c>
      <c r="AF11" s="91">
        <v>1599</v>
      </c>
      <c r="AG11" s="59" t="s">
        <v>567</v>
      </c>
      <c r="AH11" s="113">
        <v>42339</v>
      </c>
      <c r="AI11" s="114">
        <v>400</v>
      </c>
      <c r="AJ11" s="63" t="s">
        <v>619</v>
      </c>
    </row>
    <row r="12" spans="1:36" x14ac:dyDescent="0.25">
      <c r="A12" s="10">
        <v>42013</v>
      </c>
      <c r="B12" s="95">
        <v>500</v>
      </c>
      <c r="C12" s="8" t="s">
        <v>17</v>
      </c>
      <c r="D12" s="25">
        <v>42041</v>
      </c>
      <c r="E12" s="23">
        <v>600</v>
      </c>
      <c r="F12" s="79" t="s">
        <v>30</v>
      </c>
      <c r="G12" s="69">
        <v>42069</v>
      </c>
      <c r="H12" s="70">
        <v>730</v>
      </c>
      <c r="I12" s="71" t="s">
        <v>83</v>
      </c>
      <c r="J12" s="34">
        <v>42104</v>
      </c>
      <c r="K12" s="97">
        <v>1104</v>
      </c>
      <c r="L12" s="35" t="s">
        <v>108</v>
      </c>
      <c r="M12" s="96">
        <v>42130</v>
      </c>
      <c r="N12" s="99">
        <v>1176</v>
      </c>
      <c r="O12" s="7" t="s">
        <v>136</v>
      </c>
      <c r="P12" s="101">
        <v>42159</v>
      </c>
      <c r="Q12" s="68">
        <v>1192.5</v>
      </c>
      <c r="R12" s="27" t="s">
        <v>182</v>
      </c>
      <c r="S12" s="75">
        <v>42188</v>
      </c>
      <c r="T12" s="76">
        <v>150</v>
      </c>
      <c r="U12" s="52" t="s">
        <v>23</v>
      </c>
      <c r="V12" s="80">
        <v>42223</v>
      </c>
      <c r="W12" s="81">
        <v>600</v>
      </c>
      <c r="X12" s="39" t="s">
        <v>106</v>
      </c>
      <c r="Y12" s="84">
        <v>42248</v>
      </c>
      <c r="Z12" s="85">
        <v>920</v>
      </c>
      <c r="AA12" s="67" t="s">
        <v>365</v>
      </c>
      <c r="AB12" s="86">
        <v>42282</v>
      </c>
      <c r="AC12" s="87">
        <v>400</v>
      </c>
      <c r="AD12" s="56" t="s">
        <v>467</v>
      </c>
      <c r="AE12" s="90">
        <v>42312</v>
      </c>
      <c r="AF12" s="91">
        <v>3</v>
      </c>
      <c r="AG12" s="59" t="s">
        <v>568</v>
      </c>
      <c r="AH12" s="113">
        <v>42339</v>
      </c>
      <c r="AI12" s="114">
        <v>25</v>
      </c>
      <c r="AJ12" s="63" t="s">
        <v>620</v>
      </c>
    </row>
    <row r="13" spans="1:36" x14ac:dyDescent="0.25">
      <c r="A13" s="10">
        <v>42018</v>
      </c>
      <c r="B13" s="95">
        <v>90</v>
      </c>
      <c r="C13" s="8" t="s">
        <v>21</v>
      </c>
      <c r="D13" s="25">
        <v>42043</v>
      </c>
      <c r="E13" s="23">
        <v>185</v>
      </c>
      <c r="F13" s="6" t="s">
        <v>56</v>
      </c>
      <c r="G13" s="69">
        <v>42069</v>
      </c>
      <c r="H13" s="70">
        <v>600</v>
      </c>
      <c r="I13" s="71" t="s">
        <v>30</v>
      </c>
      <c r="J13" s="34">
        <v>42104</v>
      </c>
      <c r="K13" s="97">
        <v>600</v>
      </c>
      <c r="L13" s="35" t="s">
        <v>106</v>
      </c>
      <c r="M13" s="96">
        <v>42130</v>
      </c>
      <c r="N13" s="99">
        <v>90</v>
      </c>
      <c r="O13" s="7" t="s">
        <v>137</v>
      </c>
      <c r="P13" s="101">
        <v>42159</v>
      </c>
      <c r="Q13" s="68">
        <v>400</v>
      </c>
      <c r="R13" s="27" t="s">
        <v>183</v>
      </c>
      <c r="S13" s="75">
        <v>42188</v>
      </c>
      <c r="T13" s="76">
        <v>4461.3</v>
      </c>
      <c r="U13" s="52" t="s">
        <v>239</v>
      </c>
      <c r="V13" s="80">
        <v>42223</v>
      </c>
      <c r="W13" s="81">
        <v>5800</v>
      </c>
      <c r="X13" s="39" t="s">
        <v>305</v>
      </c>
      <c r="Y13" s="84">
        <v>42249</v>
      </c>
      <c r="Z13" s="85">
        <v>20</v>
      </c>
      <c r="AA13" s="67" t="s">
        <v>366</v>
      </c>
      <c r="AB13" s="86">
        <v>42283</v>
      </c>
      <c r="AC13" s="87">
        <v>96.5</v>
      </c>
      <c r="AD13" s="56" t="s">
        <v>457</v>
      </c>
      <c r="AE13" s="90">
        <v>42312</v>
      </c>
      <c r="AF13" s="91">
        <v>500</v>
      </c>
      <c r="AG13" s="59" t="s">
        <v>569</v>
      </c>
      <c r="AH13" s="113">
        <v>42339</v>
      </c>
      <c r="AI13" s="114">
        <v>300</v>
      </c>
      <c r="AJ13" s="63" t="s">
        <v>621</v>
      </c>
    </row>
    <row r="14" spans="1:36" x14ac:dyDescent="0.25">
      <c r="A14" s="10">
        <v>42019</v>
      </c>
      <c r="B14" s="95">
        <v>378.6</v>
      </c>
      <c r="C14" s="8" t="s">
        <v>23</v>
      </c>
      <c r="D14" s="25">
        <v>42044</v>
      </c>
      <c r="E14" s="23">
        <v>833.61</v>
      </c>
      <c r="F14" s="6" t="s">
        <v>57</v>
      </c>
      <c r="G14" s="69">
        <v>42072</v>
      </c>
      <c r="H14" s="70">
        <v>60</v>
      </c>
      <c r="I14" s="71" t="s">
        <v>82</v>
      </c>
      <c r="J14" s="34">
        <v>42106</v>
      </c>
      <c r="K14" s="97">
        <v>5000</v>
      </c>
      <c r="L14" s="35" t="s">
        <v>109</v>
      </c>
      <c r="M14" s="96">
        <v>42130</v>
      </c>
      <c r="N14" s="99">
        <v>34.5</v>
      </c>
      <c r="O14" s="7" t="s">
        <v>138</v>
      </c>
      <c r="P14" s="101">
        <v>42160</v>
      </c>
      <c r="Q14" s="68">
        <v>500</v>
      </c>
      <c r="R14" s="27" t="s">
        <v>184</v>
      </c>
      <c r="S14" s="75">
        <v>42189</v>
      </c>
      <c r="T14" s="76">
        <v>50</v>
      </c>
      <c r="U14" s="52" t="s">
        <v>240</v>
      </c>
      <c r="V14" s="80">
        <v>42224</v>
      </c>
      <c r="W14" s="81">
        <v>300</v>
      </c>
      <c r="X14" s="39" t="s">
        <v>306</v>
      </c>
      <c r="Y14" s="84">
        <v>42249</v>
      </c>
      <c r="Z14" s="85">
        <v>20</v>
      </c>
      <c r="AA14" s="67" t="s">
        <v>367</v>
      </c>
      <c r="AB14" s="86">
        <v>42284</v>
      </c>
      <c r="AC14" s="87">
        <v>571</v>
      </c>
      <c r="AD14" s="56" t="s">
        <v>458</v>
      </c>
      <c r="AE14" s="90">
        <v>42313</v>
      </c>
      <c r="AF14" s="91">
        <v>1219</v>
      </c>
      <c r="AG14" s="59" t="s">
        <v>570</v>
      </c>
      <c r="AH14" s="113">
        <v>42340</v>
      </c>
      <c r="AI14" s="114">
        <v>3</v>
      </c>
      <c r="AJ14" s="63" t="s">
        <v>670</v>
      </c>
    </row>
    <row r="15" spans="1:36" x14ac:dyDescent="0.25">
      <c r="A15" s="10">
        <v>42019</v>
      </c>
      <c r="B15" s="95">
        <v>27900</v>
      </c>
      <c r="C15" s="8" t="s">
        <v>24</v>
      </c>
      <c r="D15" s="25">
        <v>42044</v>
      </c>
      <c r="E15" s="23">
        <v>15200</v>
      </c>
      <c r="F15" s="6" t="s">
        <v>69</v>
      </c>
      <c r="G15" s="69">
        <v>42074</v>
      </c>
      <c r="H15" s="70">
        <v>1116</v>
      </c>
      <c r="I15" s="71" t="s">
        <v>90</v>
      </c>
      <c r="J15" s="34">
        <v>42107</v>
      </c>
      <c r="K15" s="97">
        <v>30</v>
      </c>
      <c r="L15" s="35" t="s">
        <v>110</v>
      </c>
      <c r="M15" s="96">
        <v>42130</v>
      </c>
      <c r="N15" s="99">
        <v>10</v>
      </c>
      <c r="O15" s="7" t="s">
        <v>139</v>
      </c>
      <c r="P15" s="101">
        <v>42160</v>
      </c>
      <c r="Q15" s="68">
        <v>600</v>
      </c>
      <c r="R15" s="27" t="s">
        <v>185</v>
      </c>
      <c r="S15" s="75">
        <v>42189</v>
      </c>
      <c r="T15" s="76">
        <v>4000</v>
      </c>
      <c r="U15" s="52" t="s">
        <v>251</v>
      </c>
      <c r="V15" s="80">
        <v>42224</v>
      </c>
      <c r="W15" s="81">
        <v>380</v>
      </c>
      <c r="X15" s="39" t="s">
        <v>307</v>
      </c>
      <c r="Y15" s="84">
        <v>42249</v>
      </c>
      <c r="Z15" s="85">
        <v>64</v>
      </c>
      <c r="AA15" s="67" t="s">
        <v>368</v>
      </c>
      <c r="AB15" s="86">
        <v>42284</v>
      </c>
      <c r="AC15" s="87">
        <v>3</v>
      </c>
      <c r="AD15" s="56" t="s">
        <v>459</v>
      </c>
      <c r="AE15" s="90">
        <v>42314</v>
      </c>
      <c r="AF15" s="91">
        <v>110</v>
      </c>
      <c r="AG15" s="59" t="s">
        <v>125</v>
      </c>
      <c r="AH15" s="113">
        <v>42340</v>
      </c>
      <c r="AI15" s="114">
        <v>350</v>
      </c>
      <c r="AJ15" s="63" t="s">
        <v>622</v>
      </c>
    </row>
    <row r="16" spans="1:36" x14ac:dyDescent="0.25">
      <c r="A16" s="10">
        <v>42019</v>
      </c>
      <c r="B16" s="95">
        <v>3200</v>
      </c>
      <c r="C16" s="8" t="s">
        <v>25</v>
      </c>
      <c r="D16" s="25">
        <v>42046</v>
      </c>
      <c r="E16" s="23">
        <v>60</v>
      </c>
      <c r="F16" s="6" t="s">
        <v>47</v>
      </c>
      <c r="G16" s="69">
        <v>42076</v>
      </c>
      <c r="H16" s="70">
        <v>600</v>
      </c>
      <c r="I16" s="71" t="s">
        <v>30</v>
      </c>
      <c r="J16" s="34">
        <v>42107</v>
      </c>
      <c r="K16" s="97">
        <v>1114</v>
      </c>
      <c r="L16" s="35" t="s">
        <v>111</v>
      </c>
      <c r="M16" s="96">
        <v>42130</v>
      </c>
      <c r="N16" s="99">
        <v>600</v>
      </c>
      <c r="O16" s="7" t="s">
        <v>140</v>
      </c>
      <c r="P16" s="101">
        <v>42160</v>
      </c>
      <c r="Q16" s="68">
        <v>30</v>
      </c>
      <c r="R16" s="27" t="s">
        <v>188</v>
      </c>
      <c r="S16" s="75">
        <v>42189</v>
      </c>
      <c r="T16" s="76">
        <v>2250</v>
      </c>
      <c r="U16" s="52" t="s">
        <v>241</v>
      </c>
      <c r="V16" s="80">
        <v>42226</v>
      </c>
      <c r="W16" s="81">
        <v>2400</v>
      </c>
      <c r="X16" s="39" t="s">
        <v>308</v>
      </c>
      <c r="Y16" s="84">
        <v>42250</v>
      </c>
      <c r="Z16" s="85">
        <v>1835</v>
      </c>
      <c r="AA16" s="67" t="s">
        <v>409</v>
      </c>
      <c r="AB16" s="86">
        <v>42284</v>
      </c>
      <c r="AC16" s="87">
        <v>1080</v>
      </c>
      <c r="AD16" s="56" t="s">
        <v>460</v>
      </c>
      <c r="AE16" s="90">
        <v>42314</v>
      </c>
      <c r="AF16" s="91">
        <v>1000</v>
      </c>
      <c r="AG16" s="59" t="s">
        <v>571</v>
      </c>
      <c r="AH16" s="113">
        <v>42340</v>
      </c>
      <c r="AI16" s="114">
        <v>600</v>
      </c>
      <c r="AJ16" s="63" t="s">
        <v>626</v>
      </c>
    </row>
    <row r="17" spans="1:36" x14ac:dyDescent="0.25">
      <c r="A17" s="10">
        <v>42020</v>
      </c>
      <c r="B17" s="95">
        <v>500</v>
      </c>
      <c r="C17" s="8" t="s">
        <v>17</v>
      </c>
      <c r="D17" s="25">
        <v>42136</v>
      </c>
      <c r="E17" s="23">
        <v>3200</v>
      </c>
      <c r="F17" s="6" t="s">
        <v>58</v>
      </c>
      <c r="G17" s="69">
        <v>42076</v>
      </c>
      <c r="H17" s="70">
        <v>60</v>
      </c>
      <c r="I17" s="71" t="s">
        <v>91</v>
      </c>
      <c r="J17" s="34">
        <v>42108</v>
      </c>
      <c r="K17" s="97">
        <v>1050</v>
      </c>
      <c r="L17" s="35" t="s">
        <v>112</v>
      </c>
      <c r="M17" s="96">
        <v>42130</v>
      </c>
      <c r="N17" s="99">
        <v>54</v>
      </c>
      <c r="O17" s="7" t="s">
        <v>141</v>
      </c>
      <c r="P17" s="101">
        <v>42160</v>
      </c>
      <c r="Q17" s="68">
        <v>16500</v>
      </c>
      <c r="R17" s="27" t="s">
        <v>189</v>
      </c>
      <c r="S17" s="75">
        <v>42190</v>
      </c>
      <c r="T17" s="76">
        <v>285.99</v>
      </c>
      <c r="U17" s="52" t="s">
        <v>23</v>
      </c>
      <c r="V17" s="80">
        <v>42227</v>
      </c>
      <c r="W17" s="81">
        <v>1025</v>
      </c>
      <c r="X17" s="39" t="s">
        <v>309</v>
      </c>
      <c r="Y17" s="84">
        <v>42251</v>
      </c>
      <c r="Z17" s="85">
        <v>271.39999999999998</v>
      </c>
      <c r="AA17" s="67" t="s">
        <v>369</v>
      </c>
      <c r="AB17" s="86">
        <v>42284</v>
      </c>
      <c r="AC17" s="87">
        <v>200</v>
      </c>
      <c r="AD17" s="56" t="s">
        <v>461</v>
      </c>
      <c r="AE17" s="90">
        <v>42316</v>
      </c>
      <c r="AF17" s="91">
        <v>22</v>
      </c>
      <c r="AG17" s="59" t="s">
        <v>572</v>
      </c>
      <c r="AH17" s="113">
        <v>42340</v>
      </c>
      <c r="AI17" s="114">
        <v>7499.99</v>
      </c>
      <c r="AJ17" s="63" t="s">
        <v>623</v>
      </c>
    </row>
    <row r="18" spans="1:36" x14ac:dyDescent="0.25">
      <c r="A18" s="10">
        <v>42020</v>
      </c>
      <c r="B18" s="95">
        <v>600</v>
      </c>
      <c r="C18" s="8" t="s">
        <v>26</v>
      </c>
      <c r="D18" s="25">
        <v>42047</v>
      </c>
      <c r="E18" s="23">
        <v>300</v>
      </c>
      <c r="F18" s="6" t="s">
        <v>59</v>
      </c>
      <c r="G18" s="69">
        <v>42077</v>
      </c>
      <c r="H18" s="70">
        <v>747.03</v>
      </c>
      <c r="I18" s="71" t="s">
        <v>84</v>
      </c>
      <c r="J18" s="34">
        <v>42109</v>
      </c>
      <c r="K18" s="97">
        <v>60</v>
      </c>
      <c r="L18" s="35" t="s">
        <v>113</v>
      </c>
      <c r="M18" s="96">
        <v>42131</v>
      </c>
      <c r="N18" s="99">
        <v>30</v>
      </c>
      <c r="O18" s="7" t="s">
        <v>142</v>
      </c>
      <c r="P18" s="101">
        <v>42161</v>
      </c>
      <c r="Q18" s="68">
        <v>240</v>
      </c>
      <c r="R18" s="27" t="s">
        <v>186</v>
      </c>
      <c r="S18" s="75">
        <v>42191</v>
      </c>
      <c r="T18" s="76">
        <v>7120</v>
      </c>
      <c r="U18" s="52" t="s">
        <v>242</v>
      </c>
      <c r="V18" s="80">
        <v>42227</v>
      </c>
      <c r="W18" s="81">
        <v>3320</v>
      </c>
      <c r="X18" s="39" t="s">
        <v>310</v>
      </c>
      <c r="Y18" s="84">
        <v>42251</v>
      </c>
      <c r="Z18" s="85">
        <v>800</v>
      </c>
      <c r="AA18" s="67" t="s">
        <v>370</v>
      </c>
      <c r="AB18" s="86">
        <v>42284</v>
      </c>
      <c r="AC18" s="87">
        <v>300</v>
      </c>
      <c r="AD18" s="56" t="s">
        <v>462</v>
      </c>
      <c r="AE18" s="90">
        <v>42316</v>
      </c>
      <c r="AF18" s="91">
        <v>58</v>
      </c>
      <c r="AG18" s="59" t="s">
        <v>563</v>
      </c>
      <c r="AH18" s="113">
        <v>42340</v>
      </c>
      <c r="AI18" s="114">
        <v>200</v>
      </c>
      <c r="AJ18" s="63" t="s">
        <v>624</v>
      </c>
    </row>
    <row r="19" spans="1:36" x14ac:dyDescent="0.25">
      <c r="A19" s="10">
        <v>42020</v>
      </c>
      <c r="B19" s="95">
        <v>211.31</v>
      </c>
      <c r="C19" s="8" t="s">
        <v>27</v>
      </c>
      <c r="D19" s="25">
        <v>42047</v>
      </c>
      <c r="E19" s="23">
        <v>500</v>
      </c>
      <c r="F19" s="6" t="s">
        <v>60</v>
      </c>
      <c r="G19" s="69">
        <v>42078</v>
      </c>
      <c r="H19" s="70">
        <v>27900</v>
      </c>
      <c r="I19" s="72" t="s">
        <v>85</v>
      </c>
      <c r="J19" s="34">
        <v>42109</v>
      </c>
      <c r="K19" s="97">
        <v>700</v>
      </c>
      <c r="L19" s="35" t="s">
        <v>114</v>
      </c>
      <c r="M19" s="96">
        <v>42133</v>
      </c>
      <c r="N19" s="99">
        <v>36</v>
      </c>
      <c r="O19" s="7" t="s">
        <v>143</v>
      </c>
      <c r="P19" s="101">
        <v>42163</v>
      </c>
      <c r="Q19" s="68">
        <v>300</v>
      </c>
      <c r="R19" s="27" t="s">
        <v>190</v>
      </c>
      <c r="S19" s="75">
        <v>42191</v>
      </c>
      <c r="T19" s="76">
        <v>5000</v>
      </c>
      <c r="U19" s="52" t="s">
        <v>244</v>
      </c>
      <c r="V19" s="80">
        <v>42228</v>
      </c>
      <c r="W19" s="81">
        <v>200</v>
      </c>
      <c r="X19" s="39" t="s">
        <v>311</v>
      </c>
      <c r="Y19" s="84">
        <v>42251</v>
      </c>
      <c r="Z19" s="85">
        <v>1150</v>
      </c>
      <c r="AA19" s="67" t="s">
        <v>371</v>
      </c>
      <c r="AB19" s="86">
        <v>42286</v>
      </c>
      <c r="AC19" s="87">
        <v>1577.92</v>
      </c>
      <c r="AD19" s="56" t="s">
        <v>536</v>
      </c>
      <c r="AE19" s="90">
        <v>42316</v>
      </c>
      <c r="AF19" s="91">
        <v>45</v>
      </c>
      <c r="AG19" s="59" t="s">
        <v>563</v>
      </c>
      <c r="AH19" s="113">
        <v>42341</v>
      </c>
      <c r="AI19" s="114">
        <v>600</v>
      </c>
      <c r="AJ19" s="63" t="s">
        <v>625</v>
      </c>
    </row>
    <row r="20" spans="1:36" x14ac:dyDescent="0.25">
      <c r="A20" s="10">
        <v>42023</v>
      </c>
      <c r="B20" s="95">
        <v>300</v>
      </c>
      <c r="C20" s="8" t="s">
        <v>28</v>
      </c>
      <c r="D20" s="25">
        <v>42047</v>
      </c>
      <c r="E20" s="23">
        <v>5500</v>
      </c>
      <c r="F20" s="6" t="s">
        <v>61</v>
      </c>
      <c r="G20" s="69">
        <v>42078</v>
      </c>
      <c r="H20" s="70">
        <v>3200</v>
      </c>
      <c r="I20" s="71" t="s">
        <v>86</v>
      </c>
      <c r="J20" s="34">
        <v>42109</v>
      </c>
      <c r="K20" s="97">
        <v>29000</v>
      </c>
      <c r="L20" s="35" t="s">
        <v>116</v>
      </c>
      <c r="M20" s="96">
        <v>42133</v>
      </c>
      <c r="N20" s="99">
        <v>4560</v>
      </c>
      <c r="O20" s="7" t="s">
        <v>169</v>
      </c>
      <c r="P20" s="101">
        <v>42163</v>
      </c>
      <c r="Q20" s="68">
        <v>90</v>
      </c>
      <c r="R20" s="27" t="s">
        <v>191</v>
      </c>
      <c r="S20" s="75">
        <v>42191</v>
      </c>
      <c r="T20" s="76">
        <v>90</v>
      </c>
      <c r="U20" s="52" t="s">
        <v>125</v>
      </c>
      <c r="V20" s="80">
        <v>42228</v>
      </c>
      <c r="W20" s="81">
        <v>90</v>
      </c>
      <c r="X20" s="39" t="s">
        <v>77</v>
      </c>
      <c r="Y20" s="84">
        <v>42252</v>
      </c>
      <c r="Z20" s="85">
        <v>156.85</v>
      </c>
      <c r="AA20" s="67" t="s">
        <v>372</v>
      </c>
      <c r="AB20" s="86">
        <v>42286</v>
      </c>
      <c r="AC20" s="87">
        <v>128</v>
      </c>
      <c r="AD20" s="56" t="s">
        <v>463</v>
      </c>
      <c r="AE20" s="90">
        <v>42316</v>
      </c>
      <c r="AF20" s="91">
        <v>80</v>
      </c>
      <c r="AG20" s="59" t="s">
        <v>573</v>
      </c>
      <c r="AH20" s="113">
        <v>42341</v>
      </c>
      <c r="AI20" s="114">
        <v>6200</v>
      </c>
      <c r="AJ20" s="63" t="s">
        <v>627</v>
      </c>
    </row>
    <row r="21" spans="1:36" x14ac:dyDescent="0.25">
      <c r="A21" s="10">
        <v>42024</v>
      </c>
      <c r="B21" s="95">
        <v>1000</v>
      </c>
      <c r="C21" s="8" t="s">
        <v>42</v>
      </c>
      <c r="D21" s="25">
        <v>42048</v>
      </c>
      <c r="E21" s="23">
        <v>600</v>
      </c>
      <c r="F21" s="6" t="s">
        <v>55</v>
      </c>
      <c r="G21" s="69">
        <v>42078</v>
      </c>
      <c r="H21" s="70">
        <v>350</v>
      </c>
      <c r="I21" s="71" t="s">
        <v>87</v>
      </c>
      <c r="J21" s="34">
        <v>42109</v>
      </c>
      <c r="K21" s="97">
        <v>3200</v>
      </c>
      <c r="L21" s="35" t="s">
        <v>117</v>
      </c>
      <c r="M21" s="96">
        <v>42135</v>
      </c>
      <c r="N21" s="99">
        <v>700</v>
      </c>
      <c r="O21" s="7" t="s">
        <v>144</v>
      </c>
      <c r="P21" s="101">
        <v>42163</v>
      </c>
      <c r="Q21" s="68">
        <v>300</v>
      </c>
      <c r="R21" s="27" t="s">
        <v>192</v>
      </c>
      <c r="S21" s="75">
        <v>42191</v>
      </c>
      <c r="T21" s="76">
        <v>1800</v>
      </c>
      <c r="U21" s="52" t="s">
        <v>245</v>
      </c>
      <c r="V21" s="80">
        <v>42229</v>
      </c>
      <c r="W21" s="81">
        <v>700</v>
      </c>
      <c r="X21" s="39" t="s">
        <v>312</v>
      </c>
      <c r="Y21" s="84">
        <v>42252</v>
      </c>
      <c r="Z21" s="85">
        <v>400</v>
      </c>
      <c r="AA21" s="67" t="s">
        <v>373</v>
      </c>
      <c r="AB21" s="86">
        <v>42286</v>
      </c>
      <c r="AC21" s="87">
        <v>300</v>
      </c>
      <c r="AD21" s="56" t="s">
        <v>468</v>
      </c>
      <c r="AE21" s="90">
        <v>42317</v>
      </c>
      <c r="AF21" s="91">
        <v>700</v>
      </c>
      <c r="AG21" s="59" t="s">
        <v>565</v>
      </c>
      <c r="AH21" s="113">
        <v>42341</v>
      </c>
      <c r="AI21" s="114">
        <v>150</v>
      </c>
      <c r="AJ21" s="63" t="s">
        <v>628</v>
      </c>
    </row>
    <row r="22" spans="1:36" x14ac:dyDescent="0.25">
      <c r="A22" s="10">
        <v>42025</v>
      </c>
      <c r="B22" s="95">
        <v>816</v>
      </c>
      <c r="C22" s="8" t="s">
        <v>29</v>
      </c>
      <c r="D22" s="25">
        <v>42050</v>
      </c>
      <c r="E22" s="23">
        <v>27900</v>
      </c>
      <c r="F22" s="6" t="s">
        <v>63</v>
      </c>
      <c r="G22" s="69">
        <v>42079</v>
      </c>
      <c r="H22" s="70">
        <v>700</v>
      </c>
      <c r="I22" s="71" t="s">
        <v>88</v>
      </c>
      <c r="J22" s="34">
        <v>42110</v>
      </c>
      <c r="K22" s="97">
        <v>5500</v>
      </c>
      <c r="L22" s="35" t="s">
        <v>118</v>
      </c>
      <c r="M22" s="96">
        <v>42135</v>
      </c>
      <c r="N22" s="99">
        <v>27</v>
      </c>
      <c r="O22" s="7" t="s">
        <v>145</v>
      </c>
      <c r="P22" s="101">
        <v>42163</v>
      </c>
      <c r="Q22" s="68">
        <v>2000</v>
      </c>
      <c r="R22" s="27" t="s">
        <v>193</v>
      </c>
      <c r="S22" s="75">
        <v>42191</v>
      </c>
      <c r="T22" s="76">
        <v>750</v>
      </c>
      <c r="U22" s="52" t="s">
        <v>246</v>
      </c>
      <c r="V22" s="80">
        <v>42229</v>
      </c>
      <c r="W22" s="81">
        <v>33.6</v>
      </c>
      <c r="X22" s="39" t="s">
        <v>313</v>
      </c>
      <c r="Y22" s="84">
        <v>42252</v>
      </c>
      <c r="Z22" s="85">
        <v>3</v>
      </c>
      <c r="AA22" s="67" t="s">
        <v>374</v>
      </c>
      <c r="AB22" s="86">
        <v>42286</v>
      </c>
      <c r="AC22" s="87">
        <v>1000</v>
      </c>
      <c r="AD22" s="56" t="s">
        <v>106</v>
      </c>
      <c r="AE22" s="90">
        <v>42317</v>
      </c>
      <c r="AF22" s="91">
        <v>400</v>
      </c>
      <c r="AG22" s="59" t="s">
        <v>565</v>
      </c>
      <c r="AH22" s="113">
        <v>42341</v>
      </c>
      <c r="AI22" s="114">
        <v>1200</v>
      </c>
      <c r="AJ22" s="63" t="s">
        <v>629</v>
      </c>
    </row>
    <row r="23" spans="1:36" x14ac:dyDescent="0.25">
      <c r="A23" s="10">
        <v>42025</v>
      </c>
      <c r="B23" s="95">
        <v>60</v>
      </c>
      <c r="C23" s="8" t="s">
        <v>33</v>
      </c>
      <c r="D23" s="25">
        <v>42050</v>
      </c>
      <c r="E23" s="23">
        <v>3200</v>
      </c>
      <c r="F23" s="6" t="s">
        <v>64</v>
      </c>
      <c r="G23" s="69">
        <v>42079</v>
      </c>
      <c r="H23" s="70">
        <v>300</v>
      </c>
      <c r="I23" s="71" t="s">
        <v>92</v>
      </c>
      <c r="J23" s="34">
        <v>42110</v>
      </c>
      <c r="K23" s="97">
        <v>2600</v>
      </c>
      <c r="L23" s="35" t="s">
        <v>119</v>
      </c>
      <c r="M23" s="96">
        <v>42135</v>
      </c>
      <c r="N23" s="99">
        <v>290</v>
      </c>
      <c r="O23" s="7" t="s">
        <v>146</v>
      </c>
      <c r="P23" s="101">
        <v>42164</v>
      </c>
      <c r="Q23" s="68">
        <v>500</v>
      </c>
      <c r="R23" s="27" t="s">
        <v>194</v>
      </c>
      <c r="S23" s="75">
        <v>42191</v>
      </c>
      <c r="T23" s="76">
        <v>2220</v>
      </c>
      <c r="U23" s="52" t="s">
        <v>247</v>
      </c>
      <c r="V23" s="80">
        <v>42230</v>
      </c>
      <c r="W23" s="81">
        <v>746</v>
      </c>
      <c r="X23" s="39" t="s">
        <v>314</v>
      </c>
      <c r="Y23" s="84">
        <v>42252</v>
      </c>
      <c r="Z23" s="85">
        <v>10</v>
      </c>
      <c r="AA23" s="67" t="s">
        <v>375</v>
      </c>
      <c r="AB23" s="86">
        <v>42286</v>
      </c>
      <c r="AC23" s="87">
        <v>500</v>
      </c>
      <c r="AD23" s="56" t="s">
        <v>469</v>
      </c>
      <c r="AE23" s="90">
        <v>42317</v>
      </c>
      <c r="AF23" s="91">
        <v>550</v>
      </c>
      <c r="AG23" s="59" t="s">
        <v>577</v>
      </c>
      <c r="AH23" s="113">
        <v>42342</v>
      </c>
      <c r="AI23" s="114">
        <v>1000</v>
      </c>
      <c r="AJ23" s="63" t="s">
        <v>630</v>
      </c>
    </row>
    <row r="24" spans="1:36" x14ac:dyDescent="0.25">
      <c r="A24" s="10">
        <v>42026</v>
      </c>
      <c r="B24" s="95">
        <v>1000</v>
      </c>
      <c r="C24" s="8" t="s">
        <v>34</v>
      </c>
      <c r="D24" s="25">
        <v>42051</v>
      </c>
      <c r="E24" s="23">
        <v>200</v>
      </c>
      <c r="F24" s="6" t="s">
        <v>65</v>
      </c>
      <c r="G24" s="69">
        <v>42080</v>
      </c>
      <c r="H24" s="70">
        <v>415</v>
      </c>
      <c r="I24" s="71" t="s">
        <v>89</v>
      </c>
      <c r="J24" s="34">
        <v>42111</v>
      </c>
      <c r="K24" s="97">
        <v>600</v>
      </c>
      <c r="L24" s="35" t="s">
        <v>106</v>
      </c>
      <c r="M24" s="96">
        <v>42135</v>
      </c>
      <c r="N24" s="99">
        <v>100</v>
      </c>
      <c r="O24" s="7" t="s">
        <v>147</v>
      </c>
      <c r="P24" s="101">
        <v>42164</v>
      </c>
      <c r="Q24" s="68">
        <v>280</v>
      </c>
      <c r="R24" s="27" t="s">
        <v>195</v>
      </c>
      <c r="S24" s="75">
        <v>42192</v>
      </c>
      <c r="T24" s="76">
        <v>250</v>
      </c>
      <c r="U24" s="52" t="s">
        <v>248</v>
      </c>
      <c r="V24" s="80">
        <v>42230</v>
      </c>
      <c r="W24" s="81">
        <v>600</v>
      </c>
      <c r="X24" s="82" t="s">
        <v>106</v>
      </c>
      <c r="Y24" s="84">
        <v>42252</v>
      </c>
      <c r="Z24" s="85">
        <v>19</v>
      </c>
      <c r="AA24" s="67" t="s">
        <v>376</v>
      </c>
      <c r="AB24" s="86">
        <v>42287</v>
      </c>
      <c r="AC24" s="87">
        <v>199.5</v>
      </c>
      <c r="AD24" s="56" t="s">
        <v>449</v>
      </c>
      <c r="AE24" s="90">
        <v>42317</v>
      </c>
      <c r="AF24" s="91">
        <v>75</v>
      </c>
      <c r="AG24" s="59" t="s">
        <v>124</v>
      </c>
      <c r="AH24" s="113">
        <v>42342</v>
      </c>
      <c r="AI24" s="114">
        <v>600</v>
      </c>
      <c r="AJ24" s="63" t="s">
        <v>631</v>
      </c>
    </row>
    <row r="25" spans="1:36" x14ac:dyDescent="0.25">
      <c r="A25" s="10">
        <v>42026</v>
      </c>
      <c r="B25" s="95">
        <v>644</v>
      </c>
      <c r="C25" s="8" t="s">
        <v>35</v>
      </c>
      <c r="D25" s="25">
        <v>42051</v>
      </c>
      <c r="E25" s="23">
        <v>60</v>
      </c>
      <c r="F25" s="6" t="s">
        <v>66</v>
      </c>
      <c r="G25" s="69">
        <v>42083</v>
      </c>
      <c r="H25" s="70">
        <v>800</v>
      </c>
      <c r="I25" s="71" t="s">
        <v>97</v>
      </c>
      <c r="J25" s="34">
        <v>42111</v>
      </c>
      <c r="K25" s="97">
        <v>315</v>
      </c>
      <c r="L25" s="35" t="s">
        <v>120</v>
      </c>
      <c r="M25" s="96">
        <v>42136</v>
      </c>
      <c r="N25" s="99">
        <v>33000</v>
      </c>
      <c r="O25" s="7" t="s">
        <v>220</v>
      </c>
      <c r="P25" s="101">
        <v>42165</v>
      </c>
      <c r="Q25" s="68">
        <v>500</v>
      </c>
      <c r="R25" s="27" t="s">
        <v>198</v>
      </c>
      <c r="S25" s="75">
        <v>42192</v>
      </c>
      <c r="T25" s="76">
        <v>1200</v>
      </c>
      <c r="U25" s="52" t="s">
        <v>255</v>
      </c>
      <c r="V25" s="80">
        <v>42230</v>
      </c>
      <c r="W25" s="81">
        <v>306.68</v>
      </c>
      <c r="X25" s="83" t="s">
        <v>315</v>
      </c>
      <c r="Y25" s="84">
        <v>42253</v>
      </c>
      <c r="Z25" s="85">
        <v>64</v>
      </c>
      <c r="AA25" s="67" t="s">
        <v>377</v>
      </c>
      <c r="AB25" s="86">
        <v>42287</v>
      </c>
      <c r="AC25" s="87">
        <v>36</v>
      </c>
      <c r="AD25" s="56" t="s">
        <v>464</v>
      </c>
      <c r="AE25" s="90">
        <v>42318</v>
      </c>
      <c r="AF25" s="91">
        <v>231</v>
      </c>
      <c r="AG25" s="59" t="s">
        <v>574</v>
      </c>
      <c r="AH25" s="113">
        <v>42342</v>
      </c>
      <c r="AI25" s="114">
        <v>210</v>
      </c>
      <c r="AJ25" s="63" t="s">
        <v>632</v>
      </c>
    </row>
    <row r="26" spans="1:36" x14ac:dyDescent="0.25">
      <c r="A26" s="10">
        <v>42027</v>
      </c>
      <c r="B26" s="95">
        <v>500</v>
      </c>
      <c r="C26" s="8" t="s">
        <v>30</v>
      </c>
      <c r="D26" s="25">
        <v>42053</v>
      </c>
      <c r="E26" s="23">
        <v>1051</v>
      </c>
      <c r="F26" s="6" t="s">
        <v>67</v>
      </c>
      <c r="G26" s="69">
        <v>42083</v>
      </c>
      <c r="H26" s="70">
        <v>350</v>
      </c>
      <c r="I26" s="71" t="s">
        <v>98</v>
      </c>
      <c r="J26" s="34">
        <v>42114</v>
      </c>
      <c r="K26" s="97">
        <v>800</v>
      </c>
      <c r="L26" s="35" t="s">
        <v>121</v>
      </c>
      <c r="M26" s="96">
        <v>42136</v>
      </c>
      <c r="N26" s="99">
        <v>48</v>
      </c>
      <c r="O26" s="7" t="s">
        <v>148</v>
      </c>
      <c r="P26" s="101">
        <v>42165</v>
      </c>
      <c r="Q26" s="68">
        <v>30</v>
      </c>
      <c r="R26" s="27" t="s">
        <v>196</v>
      </c>
      <c r="S26" s="75">
        <v>42195</v>
      </c>
      <c r="T26" s="76">
        <v>600</v>
      </c>
      <c r="U26" s="52" t="s">
        <v>106</v>
      </c>
      <c r="V26" s="80">
        <v>42230</v>
      </c>
      <c r="W26" s="81">
        <v>114</v>
      </c>
      <c r="X26" s="39" t="s">
        <v>316</v>
      </c>
      <c r="Y26" s="84">
        <v>42254</v>
      </c>
      <c r="Z26" s="85">
        <v>32</v>
      </c>
      <c r="AA26" s="67" t="s">
        <v>378</v>
      </c>
      <c r="AB26" s="86">
        <v>42287</v>
      </c>
      <c r="AC26" s="87">
        <v>3</v>
      </c>
      <c r="AD26" s="56" t="s">
        <v>465</v>
      </c>
      <c r="AE26" s="90">
        <v>42319</v>
      </c>
      <c r="AF26" s="91">
        <v>700</v>
      </c>
      <c r="AG26" s="59" t="s">
        <v>575</v>
      </c>
      <c r="AH26" s="113">
        <v>42342</v>
      </c>
      <c r="AI26" s="114">
        <v>80</v>
      </c>
      <c r="AJ26" s="63" t="s">
        <v>640</v>
      </c>
    </row>
    <row r="27" spans="1:36" x14ac:dyDescent="0.25">
      <c r="A27" s="10">
        <v>42027</v>
      </c>
      <c r="B27" s="95">
        <v>1760</v>
      </c>
      <c r="C27" s="117" t="s">
        <v>31</v>
      </c>
      <c r="D27" s="25">
        <v>42055</v>
      </c>
      <c r="E27" s="23">
        <v>600</v>
      </c>
      <c r="F27" s="6" t="s">
        <v>55</v>
      </c>
      <c r="G27" s="69">
        <v>42086</v>
      </c>
      <c r="H27" s="70">
        <v>90</v>
      </c>
      <c r="I27" s="71" t="s">
        <v>93</v>
      </c>
      <c r="J27" s="34">
        <v>42114</v>
      </c>
      <c r="K27" s="97">
        <v>300</v>
      </c>
      <c r="L27" s="35" t="s">
        <v>105</v>
      </c>
      <c r="M27" s="96">
        <v>42137</v>
      </c>
      <c r="N27" s="99">
        <v>20</v>
      </c>
      <c r="O27" s="7" t="s">
        <v>166</v>
      </c>
      <c r="P27" s="101">
        <v>42165</v>
      </c>
      <c r="Q27" s="68">
        <v>1240</v>
      </c>
      <c r="R27" s="27" t="s">
        <v>197</v>
      </c>
      <c r="S27" s="75">
        <v>42195</v>
      </c>
      <c r="T27" s="76">
        <v>1740</v>
      </c>
      <c r="U27" s="52" t="s">
        <v>247</v>
      </c>
      <c r="V27" s="80">
        <v>42231</v>
      </c>
      <c r="W27" s="81">
        <v>4000</v>
      </c>
      <c r="X27" s="39" t="s">
        <v>317</v>
      </c>
      <c r="Y27" s="84">
        <v>42254</v>
      </c>
      <c r="Z27" s="85">
        <v>2000</v>
      </c>
      <c r="AA27" s="67" t="s">
        <v>379</v>
      </c>
      <c r="AB27" s="86">
        <v>42288</v>
      </c>
      <c r="AC27" s="87">
        <v>80</v>
      </c>
      <c r="AD27" s="56" t="s">
        <v>466</v>
      </c>
      <c r="AE27" s="90">
        <v>42319</v>
      </c>
      <c r="AF27" s="91">
        <v>280</v>
      </c>
      <c r="AG27" s="59" t="s">
        <v>576</v>
      </c>
      <c r="AH27" s="113">
        <v>42343</v>
      </c>
      <c r="AI27" s="114">
        <v>1040</v>
      </c>
      <c r="AJ27" s="63" t="s">
        <v>633</v>
      </c>
    </row>
    <row r="28" spans="1:36" x14ac:dyDescent="0.25">
      <c r="A28" s="10">
        <v>42027</v>
      </c>
      <c r="B28" s="95">
        <v>1051</v>
      </c>
      <c r="C28" s="8" t="s">
        <v>32</v>
      </c>
      <c r="D28" s="25">
        <v>42055</v>
      </c>
      <c r="E28" s="23">
        <v>60</v>
      </c>
      <c r="F28" s="6" t="s">
        <v>47</v>
      </c>
      <c r="G28" s="69">
        <v>42086</v>
      </c>
      <c r="H28" s="70">
        <v>60</v>
      </c>
      <c r="I28" s="73" t="s">
        <v>91</v>
      </c>
      <c r="J28" s="34">
        <v>42114</v>
      </c>
      <c r="K28" s="97">
        <v>90</v>
      </c>
      <c r="L28" s="35" t="s">
        <v>77</v>
      </c>
      <c r="M28" s="96">
        <v>42138</v>
      </c>
      <c r="N28" s="99">
        <v>15</v>
      </c>
      <c r="O28" s="7" t="s">
        <v>149</v>
      </c>
      <c r="P28" s="101">
        <v>42166</v>
      </c>
      <c r="Q28" s="68">
        <v>500</v>
      </c>
      <c r="R28" s="27" t="s">
        <v>199</v>
      </c>
      <c r="S28" s="75">
        <v>42196</v>
      </c>
      <c r="T28" s="76">
        <v>315</v>
      </c>
      <c r="U28" s="52" t="s">
        <v>249</v>
      </c>
      <c r="V28" s="80">
        <v>42231</v>
      </c>
      <c r="W28" s="81">
        <v>238.8</v>
      </c>
      <c r="X28" s="39" t="s">
        <v>359</v>
      </c>
      <c r="Y28" s="84">
        <v>42254</v>
      </c>
      <c r="Z28" s="85">
        <v>567.16</v>
      </c>
      <c r="AA28" s="67" t="s">
        <v>358</v>
      </c>
      <c r="AB28" s="86">
        <v>42288</v>
      </c>
      <c r="AC28" s="87">
        <v>103.5</v>
      </c>
      <c r="AD28" s="56" t="s">
        <v>455</v>
      </c>
      <c r="AE28" s="90">
        <v>42319</v>
      </c>
      <c r="AF28" s="91">
        <v>300</v>
      </c>
      <c r="AG28" s="59" t="s">
        <v>578</v>
      </c>
      <c r="AH28" s="113">
        <v>42343</v>
      </c>
      <c r="AI28" s="114">
        <v>80</v>
      </c>
      <c r="AJ28" s="63" t="s">
        <v>634</v>
      </c>
    </row>
    <row r="29" spans="1:36" x14ac:dyDescent="0.25">
      <c r="A29" s="10">
        <v>42027</v>
      </c>
      <c r="B29" s="95">
        <v>200</v>
      </c>
      <c r="C29" s="8" t="s">
        <v>37</v>
      </c>
      <c r="D29" s="25">
        <v>42055</v>
      </c>
      <c r="E29" s="23">
        <v>1500</v>
      </c>
      <c r="F29" s="6" t="s">
        <v>68</v>
      </c>
      <c r="G29" s="69">
        <v>42086</v>
      </c>
      <c r="H29" s="70">
        <v>390</v>
      </c>
      <c r="I29" s="71" t="s">
        <v>94</v>
      </c>
      <c r="J29" s="34">
        <v>42117</v>
      </c>
      <c r="K29" s="97">
        <v>79.5</v>
      </c>
      <c r="L29" s="35" t="s">
        <v>122</v>
      </c>
      <c r="M29" s="96">
        <v>42138</v>
      </c>
      <c r="N29" s="99">
        <v>400</v>
      </c>
      <c r="O29" s="7" t="s">
        <v>167</v>
      </c>
      <c r="P29" s="101">
        <v>42166</v>
      </c>
      <c r="Q29" s="68">
        <v>500</v>
      </c>
      <c r="R29" s="27" t="s">
        <v>200</v>
      </c>
      <c r="S29" s="75">
        <v>42196</v>
      </c>
      <c r="T29" s="76">
        <v>2000</v>
      </c>
      <c r="U29" s="52" t="s">
        <v>250</v>
      </c>
      <c r="V29" s="80">
        <v>42231</v>
      </c>
      <c r="W29" s="81">
        <v>3200</v>
      </c>
      <c r="X29" s="39" t="s">
        <v>318</v>
      </c>
      <c r="Y29" s="84">
        <v>43717</v>
      </c>
      <c r="Z29" s="85">
        <v>1095</v>
      </c>
      <c r="AA29" s="67" t="s">
        <v>380</v>
      </c>
      <c r="AB29" s="86">
        <v>42289</v>
      </c>
      <c r="AC29" s="87">
        <v>406</v>
      </c>
      <c r="AD29" s="56" t="s">
        <v>470</v>
      </c>
      <c r="AE29" s="90">
        <v>42321</v>
      </c>
      <c r="AF29" s="91">
        <v>1000</v>
      </c>
      <c r="AG29" s="59" t="s">
        <v>571</v>
      </c>
      <c r="AH29" s="113">
        <v>42343</v>
      </c>
      <c r="AI29" s="114">
        <v>200</v>
      </c>
      <c r="AJ29" s="63" t="s">
        <v>635</v>
      </c>
    </row>
    <row r="30" spans="1:36" x14ac:dyDescent="0.25">
      <c r="A30" s="10">
        <v>42028</v>
      </c>
      <c r="B30" s="95">
        <v>5000</v>
      </c>
      <c r="C30" s="8" t="s">
        <v>36</v>
      </c>
      <c r="D30" s="25">
        <v>42060</v>
      </c>
      <c r="E30" s="23">
        <v>600</v>
      </c>
      <c r="F30" s="6" t="s">
        <v>70</v>
      </c>
      <c r="G30" s="69">
        <v>42086</v>
      </c>
      <c r="H30" s="70">
        <v>300</v>
      </c>
      <c r="I30" s="72" t="s">
        <v>103</v>
      </c>
      <c r="J30" s="34">
        <v>42118</v>
      </c>
      <c r="K30" s="97">
        <v>4250</v>
      </c>
      <c r="L30" s="35" t="s">
        <v>123</v>
      </c>
      <c r="M30" s="96">
        <v>42139</v>
      </c>
      <c r="N30" s="99">
        <v>575</v>
      </c>
      <c r="O30" s="7" t="s">
        <v>150</v>
      </c>
      <c r="P30" s="101">
        <v>42166</v>
      </c>
      <c r="Q30" s="68">
        <v>878.02</v>
      </c>
      <c r="R30" s="27" t="s">
        <v>203</v>
      </c>
      <c r="S30" s="75">
        <v>42196</v>
      </c>
      <c r="T30" s="76">
        <v>5000</v>
      </c>
      <c r="U30" s="52" t="s">
        <v>252</v>
      </c>
      <c r="V30" s="80">
        <v>42139</v>
      </c>
      <c r="W30" s="81">
        <v>29000</v>
      </c>
      <c r="X30" s="39" t="s">
        <v>319</v>
      </c>
      <c r="Y30" s="84">
        <v>42256</v>
      </c>
      <c r="Z30" s="85">
        <v>32</v>
      </c>
      <c r="AA30" s="67" t="s">
        <v>110</v>
      </c>
      <c r="AB30" s="86">
        <v>42290</v>
      </c>
      <c r="AC30" s="87">
        <v>53.5</v>
      </c>
      <c r="AD30" s="56" t="s">
        <v>471</v>
      </c>
      <c r="AE30" s="90">
        <v>42321</v>
      </c>
      <c r="AF30" s="91">
        <v>350</v>
      </c>
      <c r="AG30" s="59" t="s">
        <v>579</v>
      </c>
      <c r="AH30" s="113">
        <v>42343</v>
      </c>
      <c r="AI30" s="114">
        <v>97</v>
      </c>
      <c r="AJ30" s="63" t="s">
        <v>636</v>
      </c>
    </row>
    <row r="31" spans="1:36" x14ac:dyDescent="0.25">
      <c r="A31" s="10">
        <v>42028</v>
      </c>
      <c r="B31" s="95">
        <v>180</v>
      </c>
      <c r="C31" s="8" t="s">
        <v>43</v>
      </c>
      <c r="D31" s="25">
        <v>42062</v>
      </c>
      <c r="E31" s="23">
        <v>92.88</v>
      </c>
      <c r="F31" s="6" t="s">
        <v>71</v>
      </c>
      <c r="G31" s="69">
        <v>42087</v>
      </c>
      <c r="H31" s="70">
        <v>200</v>
      </c>
      <c r="I31" s="71" t="s">
        <v>95</v>
      </c>
      <c r="J31" s="34">
        <v>42118</v>
      </c>
      <c r="K31" s="97">
        <v>600</v>
      </c>
      <c r="L31" s="35" t="s">
        <v>106</v>
      </c>
      <c r="M31" s="96">
        <v>42139</v>
      </c>
      <c r="N31" s="99">
        <v>29000</v>
      </c>
      <c r="O31" s="7" t="s">
        <v>151</v>
      </c>
      <c r="P31" s="101">
        <v>42167</v>
      </c>
      <c r="Q31" s="68">
        <v>60</v>
      </c>
      <c r="R31" s="27" t="s">
        <v>646</v>
      </c>
      <c r="S31" s="75">
        <v>42198</v>
      </c>
      <c r="T31" s="76">
        <v>1150</v>
      </c>
      <c r="U31" s="52" t="s">
        <v>253</v>
      </c>
      <c r="V31" s="80">
        <v>42231</v>
      </c>
      <c r="W31" s="81">
        <v>112</v>
      </c>
      <c r="X31" s="39" t="s">
        <v>307</v>
      </c>
      <c r="Y31" s="84">
        <v>42257</v>
      </c>
      <c r="Z31" s="85">
        <v>293</v>
      </c>
      <c r="AA31" s="67" t="s">
        <v>381</v>
      </c>
      <c r="AB31" s="86">
        <v>42290</v>
      </c>
      <c r="AC31" s="87">
        <v>407.1</v>
      </c>
      <c r="AD31" s="56" t="s">
        <v>472</v>
      </c>
      <c r="AE31" s="90">
        <v>42321</v>
      </c>
      <c r="AF31" s="91">
        <v>280</v>
      </c>
      <c r="AG31" s="59" t="s">
        <v>580</v>
      </c>
      <c r="AH31" s="113">
        <v>42344</v>
      </c>
      <c r="AI31" s="114">
        <v>120</v>
      </c>
      <c r="AJ31" s="63" t="s">
        <v>637</v>
      </c>
    </row>
    <row r="32" spans="1:36" x14ac:dyDescent="0.25">
      <c r="A32" s="10">
        <v>42030</v>
      </c>
      <c r="B32" s="95">
        <v>60</v>
      </c>
      <c r="C32" s="8" t="s">
        <v>33</v>
      </c>
      <c r="D32" s="25">
        <v>42062</v>
      </c>
      <c r="E32" s="23">
        <v>90</v>
      </c>
      <c r="F32" s="6" t="s">
        <v>72</v>
      </c>
      <c r="G32" s="69">
        <v>42087</v>
      </c>
      <c r="H32" s="70">
        <v>1760</v>
      </c>
      <c r="I32" s="118" t="s">
        <v>96</v>
      </c>
      <c r="J32" s="34">
        <v>42121</v>
      </c>
      <c r="K32" s="97">
        <v>60</v>
      </c>
      <c r="L32" s="35" t="s">
        <v>124</v>
      </c>
      <c r="M32" s="96">
        <v>42139</v>
      </c>
      <c r="N32" s="99">
        <v>3200</v>
      </c>
      <c r="O32" s="7" t="s">
        <v>152</v>
      </c>
      <c r="P32" s="101">
        <v>42167</v>
      </c>
      <c r="Q32" s="68">
        <v>600</v>
      </c>
      <c r="R32" s="27" t="s">
        <v>185</v>
      </c>
      <c r="S32" s="75">
        <v>42198</v>
      </c>
      <c r="T32" s="76">
        <v>1500</v>
      </c>
      <c r="U32" s="52" t="s">
        <v>254</v>
      </c>
      <c r="V32" s="80">
        <v>42232</v>
      </c>
      <c r="W32" s="81">
        <v>400</v>
      </c>
      <c r="X32" s="39" t="s">
        <v>320</v>
      </c>
      <c r="Y32" s="84">
        <v>42257</v>
      </c>
      <c r="Z32" s="85">
        <v>40</v>
      </c>
      <c r="AA32" s="67" t="s">
        <v>389</v>
      </c>
      <c r="AB32" s="86">
        <v>42291</v>
      </c>
      <c r="AC32" s="87">
        <v>61.5</v>
      </c>
      <c r="AD32" s="56" t="s">
        <v>473</v>
      </c>
      <c r="AE32" s="90">
        <v>42321</v>
      </c>
      <c r="AF32" s="91">
        <v>140</v>
      </c>
      <c r="AG32" s="59" t="s">
        <v>444</v>
      </c>
      <c r="AH32" s="113">
        <v>42345</v>
      </c>
      <c r="AI32" s="114">
        <v>750</v>
      </c>
      <c r="AJ32" s="63" t="s">
        <v>638</v>
      </c>
    </row>
    <row r="33" spans="1:36" x14ac:dyDescent="0.25">
      <c r="A33" s="10">
        <v>42030</v>
      </c>
      <c r="B33" s="95">
        <v>6000</v>
      </c>
      <c r="C33" s="8" t="s">
        <v>41</v>
      </c>
      <c r="D33" s="25">
        <v>42062</v>
      </c>
      <c r="E33" s="23">
        <v>600</v>
      </c>
      <c r="F33" s="6" t="s">
        <v>55</v>
      </c>
      <c r="G33" s="69">
        <v>42087</v>
      </c>
      <c r="H33" s="70">
        <v>650</v>
      </c>
      <c r="I33" s="72" t="s">
        <v>99</v>
      </c>
      <c r="J33" s="34">
        <v>42121</v>
      </c>
      <c r="K33" s="97">
        <v>1500</v>
      </c>
      <c r="L33" s="35" t="s">
        <v>129</v>
      </c>
      <c r="M33" s="96">
        <v>42139</v>
      </c>
      <c r="N33" s="99">
        <v>600</v>
      </c>
      <c r="O33" s="7" t="s">
        <v>106</v>
      </c>
      <c r="P33" s="101">
        <v>42167</v>
      </c>
      <c r="Q33" s="68">
        <v>22000</v>
      </c>
      <c r="R33" s="27" t="s">
        <v>221</v>
      </c>
      <c r="S33" s="75">
        <v>42198</v>
      </c>
      <c r="T33" s="76">
        <v>1500</v>
      </c>
      <c r="U33" s="52" t="s">
        <v>255</v>
      </c>
      <c r="V33" s="80">
        <v>42232</v>
      </c>
      <c r="W33" s="81">
        <v>200</v>
      </c>
      <c r="X33" s="39" t="s">
        <v>322</v>
      </c>
      <c r="Y33" s="84">
        <v>42257</v>
      </c>
      <c r="Z33" s="85">
        <v>105</v>
      </c>
      <c r="AA33" s="67" t="s">
        <v>382</v>
      </c>
      <c r="AB33" s="86">
        <v>42291</v>
      </c>
      <c r="AC33" s="87">
        <v>96</v>
      </c>
      <c r="AD33" s="56" t="s">
        <v>77</v>
      </c>
      <c r="AE33" s="90">
        <v>42321</v>
      </c>
      <c r="AF33" s="91">
        <v>100</v>
      </c>
      <c r="AG33" s="59" t="s">
        <v>581</v>
      </c>
      <c r="AH33" s="113">
        <v>42345</v>
      </c>
      <c r="AI33" s="114">
        <v>304.5</v>
      </c>
      <c r="AJ33" s="63" t="s">
        <v>639</v>
      </c>
    </row>
    <row r="34" spans="1:36" x14ac:dyDescent="0.25">
      <c r="A34" s="10">
        <v>42031</v>
      </c>
      <c r="B34" s="95">
        <v>500</v>
      </c>
      <c r="C34" s="8" t="s">
        <v>38</v>
      </c>
      <c r="D34" s="25">
        <v>42063</v>
      </c>
      <c r="E34" s="23">
        <v>27900</v>
      </c>
      <c r="F34" s="79" t="s">
        <v>73</v>
      </c>
      <c r="G34" s="69">
        <v>42090</v>
      </c>
      <c r="H34" s="70">
        <v>600</v>
      </c>
      <c r="I34" s="71" t="s">
        <v>30</v>
      </c>
      <c r="J34" s="34">
        <v>42123</v>
      </c>
      <c r="K34" s="97">
        <v>700</v>
      </c>
      <c r="L34" s="35" t="s">
        <v>130</v>
      </c>
      <c r="M34" s="96">
        <v>42140</v>
      </c>
      <c r="N34" s="99">
        <v>350</v>
      </c>
      <c r="O34" s="7" t="s">
        <v>153</v>
      </c>
      <c r="P34" s="101">
        <v>42168</v>
      </c>
      <c r="Q34" s="68">
        <v>772</v>
      </c>
      <c r="R34" s="27" t="s">
        <v>186</v>
      </c>
      <c r="S34" s="75">
        <v>42198</v>
      </c>
      <c r="T34" s="76">
        <v>1438.8</v>
      </c>
      <c r="U34" s="52" t="s">
        <v>256</v>
      </c>
      <c r="V34" s="80">
        <v>42232</v>
      </c>
      <c r="W34" s="81">
        <v>200</v>
      </c>
      <c r="X34" s="39" t="s">
        <v>321</v>
      </c>
      <c r="Y34" s="84">
        <v>42257</v>
      </c>
      <c r="Z34" s="85">
        <v>5</v>
      </c>
      <c r="AA34" s="67" t="s">
        <v>374</v>
      </c>
      <c r="AB34" s="86">
        <v>42291</v>
      </c>
      <c r="AC34" s="87">
        <v>500</v>
      </c>
      <c r="AD34" s="56" t="s">
        <v>474</v>
      </c>
      <c r="AE34" s="90">
        <v>42321</v>
      </c>
      <c r="AF34" s="91">
        <v>400</v>
      </c>
      <c r="AG34" s="59" t="s">
        <v>582</v>
      </c>
      <c r="AH34" s="113">
        <v>42346</v>
      </c>
      <c r="AI34" s="114">
        <v>350</v>
      </c>
      <c r="AJ34" s="63" t="s">
        <v>642</v>
      </c>
    </row>
    <row r="35" spans="1:36" x14ac:dyDescent="0.25">
      <c r="A35" s="10">
        <v>42033</v>
      </c>
      <c r="B35" s="95">
        <v>400</v>
      </c>
      <c r="C35" s="8" t="s">
        <v>44</v>
      </c>
      <c r="D35" s="25">
        <v>42063</v>
      </c>
      <c r="E35" s="23">
        <v>3200</v>
      </c>
      <c r="F35" s="6" t="s">
        <v>74</v>
      </c>
      <c r="G35" s="69">
        <v>42090</v>
      </c>
      <c r="H35" s="70">
        <v>30</v>
      </c>
      <c r="I35" s="71" t="s">
        <v>104</v>
      </c>
      <c r="J35" s="34">
        <v>42123</v>
      </c>
      <c r="K35" s="97">
        <v>60</v>
      </c>
      <c r="L35" s="35" t="s">
        <v>124</v>
      </c>
      <c r="M35" s="96">
        <v>42140</v>
      </c>
      <c r="N35" s="99">
        <v>67.5</v>
      </c>
      <c r="O35" s="7" t="s">
        <v>154</v>
      </c>
      <c r="P35" s="101">
        <v>42168</v>
      </c>
      <c r="Q35" s="68">
        <v>800</v>
      </c>
      <c r="R35" s="27" t="s">
        <v>201</v>
      </c>
      <c r="S35" s="75">
        <v>42198</v>
      </c>
      <c r="T35" s="76">
        <v>60</v>
      </c>
      <c r="U35" s="52" t="s">
        <v>281</v>
      </c>
      <c r="V35" s="80">
        <v>42233</v>
      </c>
      <c r="W35" s="81">
        <v>600</v>
      </c>
      <c r="X35" s="39" t="s">
        <v>300</v>
      </c>
      <c r="Y35" s="84">
        <v>42257</v>
      </c>
      <c r="Z35" s="108">
        <v>700</v>
      </c>
      <c r="AA35" s="110" t="s">
        <v>440</v>
      </c>
      <c r="AB35" s="86">
        <v>42291</v>
      </c>
      <c r="AC35" s="87">
        <v>800</v>
      </c>
      <c r="AD35" s="56" t="s">
        <v>475</v>
      </c>
      <c r="AE35" s="90">
        <v>42323</v>
      </c>
      <c r="AF35" s="91">
        <v>80</v>
      </c>
      <c r="AG35" s="59" t="s">
        <v>573</v>
      </c>
      <c r="AH35" s="113">
        <v>42347</v>
      </c>
      <c r="AI35" s="114">
        <v>1000</v>
      </c>
      <c r="AJ35" s="63" t="s">
        <v>641</v>
      </c>
    </row>
    <row r="36" spans="1:36" x14ac:dyDescent="0.25">
      <c r="A36" s="10">
        <v>42033</v>
      </c>
      <c r="B36" s="95">
        <v>3000</v>
      </c>
      <c r="C36" s="8" t="s">
        <v>45</v>
      </c>
      <c r="D36" s="25"/>
      <c r="E36" s="23"/>
      <c r="F36" s="6"/>
      <c r="G36" s="69">
        <v>42094</v>
      </c>
      <c r="H36" s="70">
        <v>1760</v>
      </c>
      <c r="I36" s="119" t="s">
        <v>131</v>
      </c>
      <c r="J36" s="34">
        <v>42123</v>
      </c>
      <c r="K36" s="97">
        <v>90</v>
      </c>
      <c r="L36" s="35" t="s">
        <v>125</v>
      </c>
      <c r="M36" s="96">
        <v>42140</v>
      </c>
      <c r="N36" s="99">
        <v>653</v>
      </c>
      <c r="O36" s="7" t="s">
        <v>146</v>
      </c>
      <c r="P36" s="101">
        <v>42170</v>
      </c>
      <c r="Q36" s="68">
        <v>29000</v>
      </c>
      <c r="R36" s="27" t="s">
        <v>209</v>
      </c>
      <c r="S36" s="75">
        <v>42198</v>
      </c>
      <c r="T36" s="76">
        <v>238</v>
      </c>
      <c r="U36" s="52" t="s">
        <v>282</v>
      </c>
      <c r="V36" s="80">
        <v>42233</v>
      </c>
      <c r="W36" s="81">
        <v>26</v>
      </c>
      <c r="X36" s="39" t="s">
        <v>323</v>
      </c>
      <c r="Y36" s="84">
        <v>42258</v>
      </c>
      <c r="Z36" s="108">
        <v>1100</v>
      </c>
      <c r="AA36" s="110" t="s">
        <v>441</v>
      </c>
      <c r="AB36" s="86">
        <v>42292</v>
      </c>
      <c r="AC36" s="87">
        <v>350</v>
      </c>
      <c r="AD36" s="56" t="s">
        <v>476</v>
      </c>
      <c r="AE36" s="90">
        <v>42323</v>
      </c>
      <c r="AF36" s="91">
        <v>76</v>
      </c>
      <c r="AG36" s="59" t="s">
        <v>563</v>
      </c>
      <c r="AH36" s="113">
        <v>42347</v>
      </c>
      <c r="AI36" s="114">
        <v>600</v>
      </c>
      <c r="AJ36" s="63" t="s">
        <v>643</v>
      </c>
    </row>
    <row r="37" spans="1:36" x14ac:dyDescent="0.25">
      <c r="A37" s="10">
        <v>42033</v>
      </c>
      <c r="B37" s="95">
        <v>400</v>
      </c>
      <c r="C37" s="8" t="s">
        <v>46</v>
      </c>
      <c r="D37" s="25"/>
      <c r="E37" s="23"/>
      <c r="F37" s="6"/>
      <c r="G37" s="69">
        <v>42094</v>
      </c>
      <c r="H37" s="70">
        <v>13700</v>
      </c>
      <c r="I37" s="71" t="s">
        <v>102</v>
      </c>
      <c r="J37" s="34">
        <v>42123</v>
      </c>
      <c r="K37" s="97">
        <v>200</v>
      </c>
      <c r="L37" s="35" t="s">
        <v>126</v>
      </c>
      <c r="M37" s="96">
        <v>42142</v>
      </c>
      <c r="N37" s="99">
        <v>300</v>
      </c>
      <c r="O37" s="7" t="s">
        <v>155</v>
      </c>
      <c r="P37" s="101">
        <v>42170</v>
      </c>
      <c r="Q37" s="68">
        <v>3200</v>
      </c>
      <c r="R37" s="27" t="s">
        <v>210</v>
      </c>
      <c r="S37" s="75">
        <v>42199</v>
      </c>
      <c r="T37" s="76">
        <v>119.04</v>
      </c>
      <c r="U37" s="52" t="s">
        <v>257</v>
      </c>
      <c r="V37" s="80">
        <v>42233</v>
      </c>
      <c r="W37" s="81">
        <v>220.5</v>
      </c>
      <c r="X37" s="39" t="s">
        <v>324</v>
      </c>
      <c r="Y37" s="84">
        <v>42258</v>
      </c>
      <c r="Z37" s="85">
        <v>800</v>
      </c>
      <c r="AA37" s="67" t="s">
        <v>370</v>
      </c>
      <c r="AB37" s="86">
        <v>42292</v>
      </c>
      <c r="AC37" s="87">
        <v>189.6</v>
      </c>
      <c r="AD37" s="56" t="s">
        <v>477</v>
      </c>
      <c r="AE37" s="90">
        <v>42323</v>
      </c>
      <c r="AF37" s="91">
        <v>3200</v>
      </c>
      <c r="AG37" s="59" t="s">
        <v>583</v>
      </c>
      <c r="AH37" s="113">
        <v>42347</v>
      </c>
      <c r="AI37" s="114">
        <v>600</v>
      </c>
      <c r="AJ37" s="63" t="s">
        <v>644</v>
      </c>
    </row>
    <row r="38" spans="1:36" x14ac:dyDescent="0.25">
      <c r="A38" s="10">
        <v>42034</v>
      </c>
      <c r="B38" s="95">
        <v>60</v>
      </c>
      <c r="C38" s="8" t="s">
        <v>47</v>
      </c>
      <c r="D38" s="5"/>
      <c r="E38" s="23"/>
      <c r="F38" s="6"/>
      <c r="G38" s="69">
        <v>42094</v>
      </c>
      <c r="H38" s="70">
        <v>27900</v>
      </c>
      <c r="I38" s="71" t="s">
        <v>100</v>
      </c>
      <c r="J38" s="34">
        <v>42124</v>
      </c>
      <c r="K38" s="97">
        <v>29000</v>
      </c>
      <c r="L38" s="35" t="s">
        <v>127</v>
      </c>
      <c r="M38" s="96">
        <v>42204</v>
      </c>
      <c r="N38" s="99">
        <v>1050</v>
      </c>
      <c r="O38" s="105" t="s">
        <v>277</v>
      </c>
      <c r="P38" s="101">
        <v>42170</v>
      </c>
      <c r="Q38" s="68">
        <v>300</v>
      </c>
      <c r="R38" s="27" t="s">
        <v>202</v>
      </c>
      <c r="S38" s="75">
        <v>42199</v>
      </c>
      <c r="T38" s="76">
        <v>59.52</v>
      </c>
      <c r="U38" s="52" t="s">
        <v>262</v>
      </c>
      <c r="V38" s="80">
        <v>42234</v>
      </c>
      <c r="W38" s="81">
        <v>46</v>
      </c>
      <c r="X38" s="39" t="s">
        <v>325</v>
      </c>
      <c r="Y38" s="84">
        <v>42258</v>
      </c>
      <c r="Z38" s="85">
        <v>500</v>
      </c>
      <c r="AA38" s="67" t="s">
        <v>383</v>
      </c>
      <c r="AB38" s="86">
        <v>42292</v>
      </c>
      <c r="AC38" s="87">
        <v>1187</v>
      </c>
      <c r="AD38" s="56" t="s">
        <v>478</v>
      </c>
      <c r="AE38" s="90">
        <v>42323</v>
      </c>
      <c r="AF38" s="91">
        <v>29000</v>
      </c>
      <c r="AG38" s="59" t="s">
        <v>584</v>
      </c>
      <c r="AH38" s="113">
        <v>42347</v>
      </c>
      <c r="AI38" s="114">
        <v>500</v>
      </c>
      <c r="AJ38" s="63" t="s">
        <v>645</v>
      </c>
    </row>
    <row r="39" spans="1:36" x14ac:dyDescent="0.25">
      <c r="A39" s="10">
        <v>42034</v>
      </c>
      <c r="B39" s="95">
        <v>500</v>
      </c>
      <c r="C39" s="8" t="s">
        <v>30</v>
      </c>
      <c r="D39" s="5"/>
      <c r="E39" s="23"/>
      <c r="F39" s="6"/>
      <c r="G39" s="69">
        <v>42094</v>
      </c>
      <c r="H39" s="70">
        <v>3200</v>
      </c>
      <c r="I39" s="73" t="s">
        <v>101</v>
      </c>
      <c r="J39" s="34">
        <v>42124</v>
      </c>
      <c r="K39" s="97">
        <v>3200</v>
      </c>
      <c r="L39" s="35" t="s">
        <v>128</v>
      </c>
      <c r="M39" s="96">
        <v>42144</v>
      </c>
      <c r="N39" s="99">
        <v>60</v>
      </c>
      <c r="O39" s="7" t="s">
        <v>156</v>
      </c>
      <c r="P39" s="101">
        <v>42170</v>
      </c>
      <c r="Q39" s="68">
        <v>60</v>
      </c>
      <c r="R39" s="27" t="s">
        <v>177</v>
      </c>
      <c r="S39" s="75">
        <v>42199</v>
      </c>
      <c r="T39" s="76">
        <v>225</v>
      </c>
      <c r="U39" s="52" t="s">
        <v>287</v>
      </c>
      <c r="V39" s="80">
        <v>42234</v>
      </c>
      <c r="W39" s="81">
        <v>407.1</v>
      </c>
      <c r="X39" s="39" t="s">
        <v>326</v>
      </c>
      <c r="Y39" s="84">
        <v>42258</v>
      </c>
      <c r="Z39" s="85">
        <v>16</v>
      </c>
      <c r="AA39" s="67" t="s">
        <v>374</v>
      </c>
      <c r="AB39" s="86">
        <v>42292</v>
      </c>
      <c r="AC39" s="87">
        <v>203.55</v>
      </c>
      <c r="AD39" s="56" t="s">
        <v>479</v>
      </c>
      <c r="AE39" s="90">
        <v>42323</v>
      </c>
      <c r="AF39" s="91">
        <v>4000</v>
      </c>
      <c r="AG39" s="59" t="s">
        <v>317</v>
      </c>
      <c r="AH39" s="113">
        <v>42347</v>
      </c>
      <c r="AI39" s="114">
        <v>1760</v>
      </c>
      <c r="AJ39" s="115" t="s">
        <v>647</v>
      </c>
    </row>
    <row r="40" spans="1:36" x14ac:dyDescent="0.25">
      <c r="A40" s="10">
        <v>42035</v>
      </c>
      <c r="B40" s="95">
        <v>500</v>
      </c>
      <c r="C40" s="8" t="s">
        <v>39</v>
      </c>
      <c r="D40" s="5"/>
      <c r="E40" s="23"/>
      <c r="F40" s="6"/>
      <c r="G40" s="69"/>
      <c r="H40" s="70"/>
      <c r="I40" s="71"/>
      <c r="J40" s="34"/>
      <c r="K40" s="97"/>
      <c r="L40" s="35"/>
      <c r="M40" s="96">
        <v>42144</v>
      </c>
      <c r="N40" s="99">
        <v>90</v>
      </c>
      <c r="O40" s="7" t="s">
        <v>157</v>
      </c>
      <c r="P40" s="101">
        <v>42172</v>
      </c>
      <c r="Q40" s="68">
        <v>264</v>
      </c>
      <c r="R40" s="27" t="s">
        <v>204</v>
      </c>
      <c r="S40" s="75">
        <v>42199</v>
      </c>
      <c r="T40" s="76">
        <v>194.5</v>
      </c>
      <c r="U40" s="52" t="s">
        <v>287</v>
      </c>
      <c r="V40" s="80">
        <v>42234</v>
      </c>
      <c r="W40" s="81">
        <v>35</v>
      </c>
      <c r="X40" s="39" t="s">
        <v>327</v>
      </c>
      <c r="Y40" s="84">
        <v>42258</v>
      </c>
      <c r="Z40" s="85">
        <v>10</v>
      </c>
      <c r="AA40" s="67" t="s">
        <v>384</v>
      </c>
      <c r="AB40" s="86">
        <v>42292</v>
      </c>
      <c r="AC40" s="87">
        <v>200</v>
      </c>
      <c r="AD40" s="56" t="s">
        <v>480</v>
      </c>
      <c r="AE40" s="90">
        <v>42326</v>
      </c>
      <c r="AF40" s="91">
        <v>170</v>
      </c>
      <c r="AG40" s="59" t="s">
        <v>333</v>
      </c>
      <c r="AH40" s="113">
        <v>42347</v>
      </c>
      <c r="AI40" s="114">
        <v>2200</v>
      </c>
      <c r="AJ40" s="63" t="s">
        <v>649</v>
      </c>
    </row>
    <row r="41" spans="1:36" x14ac:dyDescent="0.25">
      <c r="A41" s="10">
        <v>42035</v>
      </c>
      <c r="B41" s="95">
        <v>27900</v>
      </c>
      <c r="C41" s="8" t="s">
        <v>62</v>
      </c>
      <c r="D41" s="5"/>
      <c r="E41" s="23"/>
      <c r="F41" s="6"/>
      <c r="G41" s="69"/>
      <c r="H41" s="70"/>
      <c r="I41" s="71"/>
      <c r="J41" s="34"/>
      <c r="K41" s="97"/>
      <c r="L41" s="37"/>
      <c r="M41" s="96">
        <v>42146</v>
      </c>
      <c r="N41" s="99">
        <v>600</v>
      </c>
      <c r="O41" s="7" t="s">
        <v>106</v>
      </c>
      <c r="P41" s="101">
        <v>42172</v>
      </c>
      <c r="Q41" s="68">
        <v>920</v>
      </c>
      <c r="R41" s="27" t="s">
        <v>205</v>
      </c>
      <c r="S41" s="75">
        <v>42199</v>
      </c>
      <c r="T41" s="76">
        <v>245.7</v>
      </c>
      <c r="U41" s="52" t="s">
        <v>288</v>
      </c>
      <c r="V41" s="80">
        <v>42234</v>
      </c>
      <c r="W41" s="81">
        <v>199</v>
      </c>
      <c r="X41" s="39" t="s">
        <v>328</v>
      </c>
      <c r="Y41" s="84">
        <v>42258</v>
      </c>
      <c r="Z41" s="85">
        <v>64</v>
      </c>
      <c r="AA41" s="67" t="s">
        <v>82</v>
      </c>
      <c r="AB41" s="86">
        <v>42292</v>
      </c>
      <c r="AC41" s="87">
        <v>176</v>
      </c>
      <c r="AD41" s="56" t="s">
        <v>481</v>
      </c>
      <c r="AE41" s="90">
        <v>42326</v>
      </c>
      <c r="AF41" s="91">
        <v>1760</v>
      </c>
      <c r="AG41" s="115" t="s">
        <v>586</v>
      </c>
      <c r="AH41" s="113">
        <v>42347</v>
      </c>
      <c r="AI41" s="114">
        <v>100</v>
      </c>
      <c r="AJ41" s="63" t="s">
        <v>650</v>
      </c>
    </row>
    <row r="42" spans="1:36" x14ac:dyDescent="0.25">
      <c r="A42" s="10">
        <v>42035</v>
      </c>
      <c r="B42" s="95">
        <v>3200</v>
      </c>
      <c r="C42" s="8" t="s">
        <v>40</v>
      </c>
      <c r="D42" s="5"/>
      <c r="E42" s="23"/>
      <c r="F42" s="6"/>
      <c r="G42" s="69"/>
      <c r="H42" s="70"/>
      <c r="I42" s="71"/>
      <c r="J42" s="34"/>
      <c r="K42" s="97"/>
      <c r="L42" s="37"/>
      <c r="M42" s="96">
        <v>42146</v>
      </c>
      <c r="N42" s="99">
        <v>30</v>
      </c>
      <c r="O42" s="7" t="s">
        <v>160</v>
      </c>
      <c r="P42" s="101">
        <v>42172</v>
      </c>
      <c r="Q42" s="68">
        <v>16000</v>
      </c>
      <c r="R42" s="27" t="s">
        <v>206</v>
      </c>
      <c r="S42" s="75">
        <v>42200</v>
      </c>
      <c r="T42" s="76">
        <v>29000</v>
      </c>
      <c r="U42" s="52" t="s">
        <v>258</v>
      </c>
      <c r="V42" s="80">
        <v>42236</v>
      </c>
      <c r="W42" s="81">
        <v>1246</v>
      </c>
      <c r="X42" s="39" t="s">
        <v>329</v>
      </c>
      <c r="Y42" s="84">
        <v>42258</v>
      </c>
      <c r="Z42" s="85">
        <v>271.39999999999998</v>
      </c>
      <c r="AA42" s="67" t="s">
        <v>369</v>
      </c>
      <c r="AB42" s="86">
        <v>42292</v>
      </c>
      <c r="AC42" s="87">
        <v>350</v>
      </c>
      <c r="AD42" s="56" t="s">
        <v>482</v>
      </c>
      <c r="AE42" s="90">
        <v>42326</v>
      </c>
      <c r="AF42" s="91">
        <v>1100</v>
      </c>
      <c r="AG42" s="112" t="s">
        <v>587</v>
      </c>
      <c r="AH42" s="113">
        <v>42347</v>
      </c>
      <c r="AI42" s="114">
        <v>24</v>
      </c>
      <c r="AJ42" s="63" t="s">
        <v>651</v>
      </c>
    </row>
    <row r="43" spans="1:36" x14ac:dyDescent="0.25">
      <c r="A43" s="10"/>
      <c r="B43" s="95"/>
      <c r="C43" s="8"/>
      <c r="D43" s="5"/>
      <c r="E43" s="23"/>
      <c r="F43" s="6"/>
      <c r="G43" s="69"/>
      <c r="H43" s="70"/>
      <c r="I43" s="73"/>
      <c r="J43" s="34"/>
      <c r="K43" s="97"/>
      <c r="L43" s="37"/>
      <c r="M43" s="96">
        <v>42146</v>
      </c>
      <c r="N43" s="99">
        <v>4000</v>
      </c>
      <c r="O43" s="7" t="s">
        <v>164</v>
      </c>
      <c r="P43" s="101">
        <v>42172</v>
      </c>
      <c r="Q43" s="68">
        <v>8000</v>
      </c>
      <c r="R43" s="27" t="s">
        <v>207</v>
      </c>
      <c r="S43" s="75">
        <v>42200</v>
      </c>
      <c r="T43" s="76">
        <v>3200</v>
      </c>
      <c r="U43" s="52" t="s">
        <v>259</v>
      </c>
      <c r="V43" s="80">
        <v>42236</v>
      </c>
      <c r="W43" s="81">
        <v>23</v>
      </c>
      <c r="X43" s="39" t="s">
        <v>330</v>
      </c>
      <c r="Y43" s="84">
        <v>42258</v>
      </c>
      <c r="Z43" s="85">
        <v>381.89</v>
      </c>
      <c r="AA43" s="67" t="s">
        <v>385</v>
      </c>
      <c r="AB43" s="86">
        <v>42292</v>
      </c>
      <c r="AC43" s="87">
        <v>250</v>
      </c>
      <c r="AD43" s="56" t="s">
        <v>483</v>
      </c>
      <c r="AE43" s="90">
        <v>42326</v>
      </c>
      <c r="AF43" s="91">
        <v>80</v>
      </c>
      <c r="AG43" s="59" t="s">
        <v>588</v>
      </c>
      <c r="AH43" s="113">
        <v>42347</v>
      </c>
      <c r="AI43" s="114">
        <v>307</v>
      </c>
      <c r="AJ43" s="63" t="s">
        <v>652</v>
      </c>
    </row>
    <row r="44" spans="1:36" x14ac:dyDescent="0.25">
      <c r="A44" s="10"/>
      <c r="B44" s="95"/>
      <c r="C44" s="8"/>
      <c r="D44" s="5"/>
      <c r="E44" s="23"/>
      <c r="F44" s="6"/>
      <c r="G44" s="69"/>
      <c r="H44" s="70"/>
      <c r="I44" s="73"/>
      <c r="J44" s="34"/>
      <c r="K44" s="97"/>
      <c r="L44" s="35"/>
      <c r="M44" s="96">
        <v>42148</v>
      </c>
      <c r="N44" s="99">
        <v>5000</v>
      </c>
      <c r="O44" s="7" t="s">
        <v>158</v>
      </c>
      <c r="P44" s="101">
        <v>42172</v>
      </c>
      <c r="Q44" s="68">
        <v>600</v>
      </c>
      <c r="R44" s="27" t="s">
        <v>185</v>
      </c>
      <c r="S44" s="75">
        <v>42200</v>
      </c>
      <c r="T44" s="76">
        <v>350</v>
      </c>
      <c r="U44" s="52" t="s">
        <v>260</v>
      </c>
      <c r="V44" s="80">
        <v>42237</v>
      </c>
      <c r="W44" s="81">
        <v>800</v>
      </c>
      <c r="X44" s="39" t="s">
        <v>106</v>
      </c>
      <c r="Y44" s="84">
        <v>42258</v>
      </c>
      <c r="Z44" s="85">
        <v>312.91000000000003</v>
      </c>
      <c r="AA44" s="67" t="s">
        <v>386</v>
      </c>
      <c r="AB44" s="86">
        <v>42292</v>
      </c>
      <c r="AC44" s="87">
        <v>46</v>
      </c>
      <c r="AD44" s="56" t="s">
        <v>484</v>
      </c>
      <c r="AE44" s="90">
        <v>42326</v>
      </c>
      <c r="AF44" s="91">
        <v>20</v>
      </c>
      <c r="AG44" s="59" t="s">
        <v>585</v>
      </c>
      <c r="AH44" s="113">
        <v>42347</v>
      </c>
      <c r="AI44" s="114">
        <v>20</v>
      </c>
      <c r="AJ44" s="63" t="s">
        <v>617</v>
      </c>
    </row>
    <row r="45" spans="1:36" x14ac:dyDescent="0.25">
      <c r="A45" s="10"/>
      <c r="B45" s="95"/>
      <c r="C45" s="8"/>
      <c r="D45" s="5"/>
      <c r="E45" s="23"/>
      <c r="F45" s="6"/>
      <c r="G45" s="69"/>
      <c r="H45" s="70"/>
      <c r="I45" s="71"/>
      <c r="J45" s="34"/>
      <c r="K45" s="97"/>
      <c r="L45" s="35"/>
      <c r="M45" s="96">
        <v>42149</v>
      </c>
      <c r="N45" s="99">
        <v>929</v>
      </c>
      <c r="O45" s="7" t="s">
        <v>146</v>
      </c>
      <c r="P45" s="101">
        <v>42172</v>
      </c>
      <c r="Q45" s="68">
        <v>1500</v>
      </c>
      <c r="R45" s="27" t="s">
        <v>211</v>
      </c>
      <c r="S45" s="75">
        <v>42200</v>
      </c>
      <c r="T45" s="76">
        <v>90</v>
      </c>
      <c r="U45" s="52" t="s">
        <v>125</v>
      </c>
      <c r="V45" s="80">
        <v>42237</v>
      </c>
      <c r="W45" s="81">
        <v>15.9</v>
      </c>
      <c r="X45" s="39" t="s">
        <v>331</v>
      </c>
      <c r="Y45" s="84">
        <v>42258</v>
      </c>
      <c r="Z45" s="85">
        <v>36</v>
      </c>
      <c r="AA45" s="67" t="s">
        <v>387</v>
      </c>
      <c r="AB45" s="86">
        <v>42292</v>
      </c>
      <c r="AC45" s="87">
        <v>3</v>
      </c>
      <c r="AD45" s="56" t="s">
        <v>485</v>
      </c>
      <c r="AE45" s="90">
        <v>42326</v>
      </c>
      <c r="AF45" s="91">
        <v>160</v>
      </c>
      <c r="AG45" s="59" t="s">
        <v>333</v>
      </c>
      <c r="AH45" s="113">
        <v>42348</v>
      </c>
      <c r="AI45" s="114">
        <v>310</v>
      </c>
      <c r="AJ45" s="63" t="s">
        <v>653</v>
      </c>
    </row>
    <row r="46" spans="1:36" x14ac:dyDescent="0.25">
      <c r="A46" s="10"/>
      <c r="B46" s="95"/>
      <c r="C46" s="8"/>
      <c r="D46" s="5"/>
      <c r="E46" s="23"/>
      <c r="F46" s="6"/>
      <c r="G46" s="69"/>
      <c r="H46" s="70"/>
      <c r="I46" s="71"/>
      <c r="J46" s="34"/>
      <c r="K46" s="97"/>
      <c r="L46" s="35"/>
      <c r="M46" s="96">
        <v>42149</v>
      </c>
      <c r="N46" s="99">
        <v>356.8</v>
      </c>
      <c r="O46" s="7" t="s">
        <v>159</v>
      </c>
      <c r="P46" s="101">
        <v>42173</v>
      </c>
      <c r="Q46" s="68">
        <v>4434.3</v>
      </c>
      <c r="R46" s="27" t="s">
        <v>212</v>
      </c>
      <c r="S46" s="75">
        <v>42200</v>
      </c>
      <c r="T46" s="76">
        <v>20</v>
      </c>
      <c r="U46" s="52" t="s">
        <v>261</v>
      </c>
      <c r="V46" s="80">
        <v>42237</v>
      </c>
      <c r="W46" s="81">
        <v>31.8</v>
      </c>
      <c r="X46" s="39" t="s">
        <v>332</v>
      </c>
      <c r="Y46" s="84">
        <v>42258</v>
      </c>
      <c r="Z46" s="85">
        <v>396</v>
      </c>
      <c r="AA46" s="67" t="s">
        <v>388</v>
      </c>
      <c r="AB46" s="86">
        <v>42292</v>
      </c>
      <c r="AC46" s="87">
        <v>3200</v>
      </c>
      <c r="AD46" s="56" t="s">
        <v>486</v>
      </c>
      <c r="AE46" s="90">
        <v>42326</v>
      </c>
      <c r="AF46" s="91">
        <v>850</v>
      </c>
      <c r="AG46" s="59" t="s">
        <v>589</v>
      </c>
      <c r="AH46" s="113">
        <v>42348</v>
      </c>
      <c r="AI46" s="114">
        <v>155</v>
      </c>
      <c r="AJ46" s="63" t="s">
        <v>654</v>
      </c>
    </row>
    <row r="47" spans="1:36" x14ac:dyDescent="0.25">
      <c r="A47" s="10"/>
      <c r="B47" s="95"/>
      <c r="C47" s="8"/>
      <c r="D47" s="5"/>
      <c r="E47" s="23"/>
      <c r="F47" s="6"/>
      <c r="G47" s="69"/>
      <c r="H47" s="70"/>
      <c r="I47" s="73"/>
      <c r="J47" s="34"/>
      <c r="K47" s="97"/>
      <c r="L47" s="35"/>
      <c r="M47" s="96">
        <v>42149</v>
      </c>
      <c r="N47" s="99">
        <v>90</v>
      </c>
      <c r="O47" s="7" t="s">
        <v>137</v>
      </c>
      <c r="P47" s="101">
        <v>42174</v>
      </c>
      <c r="Q47" s="68">
        <v>300</v>
      </c>
      <c r="R47" s="27" t="s">
        <v>181</v>
      </c>
      <c r="S47" s="75">
        <v>42200</v>
      </c>
      <c r="T47" s="76">
        <v>23</v>
      </c>
      <c r="U47" s="52" t="s">
        <v>283</v>
      </c>
      <c r="V47" s="80">
        <v>42237</v>
      </c>
      <c r="W47" s="81">
        <v>69</v>
      </c>
      <c r="X47" s="39" t="s">
        <v>315</v>
      </c>
      <c r="Y47" s="84">
        <v>42260</v>
      </c>
      <c r="Z47" s="85">
        <v>71.5</v>
      </c>
      <c r="AA47" s="67" t="s">
        <v>377</v>
      </c>
      <c r="AB47" s="86">
        <v>42292</v>
      </c>
      <c r="AC47" s="87">
        <v>29000</v>
      </c>
      <c r="AD47" s="56" t="s">
        <v>487</v>
      </c>
      <c r="AE47" s="90">
        <v>42326</v>
      </c>
      <c r="AF47" s="91">
        <v>350</v>
      </c>
      <c r="AG47" s="59" t="s">
        <v>591</v>
      </c>
      <c r="AH47" s="113">
        <v>42348</v>
      </c>
      <c r="AI47" s="114">
        <v>339.25</v>
      </c>
      <c r="AJ47" s="63" t="s">
        <v>655</v>
      </c>
    </row>
    <row r="48" spans="1:36" x14ac:dyDescent="0.25">
      <c r="A48" s="10"/>
      <c r="B48" s="95"/>
      <c r="C48" s="78"/>
      <c r="D48" s="5"/>
      <c r="E48" s="23"/>
      <c r="F48" s="6"/>
      <c r="G48" s="69"/>
      <c r="H48" s="70"/>
      <c r="I48" s="71"/>
      <c r="J48" s="34"/>
      <c r="K48" s="97"/>
      <c r="L48" s="35"/>
      <c r="M48" s="96">
        <v>42149</v>
      </c>
      <c r="N48" s="99">
        <v>350</v>
      </c>
      <c r="O48" s="7" t="s">
        <v>153</v>
      </c>
      <c r="P48" s="101">
        <v>42174</v>
      </c>
      <c r="Q48" s="68">
        <v>81</v>
      </c>
      <c r="R48" s="27" t="s">
        <v>208</v>
      </c>
      <c r="S48" s="75">
        <v>42201</v>
      </c>
      <c r="T48" s="76">
        <v>1100</v>
      </c>
      <c r="U48" s="52" t="s">
        <v>269</v>
      </c>
      <c r="V48" s="80">
        <v>42237</v>
      </c>
      <c r="W48" s="81">
        <v>192</v>
      </c>
      <c r="X48" s="39" t="s">
        <v>333</v>
      </c>
      <c r="Y48" s="84">
        <v>42260</v>
      </c>
      <c r="Z48" s="85">
        <v>50</v>
      </c>
      <c r="AA48" s="67" t="s">
        <v>402</v>
      </c>
      <c r="AB48" s="86">
        <v>42292</v>
      </c>
      <c r="AC48" s="87">
        <v>4000</v>
      </c>
      <c r="AD48" s="56" t="s">
        <v>317</v>
      </c>
      <c r="AE48" s="90">
        <v>42326</v>
      </c>
      <c r="AF48" s="91">
        <v>2278.6999999999998</v>
      </c>
      <c r="AG48" s="59" t="s">
        <v>590</v>
      </c>
      <c r="AH48" s="113">
        <v>42348</v>
      </c>
      <c r="AI48" s="114">
        <v>3</v>
      </c>
      <c r="AJ48" s="63" t="s">
        <v>656</v>
      </c>
    </row>
    <row r="49" spans="1:36" x14ac:dyDescent="0.25">
      <c r="A49" s="10"/>
      <c r="B49" s="95"/>
      <c r="C49" s="8"/>
      <c r="D49" s="5"/>
      <c r="E49" s="23"/>
      <c r="F49" s="6"/>
      <c r="G49" s="69"/>
      <c r="H49" s="70"/>
      <c r="I49" s="71"/>
      <c r="J49" s="34"/>
      <c r="K49" s="97"/>
      <c r="L49" s="35"/>
      <c r="M49" s="96">
        <v>42149</v>
      </c>
      <c r="N49" s="99">
        <v>1760</v>
      </c>
      <c r="O49" s="115" t="s">
        <v>171</v>
      </c>
      <c r="P49" s="101">
        <v>42174</v>
      </c>
      <c r="Q49" s="68">
        <v>1500</v>
      </c>
      <c r="R49" s="27" t="s">
        <v>213</v>
      </c>
      <c r="S49" s="75">
        <v>42201</v>
      </c>
      <c r="T49" s="76">
        <v>70</v>
      </c>
      <c r="U49" s="52" t="s">
        <v>284</v>
      </c>
      <c r="V49" s="80">
        <v>42237</v>
      </c>
      <c r="W49" s="81">
        <v>300</v>
      </c>
      <c r="X49" s="39" t="s">
        <v>334</v>
      </c>
      <c r="Y49" s="84">
        <v>42261</v>
      </c>
      <c r="Z49" s="85">
        <v>400</v>
      </c>
      <c r="AA49" s="67" t="s">
        <v>390</v>
      </c>
      <c r="AB49" s="86">
        <v>42293</v>
      </c>
      <c r="AC49" s="87">
        <v>1000</v>
      </c>
      <c r="AD49" s="56" t="s">
        <v>106</v>
      </c>
      <c r="AE49" s="90">
        <v>42327</v>
      </c>
      <c r="AF49" s="91">
        <v>396</v>
      </c>
      <c r="AG49" s="59" t="s">
        <v>592</v>
      </c>
      <c r="AH49" s="113">
        <v>42349</v>
      </c>
      <c r="AI49" s="114">
        <v>185</v>
      </c>
      <c r="AJ49" s="63" t="s">
        <v>657</v>
      </c>
    </row>
    <row r="50" spans="1:36" x14ac:dyDescent="0.25">
      <c r="A50" s="10"/>
      <c r="B50" s="95"/>
      <c r="C50" s="8"/>
      <c r="D50" s="5"/>
      <c r="E50" s="23"/>
      <c r="F50" s="6"/>
      <c r="G50" s="69"/>
      <c r="H50" s="70"/>
      <c r="I50" s="71"/>
      <c r="J50" s="34"/>
      <c r="K50" s="97"/>
      <c r="L50" s="35"/>
      <c r="M50" s="96">
        <v>42150</v>
      </c>
      <c r="N50" s="99">
        <v>138</v>
      </c>
      <c r="O50" s="7" t="s">
        <v>159</v>
      </c>
      <c r="P50" s="101">
        <v>42174</v>
      </c>
      <c r="Q50" s="68">
        <v>500</v>
      </c>
      <c r="R50" s="27" t="s">
        <v>214</v>
      </c>
      <c r="S50" s="75">
        <v>42202</v>
      </c>
      <c r="T50" s="76">
        <v>5500</v>
      </c>
      <c r="U50" s="77" t="s">
        <v>268</v>
      </c>
      <c r="V50" s="80">
        <v>42238</v>
      </c>
      <c r="W50" s="81">
        <v>299</v>
      </c>
      <c r="X50" s="39" t="s">
        <v>335</v>
      </c>
      <c r="Y50" s="84">
        <v>42261</v>
      </c>
      <c r="Z50" s="85">
        <v>32</v>
      </c>
      <c r="AA50" s="67" t="s">
        <v>110</v>
      </c>
      <c r="AB50" s="86">
        <v>42293</v>
      </c>
      <c r="AC50" s="87">
        <v>200</v>
      </c>
      <c r="AD50" s="56" t="s">
        <v>488</v>
      </c>
      <c r="AE50" s="90">
        <v>42328</v>
      </c>
      <c r="AF50" s="91">
        <v>80</v>
      </c>
      <c r="AG50" s="59" t="s">
        <v>593</v>
      </c>
      <c r="AH50" s="113">
        <v>42349</v>
      </c>
      <c r="AI50" s="114">
        <v>1000</v>
      </c>
      <c r="AJ50" s="63" t="s">
        <v>630</v>
      </c>
    </row>
    <row r="51" spans="1:36" x14ac:dyDescent="0.25">
      <c r="A51" s="10"/>
      <c r="B51" s="95"/>
      <c r="C51" s="8"/>
      <c r="D51" s="5"/>
      <c r="E51" s="23"/>
      <c r="F51" s="6"/>
      <c r="G51" s="69"/>
      <c r="H51" s="70"/>
      <c r="I51" s="71"/>
      <c r="J51" s="34"/>
      <c r="K51" s="97"/>
      <c r="L51" s="35"/>
      <c r="M51" s="96">
        <v>42150</v>
      </c>
      <c r="N51" s="99">
        <v>577</v>
      </c>
      <c r="O51" s="7" t="s">
        <v>161</v>
      </c>
      <c r="P51" s="101">
        <v>42176</v>
      </c>
      <c r="Q51" s="68">
        <v>5000</v>
      </c>
      <c r="R51" s="27" t="s">
        <v>215</v>
      </c>
      <c r="S51" s="75">
        <v>42202</v>
      </c>
      <c r="T51" s="76">
        <v>600</v>
      </c>
      <c r="U51" s="52" t="s">
        <v>106</v>
      </c>
      <c r="V51" s="80">
        <v>42239</v>
      </c>
      <c r="W51" s="81">
        <v>43</v>
      </c>
      <c r="X51" s="39" t="s">
        <v>336</v>
      </c>
      <c r="Y51" s="84">
        <v>42261</v>
      </c>
      <c r="Z51" s="85">
        <v>900</v>
      </c>
      <c r="AA51" s="67" t="s">
        <v>391</v>
      </c>
      <c r="AB51" s="86">
        <v>42293</v>
      </c>
      <c r="AC51" s="87">
        <v>199.98</v>
      </c>
      <c r="AD51" s="56" t="s">
        <v>489</v>
      </c>
      <c r="AE51" s="90">
        <v>42328</v>
      </c>
      <c r="AF51" s="91">
        <v>74</v>
      </c>
      <c r="AG51" s="59" t="s">
        <v>124</v>
      </c>
      <c r="AH51" s="113">
        <v>42349</v>
      </c>
      <c r="AI51" s="114">
        <v>3000</v>
      </c>
      <c r="AJ51" s="63" t="s">
        <v>658</v>
      </c>
    </row>
    <row r="52" spans="1:36" x14ac:dyDescent="0.25">
      <c r="A52" s="10"/>
      <c r="B52" s="95"/>
      <c r="C52" s="8"/>
      <c r="D52" s="5"/>
      <c r="E52" s="23"/>
      <c r="F52" s="6"/>
      <c r="G52" s="69"/>
      <c r="H52" s="70"/>
      <c r="I52" s="71"/>
      <c r="J52" s="34"/>
      <c r="K52" s="97"/>
      <c r="L52" s="35"/>
      <c r="M52" s="96">
        <v>42150</v>
      </c>
      <c r="N52" s="99">
        <v>157.5</v>
      </c>
      <c r="O52" s="7" t="s">
        <v>162</v>
      </c>
      <c r="P52" s="101">
        <v>42177</v>
      </c>
      <c r="Q52" s="68">
        <v>90</v>
      </c>
      <c r="R52" s="27" t="s">
        <v>191</v>
      </c>
      <c r="S52" s="75">
        <v>42202</v>
      </c>
      <c r="T52" s="76">
        <v>1100</v>
      </c>
      <c r="U52" s="52" t="s">
        <v>270</v>
      </c>
      <c r="V52" s="80">
        <v>42239</v>
      </c>
      <c r="W52" s="81">
        <v>50</v>
      </c>
      <c r="X52" s="39" t="s">
        <v>337</v>
      </c>
      <c r="Y52" s="84">
        <v>42262</v>
      </c>
      <c r="Z52" s="85">
        <v>4000</v>
      </c>
      <c r="AA52" s="67" t="s">
        <v>317</v>
      </c>
      <c r="AB52" s="86">
        <v>42293</v>
      </c>
      <c r="AC52" s="87">
        <v>2250</v>
      </c>
      <c r="AD52" s="56" t="s">
        <v>490</v>
      </c>
      <c r="AE52" s="90">
        <v>42328</v>
      </c>
      <c r="AF52" s="91">
        <v>1000</v>
      </c>
      <c r="AG52" s="59" t="s">
        <v>571</v>
      </c>
      <c r="AH52" s="113">
        <v>42349</v>
      </c>
      <c r="AI52" s="114">
        <v>22750</v>
      </c>
      <c r="AJ52" s="63" t="s">
        <v>659</v>
      </c>
    </row>
    <row r="53" spans="1:36" x14ac:dyDescent="0.25">
      <c r="A53" s="10"/>
      <c r="B53" s="95"/>
      <c r="C53" s="8"/>
      <c r="D53" s="5"/>
      <c r="E53" s="23"/>
      <c r="F53" s="6"/>
      <c r="G53" s="69"/>
      <c r="H53" s="70"/>
      <c r="I53" s="71"/>
      <c r="J53" s="34"/>
      <c r="K53" s="97"/>
      <c r="L53" s="35"/>
      <c r="M53" s="96">
        <v>42150</v>
      </c>
      <c r="N53" s="99">
        <v>5500</v>
      </c>
      <c r="O53" s="7" t="s">
        <v>165</v>
      </c>
      <c r="P53" s="101">
        <v>42177</v>
      </c>
      <c r="Q53" s="68">
        <v>90</v>
      </c>
      <c r="R53" s="27" t="s">
        <v>216</v>
      </c>
      <c r="S53" s="75">
        <v>42202</v>
      </c>
      <c r="T53" s="76">
        <v>600</v>
      </c>
      <c r="U53" s="52" t="s">
        <v>271</v>
      </c>
      <c r="V53" s="80">
        <v>42239</v>
      </c>
      <c r="W53" s="81">
        <v>809.5</v>
      </c>
      <c r="X53" s="39" t="s">
        <v>338</v>
      </c>
      <c r="Y53" s="84">
        <v>42262</v>
      </c>
      <c r="Z53" s="85">
        <v>3200</v>
      </c>
      <c r="AA53" s="67" t="s">
        <v>394</v>
      </c>
      <c r="AB53" s="86">
        <v>42293</v>
      </c>
      <c r="AC53" s="87">
        <v>80</v>
      </c>
      <c r="AD53" s="56" t="s">
        <v>491</v>
      </c>
      <c r="AE53" s="90">
        <v>42330</v>
      </c>
      <c r="AF53" s="91">
        <v>61</v>
      </c>
      <c r="AG53" s="59" t="s">
        <v>563</v>
      </c>
      <c r="AH53" s="113">
        <v>42350</v>
      </c>
      <c r="AI53" s="114">
        <v>250</v>
      </c>
      <c r="AJ53" s="63" t="s">
        <v>660</v>
      </c>
    </row>
    <row r="54" spans="1:36" x14ac:dyDescent="0.25">
      <c r="A54" s="10"/>
      <c r="B54" s="95"/>
      <c r="C54" s="8"/>
      <c r="D54" s="5"/>
      <c r="E54" s="23"/>
      <c r="F54" s="9"/>
      <c r="G54" s="69"/>
      <c r="H54" s="70"/>
      <c r="I54" s="71"/>
      <c r="J54" s="38"/>
      <c r="K54" s="97"/>
      <c r="L54" s="39"/>
      <c r="M54" s="96">
        <v>42150</v>
      </c>
      <c r="N54" s="99">
        <v>40.6</v>
      </c>
      <c r="O54" s="7" t="s">
        <v>175</v>
      </c>
      <c r="P54" s="101">
        <v>42177</v>
      </c>
      <c r="Q54" s="68">
        <v>198</v>
      </c>
      <c r="R54" s="27" t="s">
        <v>186</v>
      </c>
      <c r="S54" s="75">
        <v>42202</v>
      </c>
      <c r="T54" s="76">
        <v>1055.5999999999999</v>
      </c>
      <c r="U54" s="52" t="s">
        <v>289</v>
      </c>
      <c r="V54" s="80">
        <v>42240</v>
      </c>
      <c r="W54" s="81">
        <v>7000</v>
      </c>
      <c r="X54" s="39" t="s">
        <v>339</v>
      </c>
      <c r="Y54" s="84">
        <v>42262</v>
      </c>
      <c r="Z54" s="85">
        <v>29000</v>
      </c>
      <c r="AA54" s="67" t="s">
        <v>392</v>
      </c>
      <c r="AB54" s="86">
        <v>42293</v>
      </c>
      <c r="AC54" s="87">
        <v>480</v>
      </c>
      <c r="AD54" s="56" t="s">
        <v>492</v>
      </c>
      <c r="AE54" s="90">
        <v>42330</v>
      </c>
      <c r="AF54" s="91">
        <v>160</v>
      </c>
      <c r="AG54" s="59" t="s">
        <v>594</v>
      </c>
      <c r="AH54" s="113">
        <v>42350</v>
      </c>
      <c r="AI54" s="114">
        <v>493</v>
      </c>
      <c r="AJ54" s="63" t="s">
        <v>661</v>
      </c>
    </row>
    <row r="55" spans="1:36" x14ac:dyDescent="0.25">
      <c r="A55" s="10"/>
      <c r="B55" s="95"/>
      <c r="C55" s="8"/>
      <c r="D55" s="5"/>
      <c r="E55" s="23"/>
      <c r="F55" s="9"/>
      <c r="G55" s="69"/>
      <c r="H55" s="70"/>
      <c r="I55" s="71"/>
      <c r="J55" s="38"/>
      <c r="K55" s="97"/>
      <c r="L55" s="40"/>
      <c r="M55" s="96">
        <v>42151</v>
      </c>
      <c r="N55" s="99">
        <v>100</v>
      </c>
      <c r="O55" s="7" t="s">
        <v>163</v>
      </c>
      <c r="P55" s="101">
        <v>42178</v>
      </c>
      <c r="Q55" s="68">
        <v>500</v>
      </c>
      <c r="R55" s="27" t="s">
        <v>217</v>
      </c>
      <c r="S55" s="75">
        <v>42203</v>
      </c>
      <c r="T55" s="76">
        <v>300</v>
      </c>
      <c r="U55" s="52" t="s">
        <v>263</v>
      </c>
      <c r="V55" s="80">
        <v>42240</v>
      </c>
      <c r="W55" s="81">
        <v>49</v>
      </c>
      <c r="X55" s="39" t="s">
        <v>340</v>
      </c>
      <c r="Y55" s="84">
        <v>42265</v>
      </c>
      <c r="Z55" s="85">
        <v>300</v>
      </c>
      <c r="AA55" s="67" t="s">
        <v>395</v>
      </c>
      <c r="AB55" s="86">
        <v>42294</v>
      </c>
      <c r="AC55" s="87">
        <v>5000</v>
      </c>
      <c r="AD55" s="56" t="s">
        <v>494</v>
      </c>
      <c r="AE55" s="90">
        <v>42331</v>
      </c>
      <c r="AF55" s="91">
        <v>170</v>
      </c>
      <c r="AG55" s="59" t="s">
        <v>512</v>
      </c>
      <c r="AH55" s="113">
        <v>42350</v>
      </c>
      <c r="AI55" s="114">
        <v>177</v>
      </c>
      <c r="AJ55" s="63" t="s">
        <v>664</v>
      </c>
    </row>
    <row r="56" spans="1:36" x14ac:dyDescent="0.25">
      <c r="A56" s="10"/>
      <c r="B56" s="95"/>
      <c r="C56" s="8"/>
      <c r="D56" s="5"/>
      <c r="E56" s="23"/>
      <c r="F56" s="6"/>
      <c r="G56" s="69"/>
      <c r="H56" s="70"/>
      <c r="I56" s="71"/>
      <c r="J56" s="38"/>
      <c r="K56" s="97"/>
      <c r="L56" s="39"/>
      <c r="M56" s="96">
        <v>42151</v>
      </c>
      <c r="N56" s="99">
        <v>600</v>
      </c>
      <c r="O56" s="7" t="s">
        <v>170</v>
      </c>
      <c r="P56" s="101">
        <v>42178</v>
      </c>
      <c r="Q56" s="68">
        <v>800</v>
      </c>
      <c r="R56" s="27" t="s">
        <v>218</v>
      </c>
      <c r="S56" s="75">
        <v>42203</v>
      </c>
      <c r="T56" s="76">
        <v>1860</v>
      </c>
      <c r="U56" s="52" t="s">
        <v>247</v>
      </c>
      <c r="V56" s="80">
        <v>42240</v>
      </c>
      <c r="W56" s="81">
        <v>1100</v>
      </c>
      <c r="X56" s="106" t="s">
        <v>416</v>
      </c>
      <c r="Y56" s="84">
        <v>42265</v>
      </c>
      <c r="Z56" s="85">
        <v>32</v>
      </c>
      <c r="AA56" s="67" t="s">
        <v>110</v>
      </c>
      <c r="AB56" s="86">
        <v>42294</v>
      </c>
      <c r="AC56" s="87">
        <v>17</v>
      </c>
      <c r="AD56" s="56" t="s">
        <v>493</v>
      </c>
      <c r="AE56" s="90">
        <v>42331</v>
      </c>
      <c r="AF56" s="91">
        <v>350</v>
      </c>
      <c r="AG56" s="59" t="s">
        <v>595</v>
      </c>
      <c r="AH56" s="113">
        <v>42350</v>
      </c>
      <c r="AI56" s="114">
        <v>77</v>
      </c>
      <c r="AJ56" s="63" t="s">
        <v>662</v>
      </c>
    </row>
    <row r="57" spans="1:36" x14ac:dyDescent="0.25">
      <c r="A57" s="10"/>
      <c r="B57" s="95"/>
      <c r="C57" s="8"/>
      <c r="D57" s="5"/>
      <c r="E57" s="23"/>
      <c r="F57" s="6"/>
      <c r="G57" s="69"/>
      <c r="H57" s="70"/>
      <c r="I57" s="71"/>
      <c r="J57" s="38"/>
      <c r="K57" s="97"/>
      <c r="L57" s="39"/>
      <c r="M57" s="96">
        <v>42152</v>
      </c>
      <c r="N57" s="99">
        <v>116.25</v>
      </c>
      <c r="O57" s="7" t="s">
        <v>71</v>
      </c>
      <c r="P57" s="101">
        <v>42179</v>
      </c>
      <c r="Q57" s="68">
        <v>600</v>
      </c>
      <c r="R57" s="27" t="s">
        <v>219</v>
      </c>
      <c r="S57" s="75">
        <v>42203</v>
      </c>
      <c r="T57" s="76">
        <v>5000</v>
      </c>
      <c r="U57" s="52" t="s">
        <v>264</v>
      </c>
      <c r="V57" s="80">
        <v>42240</v>
      </c>
      <c r="W57" s="81">
        <v>1760</v>
      </c>
      <c r="X57" s="115" t="s">
        <v>341</v>
      </c>
      <c r="Y57" s="84">
        <v>42265</v>
      </c>
      <c r="Z57" s="85">
        <v>1500</v>
      </c>
      <c r="AA57" s="67" t="s">
        <v>396</v>
      </c>
      <c r="AB57" s="86">
        <v>42295</v>
      </c>
      <c r="AC57" s="87">
        <v>41</v>
      </c>
      <c r="AD57" s="56" t="s">
        <v>455</v>
      </c>
      <c r="AE57" s="90">
        <v>42332</v>
      </c>
      <c r="AF57" s="91">
        <v>1200</v>
      </c>
      <c r="AG57" s="59" t="s">
        <v>597</v>
      </c>
      <c r="AH57" s="113">
        <v>42351</v>
      </c>
      <c r="AI57" s="114">
        <v>80</v>
      </c>
      <c r="AJ57" s="63" t="s">
        <v>466</v>
      </c>
    </row>
    <row r="58" spans="1:36" x14ac:dyDescent="0.25">
      <c r="A58" s="10"/>
      <c r="B58" s="95"/>
      <c r="C58" s="8"/>
      <c r="D58" s="5"/>
      <c r="E58" s="23"/>
      <c r="F58" s="9"/>
      <c r="G58" s="69"/>
      <c r="H58" s="70"/>
      <c r="I58" s="71"/>
      <c r="J58" s="38"/>
      <c r="K58" s="97"/>
      <c r="L58" s="39"/>
      <c r="M58" s="96">
        <v>42153</v>
      </c>
      <c r="N58" s="99">
        <v>600</v>
      </c>
      <c r="O58" s="7" t="s">
        <v>106</v>
      </c>
      <c r="P58" s="101">
        <v>42180</v>
      </c>
      <c r="Q58" s="68">
        <v>5000</v>
      </c>
      <c r="R58" s="27" t="s">
        <v>222</v>
      </c>
      <c r="S58" s="75">
        <v>42204</v>
      </c>
      <c r="T58" s="76">
        <v>1150</v>
      </c>
      <c r="U58" s="52" t="s">
        <v>265</v>
      </c>
      <c r="V58" s="80">
        <v>42240</v>
      </c>
      <c r="W58" s="81">
        <v>24</v>
      </c>
      <c r="X58" s="39" t="s">
        <v>342</v>
      </c>
      <c r="Y58" s="84">
        <v>42265</v>
      </c>
      <c r="Z58" s="85">
        <v>2000</v>
      </c>
      <c r="AA58" s="67" t="s">
        <v>397</v>
      </c>
      <c r="AB58" s="86">
        <v>42296</v>
      </c>
      <c r="AC58" s="87">
        <v>350</v>
      </c>
      <c r="AD58" s="111" t="s">
        <v>496</v>
      </c>
      <c r="AE58" s="90">
        <v>42332</v>
      </c>
      <c r="AF58" s="91">
        <v>600</v>
      </c>
      <c r="AG58" s="59" t="s">
        <v>596</v>
      </c>
      <c r="AH58" s="113">
        <v>42351</v>
      </c>
      <c r="AI58" s="114">
        <v>365</v>
      </c>
      <c r="AJ58" s="63" t="s">
        <v>661</v>
      </c>
    </row>
    <row r="59" spans="1:36" x14ac:dyDescent="0.25">
      <c r="A59" s="10"/>
      <c r="B59" s="95"/>
      <c r="C59" s="8"/>
      <c r="D59" s="5"/>
      <c r="E59" s="23"/>
      <c r="F59" s="6"/>
      <c r="G59" s="71"/>
      <c r="H59" s="70"/>
      <c r="I59" s="71"/>
      <c r="J59" s="38"/>
      <c r="K59" s="97"/>
      <c r="L59" s="39"/>
      <c r="M59" s="96">
        <v>42153</v>
      </c>
      <c r="N59" s="99">
        <v>60</v>
      </c>
      <c r="O59" s="7" t="s">
        <v>172</v>
      </c>
      <c r="P59" s="101">
        <v>42181</v>
      </c>
      <c r="Q59" s="68">
        <v>60</v>
      </c>
      <c r="R59" s="27" t="s">
        <v>177</v>
      </c>
      <c r="S59" s="75">
        <v>42204</v>
      </c>
      <c r="T59" s="76">
        <v>500</v>
      </c>
      <c r="U59" s="52" t="s">
        <v>267</v>
      </c>
      <c r="V59" s="80">
        <v>42240</v>
      </c>
      <c r="W59" s="81">
        <v>96</v>
      </c>
      <c r="X59" s="39" t="s">
        <v>77</v>
      </c>
      <c r="Y59" s="84">
        <v>42265</v>
      </c>
      <c r="Z59" s="85">
        <v>800</v>
      </c>
      <c r="AA59" s="67" t="s">
        <v>370</v>
      </c>
      <c r="AB59" s="86">
        <v>42296</v>
      </c>
      <c r="AC59" s="87">
        <v>9000</v>
      </c>
      <c r="AD59" s="111" t="s">
        <v>497</v>
      </c>
      <c r="AE59" s="90">
        <v>42333</v>
      </c>
      <c r="AF59" s="91">
        <v>1500</v>
      </c>
      <c r="AG59" s="59" t="s">
        <v>598</v>
      </c>
      <c r="AH59" s="113">
        <v>42351</v>
      </c>
      <c r="AI59" s="114">
        <v>171</v>
      </c>
      <c r="AJ59" s="63" t="s">
        <v>663</v>
      </c>
    </row>
    <row r="60" spans="1:36" x14ac:dyDescent="0.25">
      <c r="A60" s="10"/>
      <c r="B60" s="95"/>
      <c r="C60" s="8"/>
      <c r="D60" s="5"/>
      <c r="E60" s="23"/>
      <c r="F60" s="6"/>
      <c r="G60" s="71"/>
      <c r="H60" s="70"/>
      <c r="I60" s="71"/>
      <c r="J60" s="38"/>
      <c r="K60" s="97"/>
      <c r="L60" s="39"/>
      <c r="M60" s="96">
        <v>42153</v>
      </c>
      <c r="N60" s="99">
        <v>400</v>
      </c>
      <c r="O60" s="7" t="s">
        <v>173</v>
      </c>
      <c r="P60" s="101">
        <v>42181</v>
      </c>
      <c r="Q60" s="68">
        <v>3500</v>
      </c>
      <c r="R60" s="27" t="s">
        <v>223</v>
      </c>
      <c r="S60" s="75">
        <v>42204</v>
      </c>
      <c r="T60" s="76">
        <v>250</v>
      </c>
      <c r="U60" s="52" t="s">
        <v>272</v>
      </c>
      <c r="V60" s="80">
        <v>42240</v>
      </c>
      <c r="W60" s="81">
        <v>140</v>
      </c>
      <c r="X60" s="39" t="s">
        <v>343</v>
      </c>
      <c r="Y60" s="84">
        <v>42265</v>
      </c>
      <c r="Z60" s="85">
        <v>1231.7</v>
      </c>
      <c r="AA60" s="67" t="s">
        <v>408</v>
      </c>
      <c r="AB60" s="86">
        <v>42296</v>
      </c>
      <c r="AC60" s="87">
        <v>96</v>
      </c>
      <c r="AD60" s="111" t="s">
        <v>498</v>
      </c>
      <c r="AE60" s="90">
        <v>42333</v>
      </c>
      <c r="AF60" s="91">
        <v>350</v>
      </c>
      <c r="AG60" s="59" t="s">
        <v>599</v>
      </c>
      <c r="AH60" s="113">
        <v>42351</v>
      </c>
      <c r="AI60" s="114">
        <v>91</v>
      </c>
      <c r="AJ60" s="63" t="s">
        <v>665</v>
      </c>
    </row>
    <row r="61" spans="1:36" ht="15" customHeight="1" x14ac:dyDescent="0.25">
      <c r="A61" s="10"/>
      <c r="B61" s="95"/>
      <c r="C61" s="8"/>
      <c r="D61" s="5"/>
      <c r="E61" s="23"/>
      <c r="F61" s="6"/>
      <c r="G61" s="71"/>
      <c r="H61" s="70"/>
      <c r="I61" s="71"/>
      <c r="J61" s="38"/>
      <c r="K61" s="97"/>
      <c r="L61" s="39"/>
      <c r="M61" s="96">
        <v>42154</v>
      </c>
      <c r="N61" s="99">
        <v>456</v>
      </c>
      <c r="O61" s="7" t="s">
        <v>146</v>
      </c>
      <c r="P61" s="101">
        <v>42181</v>
      </c>
      <c r="Q61" s="68">
        <v>600</v>
      </c>
      <c r="R61" s="27" t="s">
        <v>185</v>
      </c>
      <c r="S61" s="75">
        <v>42205</v>
      </c>
      <c r="T61" s="76">
        <v>90</v>
      </c>
      <c r="U61" s="52" t="s">
        <v>125</v>
      </c>
      <c r="V61" s="80">
        <v>42241</v>
      </c>
      <c r="W61" s="81">
        <v>104</v>
      </c>
      <c r="X61" s="39" t="s">
        <v>344</v>
      </c>
      <c r="Y61" s="84">
        <v>42266</v>
      </c>
      <c r="Z61" s="85">
        <v>1500</v>
      </c>
      <c r="AA61" s="67" t="s">
        <v>398</v>
      </c>
      <c r="AB61" s="86">
        <v>42296</v>
      </c>
      <c r="AC61" s="87">
        <v>220</v>
      </c>
      <c r="AD61" s="111" t="s">
        <v>499</v>
      </c>
      <c r="AE61" s="90">
        <v>42333</v>
      </c>
      <c r="AF61" s="91">
        <v>230</v>
      </c>
      <c r="AG61" s="59" t="s">
        <v>600</v>
      </c>
      <c r="AH61" s="113">
        <v>42351</v>
      </c>
      <c r="AI61" s="114">
        <v>240</v>
      </c>
      <c r="AJ61" s="63" t="s">
        <v>666</v>
      </c>
    </row>
    <row r="62" spans="1:36" ht="15" customHeight="1" x14ac:dyDescent="0.25">
      <c r="A62" s="10"/>
      <c r="B62" s="95"/>
      <c r="C62" s="8"/>
      <c r="D62" s="5"/>
      <c r="E62" s="23"/>
      <c r="F62" s="6"/>
      <c r="G62" s="71"/>
      <c r="H62" s="70"/>
      <c r="I62" s="71"/>
      <c r="J62" s="38"/>
      <c r="K62" s="97"/>
      <c r="L62" s="39"/>
      <c r="M62" s="96">
        <v>42155</v>
      </c>
      <c r="N62" s="99">
        <v>29000</v>
      </c>
      <c r="O62" s="7" t="s">
        <v>151</v>
      </c>
      <c r="P62" s="101">
        <v>42182</v>
      </c>
      <c r="Q62" s="68">
        <v>500</v>
      </c>
      <c r="R62" s="27" t="s">
        <v>224</v>
      </c>
      <c r="S62" s="75">
        <v>42205</v>
      </c>
      <c r="T62" s="76">
        <v>1100</v>
      </c>
      <c r="U62" s="52" t="s">
        <v>286</v>
      </c>
      <c r="V62" s="80">
        <v>42242</v>
      </c>
      <c r="W62" s="81">
        <v>400</v>
      </c>
      <c r="X62" s="39" t="s">
        <v>345</v>
      </c>
      <c r="Y62" s="84">
        <v>42266</v>
      </c>
      <c r="Z62" s="85">
        <v>65.599999999999994</v>
      </c>
      <c r="AA62" s="67" t="s">
        <v>399</v>
      </c>
      <c r="AB62" s="86">
        <v>42296</v>
      </c>
      <c r="AC62" s="87">
        <v>195</v>
      </c>
      <c r="AD62" s="111" t="s">
        <v>500</v>
      </c>
      <c r="AE62" s="90">
        <v>42335</v>
      </c>
      <c r="AF62" s="91">
        <v>1000</v>
      </c>
      <c r="AG62" s="59" t="s">
        <v>571</v>
      </c>
      <c r="AH62" s="113">
        <v>42351</v>
      </c>
      <c r="AI62" s="114">
        <v>350</v>
      </c>
      <c r="AJ62" s="63" t="s">
        <v>667</v>
      </c>
    </row>
    <row r="63" spans="1:36" x14ac:dyDescent="0.25">
      <c r="A63" s="10"/>
      <c r="B63" s="95"/>
      <c r="C63" s="8"/>
      <c r="D63" s="5"/>
      <c r="E63" s="23"/>
      <c r="F63" s="6"/>
      <c r="G63" s="71"/>
      <c r="H63" s="70"/>
      <c r="I63" s="71"/>
      <c r="J63" s="38"/>
      <c r="K63" s="97"/>
      <c r="L63" s="39"/>
      <c r="M63" s="96">
        <v>42155</v>
      </c>
      <c r="N63" s="99">
        <v>3200</v>
      </c>
      <c r="O63" s="7" t="s">
        <v>174</v>
      </c>
      <c r="P63" s="101">
        <v>42183</v>
      </c>
      <c r="Q63" s="68">
        <v>100</v>
      </c>
      <c r="R63" s="27" t="s">
        <v>225</v>
      </c>
      <c r="S63" s="75">
        <v>42206</v>
      </c>
      <c r="T63" s="76">
        <v>6400</v>
      </c>
      <c r="U63" s="52" t="s">
        <v>266</v>
      </c>
      <c r="V63" s="80">
        <v>42243</v>
      </c>
      <c r="W63" s="81">
        <v>180</v>
      </c>
      <c r="X63" s="39" t="s">
        <v>346</v>
      </c>
      <c r="Y63" s="84">
        <v>42266</v>
      </c>
      <c r="Z63" s="85">
        <v>29</v>
      </c>
      <c r="AA63" s="67" t="s">
        <v>400</v>
      </c>
      <c r="AB63" s="86">
        <v>42296</v>
      </c>
      <c r="AC63" s="87">
        <v>1750</v>
      </c>
      <c r="AD63" s="111" t="s">
        <v>501</v>
      </c>
      <c r="AE63" s="90">
        <v>42336</v>
      </c>
      <c r="AF63" s="91">
        <v>400</v>
      </c>
      <c r="AG63" s="59" t="s">
        <v>601</v>
      </c>
      <c r="AH63" s="113">
        <v>42351</v>
      </c>
      <c r="AI63" s="114">
        <v>100</v>
      </c>
      <c r="AJ63" s="63" t="s">
        <v>668</v>
      </c>
    </row>
    <row r="64" spans="1:36" x14ac:dyDescent="0.25">
      <c r="A64" s="10"/>
      <c r="B64" s="95"/>
      <c r="C64" s="8"/>
      <c r="D64" s="5"/>
      <c r="E64" s="23"/>
      <c r="F64" s="6"/>
      <c r="G64" s="71"/>
      <c r="H64" s="70"/>
      <c r="I64" s="71"/>
      <c r="J64" s="38"/>
      <c r="K64" s="97"/>
      <c r="L64" s="39"/>
      <c r="M64" s="96"/>
      <c r="N64" s="99"/>
      <c r="O64" s="7"/>
      <c r="P64" s="101">
        <v>42183</v>
      </c>
      <c r="Q64" s="68">
        <v>2000</v>
      </c>
      <c r="R64" s="27" t="s">
        <v>226</v>
      </c>
      <c r="S64" s="75">
        <v>42206</v>
      </c>
      <c r="T64" s="76">
        <v>60</v>
      </c>
      <c r="U64" s="52" t="s">
        <v>124</v>
      </c>
      <c r="V64" s="80">
        <v>42244</v>
      </c>
      <c r="W64" s="81">
        <v>800</v>
      </c>
      <c r="X64" s="39" t="s">
        <v>106</v>
      </c>
      <c r="Y64" s="84">
        <v>42266</v>
      </c>
      <c r="Z64" s="85">
        <v>227</v>
      </c>
      <c r="AA64" s="67" t="s">
        <v>401</v>
      </c>
      <c r="AB64" s="86">
        <v>42296</v>
      </c>
      <c r="AC64" s="87">
        <v>200</v>
      </c>
      <c r="AD64" s="111" t="s">
        <v>502</v>
      </c>
      <c r="AE64" s="90">
        <v>42336</v>
      </c>
      <c r="AF64" s="91">
        <v>600</v>
      </c>
      <c r="AG64" s="59" t="s">
        <v>609</v>
      </c>
      <c r="AH64" s="113">
        <v>42353</v>
      </c>
      <c r="AI64" s="114">
        <v>1000</v>
      </c>
      <c r="AJ64" s="63" t="s">
        <v>672</v>
      </c>
    </row>
    <row r="65" spans="1:37" x14ac:dyDescent="0.25">
      <c r="A65" s="10"/>
      <c r="B65" s="95"/>
      <c r="C65" s="8"/>
      <c r="D65" s="5"/>
      <c r="E65" s="23"/>
      <c r="F65" s="6"/>
      <c r="G65" s="71"/>
      <c r="H65" s="70"/>
      <c r="I65" s="71"/>
      <c r="J65" s="38"/>
      <c r="K65" s="97"/>
      <c r="L65" s="39"/>
      <c r="M65" s="96"/>
      <c r="N65" s="99"/>
      <c r="O65" s="7"/>
      <c r="P65" s="101">
        <v>42184</v>
      </c>
      <c r="Q65" s="68">
        <v>90</v>
      </c>
      <c r="R65" s="27" t="s">
        <v>191</v>
      </c>
      <c r="S65" s="75">
        <v>42206</v>
      </c>
      <c r="T65" s="76">
        <v>3307.5</v>
      </c>
      <c r="U65" s="52" t="s">
        <v>273</v>
      </c>
      <c r="V65" s="80">
        <v>42244</v>
      </c>
      <c r="W65" s="81">
        <v>160.9</v>
      </c>
      <c r="X65" s="39" t="s">
        <v>347</v>
      </c>
      <c r="Y65" s="84">
        <v>42266</v>
      </c>
      <c r="Z65" s="85">
        <v>100</v>
      </c>
      <c r="AA65" s="67" t="s">
        <v>403</v>
      </c>
      <c r="AB65" s="86">
        <v>42297</v>
      </c>
      <c r="AC65" s="87">
        <v>250</v>
      </c>
      <c r="AD65" s="111" t="s">
        <v>560</v>
      </c>
      <c r="AE65" s="90">
        <v>42336</v>
      </c>
      <c r="AF65" s="91">
        <v>400</v>
      </c>
      <c r="AG65" s="59" t="s">
        <v>602</v>
      </c>
      <c r="AH65" s="113">
        <v>42353</v>
      </c>
      <c r="AI65" s="114">
        <v>500</v>
      </c>
      <c r="AJ65" s="63" t="s">
        <v>673</v>
      </c>
    </row>
    <row r="66" spans="1:37" x14ac:dyDescent="0.25">
      <c r="A66" s="10"/>
      <c r="B66" s="95"/>
      <c r="C66" s="8"/>
      <c r="D66" s="5"/>
      <c r="E66" s="23"/>
      <c r="F66" s="6"/>
      <c r="G66" s="71"/>
      <c r="H66" s="70"/>
      <c r="I66" s="71"/>
      <c r="J66" s="38"/>
      <c r="K66" s="97"/>
      <c r="L66" s="39"/>
      <c r="M66" s="96"/>
      <c r="N66" s="99"/>
      <c r="O66" s="7"/>
      <c r="P66" s="101">
        <v>42184</v>
      </c>
      <c r="Q66" s="68">
        <v>409.7</v>
      </c>
      <c r="R66" s="27" t="s">
        <v>227</v>
      </c>
      <c r="S66" s="75">
        <v>42206</v>
      </c>
      <c r="T66" s="76">
        <v>350</v>
      </c>
      <c r="U66" s="52" t="s">
        <v>274</v>
      </c>
      <c r="V66" s="80">
        <v>42244</v>
      </c>
      <c r="W66" s="81">
        <v>90.5</v>
      </c>
      <c r="X66" s="107" t="s">
        <v>348</v>
      </c>
      <c r="Y66" s="84">
        <v>42267</v>
      </c>
      <c r="Z66" s="85">
        <v>50</v>
      </c>
      <c r="AA66" s="67" t="s">
        <v>402</v>
      </c>
      <c r="AB66" s="86">
        <v>42298</v>
      </c>
      <c r="AC66" s="87">
        <v>1760</v>
      </c>
      <c r="AD66" s="120" t="s">
        <v>503</v>
      </c>
      <c r="AE66" s="90">
        <v>42337</v>
      </c>
      <c r="AF66" s="91">
        <v>121.5</v>
      </c>
      <c r="AG66" s="59" t="s">
        <v>563</v>
      </c>
      <c r="AH66" s="113">
        <v>42353</v>
      </c>
      <c r="AI66" s="114">
        <v>3200</v>
      </c>
      <c r="AJ66" s="63" t="s">
        <v>669</v>
      </c>
    </row>
    <row r="67" spans="1:37" x14ac:dyDescent="0.25">
      <c r="A67" s="10"/>
      <c r="B67" s="95"/>
      <c r="C67" s="8"/>
      <c r="D67" s="5"/>
      <c r="E67" s="23"/>
      <c r="F67" s="6"/>
      <c r="G67" s="71"/>
      <c r="H67" s="70"/>
      <c r="I67" s="71"/>
      <c r="J67" s="38"/>
      <c r="K67" s="97"/>
      <c r="L67" s="39"/>
      <c r="M67" s="96"/>
      <c r="N67" s="99"/>
      <c r="O67" s="7"/>
      <c r="P67" s="101">
        <v>42184</v>
      </c>
      <c r="Q67" s="68">
        <v>20000</v>
      </c>
      <c r="R67" s="27" t="s">
        <v>243</v>
      </c>
      <c r="S67" s="75">
        <v>42207</v>
      </c>
      <c r="T67" s="76">
        <v>60</v>
      </c>
      <c r="U67" s="52" t="s">
        <v>82</v>
      </c>
      <c r="V67" s="80">
        <v>42244</v>
      </c>
      <c r="W67" s="81">
        <v>300</v>
      </c>
      <c r="X67" s="39" t="s">
        <v>349</v>
      </c>
      <c r="Y67" s="84">
        <v>42267</v>
      </c>
      <c r="Z67" s="85">
        <v>100</v>
      </c>
      <c r="AA67" s="67" t="s">
        <v>404</v>
      </c>
      <c r="AB67" s="86">
        <v>42298</v>
      </c>
      <c r="AC67" s="87">
        <v>1150</v>
      </c>
      <c r="AD67" s="111" t="s">
        <v>509</v>
      </c>
      <c r="AE67" s="90">
        <v>42338</v>
      </c>
      <c r="AF67" s="91">
        <v>350</v>
      </c>
      <c r="AG67" s="59" t="s">
        <v>603</v>
      </c>
      <c r="AH67" s="113">
        <v>42353</v>
      </c>
      <c r="AI67" s="114">
        <v>29000</v>
      </c>
      <c r="AJ67" s="63" t="s">
        <v>671</v>
      </c>
    </row>
    <row r="68" spans="1:37" x14ac:dyDescent="0.25">
      <c r="A68" s="10"/>
      <c r="B68" s="95"/>
      <c r="C68" s="8"/>
      <c r="D68" s="5"/>
      <c r="E68" s="23"/>
      <c r="F68" s="6"/>
      <c r="G68" s="71"/>
      <c r="H68" s="70"/>
      <c r="I68" s="71"/>
      <c r="J68" s="38"/>
      <c r="K68" s="97"/>
      <c r="L68" s="39"/>
      <c r="M68" s="96"/>
      <c r="N68" s="99"/>
      <c r="O68" s="7"/>
      <c r="P68" s="101">
        <v>42185</v>
      </c>
      <c r="Q68" s="68">
        <v>1500</v>
      </c>
      <c r="R68" s="27" t="s">
        <v>229</v>
      </c>
      <c r="S68" s="75">
        <v>42208</v>
      </c>
      <c r="T68" s="76">
        <v>125</v>
      </c>
      <c r="U68" s="52" t="s">
        <v>285</v>
      </c>
      <c r="V68" s="80">
        <v>42244</v>
      </c>
      <c r="W68" s="81">
        <v>400</v>
      </c>
      <c r="X68" s="39" t="s">
        <v>350</v>
      </c>
      <c r="Y68" s="84">
        <v>42267</v>
      </c>
      <c r="Z68" s="85">
        <v>240</v>
      </c>
      <c r="AA68" s="67" t="s">
        <v>405</v>
      </c>
      <c r="AB68" s="86">
        <v>42298</v>
      </c>
      <c r="AC68" s="87">
        <v>80</v>
      </c>
      <c r="AD68" s="111" t="s">
        <v>504</v>
      </c>
      <c r="AE68" s="90">
        <v>42338</v>
      </c>
      <c r="AF68" s="91">
        <v>100</v>
      </c>
      <c r="AG68" s="59" t="s">
        <v>604</v>
      </c>
      <c r="AH68" s="113">
        <v>42353</v>
      </c>
      <c r="AI68" s="114">
        <v>4000</v>
      </c>
      <c r="AJ68" s="63" t="s">
        <v>542</v>
      </c>
    </row>
    <row r="69" spans="1:37" x14ac:dyDescent="0.25">
      <c r="A69" s="10"/>
      <c r="B69" s="95"/>
      <c r="C69" s="8"/>
      <c r="D69" s="5"/>
      <c r="E69" s="23"/>
      <c r="F69" s="6"/>
      <c r="G69" s="71"/>
      <c r="H69" s="70"/>
      <c r="I69" s="71"/>
      <c r="J69" s="38"/>
      <c r="K69" s="97"/>
      <c r="L69" s="39"/>
      <c r="M69" s="96"/>
      <c r="N69" s="99"/>
      <c r="O69" s="7"/>
      <c r="P69" s="101">
        <v>42185</v>
      </c>
      <c r="Q69" s="68">
        <v>300</v>
      </c>
      <c r="R69" s="27" t="s">
        <v>181</v>
      </c>
      <c r="S69" s="75">
        <v>42209</v>
      </c>
      <c r="T69" s="76">
        <v>90</v>
      </c>
      <c r="U69" s="52" t="s">
        <v>77</v>
      </c>
      <c r="V69" s="80">
        <v>42245</v>
      </c>
      <c r="W69" s="81">
        <v>64</v>
      </c>
      <c r="X69" s="39" t="s">
        <v>351</v>
      </c>
      <c r="Y69" s="84">
        <v>42267</v>
      </c>
      <c r="Z69" s="85">
        <v>60</v>
      </c>
      <c r="AA69" s="67" t="s">
        <v>406</v>
      </c>
      <c r="AB69" s="86">
        <v>42298</v>
      </c>
      <c r="AC69" s="87">
        <v>400</v>
      </c>
      <c r="AD69" s="111" t="s">
        <v>505</v>
      </c>
      <c r="AE69" s="90">
        <v>42338</v>
      </c>
      <c r="AF69" s="91">
        <v>600</v>
      </c>
      <c r="AG69" s="59" t="s">
        <v>605</v>
      </c>
      <c r="AH69" s="113">
        <v>42051</v>
      </c>
      <c r="AI69" s="114">
        <v>54.99</v>
      </c>
      <c r="AJ69" s="63" t="s">
        <v>674</v>
      </c>
    </row>
    <row r="70" spans="1:37" x14ac:dyDescent="0.25">
      <c r="A70" s="10"/>
      <c r="B70" s="95"/>
      <c r="C70" s="8"/>
      <c r="D70" s="5"/>
      <c r="E70" s="23"/>
      <c r="F70" s="6"/>
      <c r="G70" s="71"/>
      <c r="H70" s="70"/>
      <c r="I70" s="71"/>
      <c r="J70" s="38"/>
      <c r="K70" s="97"/>
      <c r="L70" s="39"/>
      <c r="M70" s="96"/>
      <c r="N70" s="99"/>
      <c r="O70" s="7"/>
      <c r="P70" s="101">
        <v>42185</v>
      </c>
      <c r="Q70" s="68">
        <v>11241</v>
      </c>
      <c r="R70" s="27" t="s">
        <v>230</v>
      </c>
      <c r="S70" s="75">
        <v>42209</v>
      </c>
      <c r="T70" s="76">
        <v>600</v>
      </c>
      <c r="U70" s="52" t="s">
        <v>106</v>
      </c>
      <c r="V70" s="80">
        <v>42245</v>
      </c>
      <c r="W70" s="81">
        <v>36.9</v>
      </c>
      <c r="X70" s="39" t="s">
        <v>352</v>
      </c>
      <c r="Y70" s="84">
        <v>42267</v>
      </c>
      <c r="Z70" s="85">
        <v>290</v>
      </c>
      <c r="AA70" s="67" t="s">
        <v>407</v>
      </c>
      <c r="AB70" s="86">
        <v>42298</v>
      </c>
      <c r="AC70" s="87">
        <v>200</v>
      </c>
      <c r="AD70" s="111" t="s">
        <v>506</v>
      </c>
      <c r="AE70" s="90">
        <v>42338</v>
      </c>
      <c r="AF70" s="91">
        <v>192</v>
      </c>
      <c r="AG70" s="59" t="s">
        <v>606</v>
      </c>
      <c r="AH70" s="113">
        <v>42051</v>
      </c>
      <c r="AI70" s="114">
        <v>108</v>
      </c>
      <c r="AJ70" s="63" t="s">
        <v>675</v>
      </c>
    </row>
    <row r="71" spans="1:37" x14ac:dyDescent="0.25">
      <c r="A71" s="10"/>
      <c r="B71" s="95"/>
      <c r="C71" s="8"/>
      <c r="D71" s="5"/>
      <c r="E71" s="23"/>
      <c r="F71" s="6"/>
      <c r="G71" s="71"/>
      <c r="H71" s="70"/>
      <c r="I71" s="71"/>
      <c r="J71" s="38"/>
      <c r="K71" s="97"/>
      <c r="L71" s="39"/>
      <c r="M71" s="96"/>
      <c r="N71" s="99"/>
      <c r="O71" s="7"/>
      <c r="P71" s="101">
        <v>42185</v>
      </c>
      <c r="Q71" s="68">
        <v>2000</v>
      </c>
      <c r="R71" s="27" t="s">
        <v>228</v>
      </c>
      <c r="S71" s="75">
        <v>42209</v>
      </c>
      <c r="T71" s="76">
        <v>1760</v>
      </c>
      <c r="U71" s="52" t="s">
        <v>299</v>
      </c>
      <c r="V71" s="80">
        <v>42246</v>
      </c>
      <c r="W71" s="81">
        <v>400</v>
      </c>
      <c r="X71" s="39" t="s">
        <v>353</v>
      </c>
      <c r="Y71" s="109">
        <v>42268</v>
      </c>
      <c r="Z71" s="108">
        <v>96</v>
      </c>
      <c r="AA71" s="67" t="s">
        <v>125</v>
      </c>
      <c r="AB71" s="86">
        <v>42299</v>
      </c>
      <c r="AC71" s="87">
        <v>100</v>
      </c>
      <c r="AD71" s="111" t="s">
        <v>522</v>
      </c>
      <c r="AE71" s="90">
        <v>42338</v>
      </c>
      <c r="AF71" s="91">
        <v>350</v>
      </c>
      <c r="AG71" s="59" t="s">
        <v>607</v>
      </c>
      <c r="AH71" s="113">
        <v>42051</v>
      </c>
      <c r="AI71" s="114">
        <v>20</v>
      </c>
      <c r="AJ71" s="63" t="s">
        <v>676</v>
      </c>
    </row>
    <row r="72" spans="1:37" x14ac:dyDescent="0.25">
      <c r="A72" s="10"/>
      <c r="B72" s="95"/>
      <c r="C72" s="8"/>
      <c r="D72" s="5"/>
      <c r="E72" s="23"/>
      <c r="F72" s="6"/>
      <c r="G72" s="71"/>
      <c r="H72" s="70"/>
      <c r="I72" s="71"/>
      <c r="J72" s="38"/>
      <c r="K72" s="97"/>
      <c r="L72" s="39"/>
      <c r="M72" s="96"/>
      <c r="N72" s="99"/>
      <c r="O72" s="7"/>
      <c r="P72" s="101">
        <v>42185</v>
      </c>
      <c r="Q72" s="68">
        <v>29000</v>
      </c>
      <c r="R72" s="27" t="s">
        <v>231</v>
      </c>
      <c r="S72" s="75">
        <v>42211</v>
      </c>
      <c r="T72" s="76">
        <v>100</v>
      </c>
      <c r="U72" s="52" t="s">
        <v>275</v>
      </c>
      <c r="V72" s="80">
        <v>42246</v>
      </c>
      <c r="W72" s="81">
        <v>58</v>
      </c>
      <c r="X72" s="39" t="s">
        <v>354</v>
      </c>
      <c r="Y72" s="109">
        <v>42269</v>
      </c>
      <c r="Z72" s="108">
        <v>400</v>
      </c>
      <c r="AA72" s="67" t="s">
        <v>410</v>
      </c>
      <c r="AB72" s="86">
        <v>42299</v>
      </c>
      <c r="AC72" s="87">
        <v>720</v>
      </c>
      <c r="AD72" s="111" t="s">
        <v>507</v>
      </c>
      <c r="AE72" s="90">
        <v>42338</v>
      </c>
      <c r="AF72" s="91">
        <v>200</v>
      </c>
      <c r="AG72" s="59" t="s">
        <v>608</v>
      </c>
      <c r="AH72" s="113">
        <v>42051</v>
      </c>
      <c r="AI72" s="114">
        <v>292.02</v>
      </c>
      <c r="AJ72" s="63" t="s">
        <v>677</v>
      </c>
    </row>
    <row r="73" spans="1:37" x14ac:dyDescent="0.25">
      <c r="A73" s="10"/>
      <c r="B73" s="95"/>
      <c r="C73" s="8"/>
      <c r="D73" s="5"/>
      <c r="E73" s="23"/>
      <c r="F73" s="6"/>
      <c r="G73" s="71"/>
      <c r="H73" s="70"/>
      <c r="I73" s="71"/>
      <c r="J73" s="38"/>
      <c r="K73" s="97"/>
      <c r="L73" s="39"/>
      <c r="M73" s="96"/>
      <c r="N73" s="99"/>
      <c r="O73" s="7"/>
      <c r="P73" s="101">
        <v>42185</v>
      </c>
      <c r="Q73" s="68">
        <v>3200</v>
      </c>
      <c r="R73" s="27" t="s">
        <v>232</v>
      </c>
      <c r="S73" s="75">
        <v>42212</v>
      </c>
      <c r="T73" s="76">
        <v>1100</v>
      </c>
      <c r="U73" s="104" t="s">
        <v>276</v>
      </c>
      <c r="V73" s="80">
        <v>42247</v>
      </c>
      <c r="W73" s="81">
        <v>600</v>
      </c>
      <c r="X73" s="39" t="s">
        <v>300</v>
      </c>
      <c r="Y73" s="109">
        <v>42269</v>
      </c>
      <c r="Z73" s="108">
        <v>128</v>
      </c>
      <c r="AA73" s="67" t="s">
        <v>411</v>
      </c>
      <c r="AB73" s="86">
        <v>42299</v>
      </c>
      <c r="AC73" s="87">
        <v>80</v>
      </c>
      <c r="AD73" s="111" t="s">
        <v>508</v>
      </c>
      <c r="AE73" s="90">
        <v>42338</v>
      </c>
      <c r="AF73" s="91">
        <v>1394</v>
      </c>
      <c r="AG73" s="59" t="s">
        <v>610</v>
      </c>
      <c r="AH73" s="113">
        <v>42354</v>
      </c>
      <c r="AI73" s="114">
        <v>109</v>
      </c>
      <c r="AJ73" s="63" t="s">
        <v>533</v>
      </c>
    </row>
    <row r="74" spans="1:37" x14ac:dyDescent="0.25">
      <c r="A74" s="10"/>
      <c r="B74" s="95"/>
      <c r="C74" s="8"/>
      <c r="D74" s="5"/>
      <c r="E74" s="23"/>
      <c r="F74" s="6"/>
      <c r="G74" s="71"/>
      <c r="H74" s="70"/>
      <c r="I74" s="71"/>
      <c r="J74" s="38"/>
      <c r="K74" s="97"/>
      <c r="L74" s="39"/>
      <c r="M74" s="96"/>
      <c r="N74" s="99"/>
      <c r="O74" s="7"/>
      <c r="P74" s="101">
        <v>42185</v>
      </c>
      <c r="Q74" s="68">
        <v>1760</v>
      </c>
      <c r="R74" s="115" t="s">
        <v>648</v>
      </c>
      <c r="S74" s="75">
        <v>42213</v>
      </c>
      <c r="T74" s="76">
        <v>1760</v>
      </c>
      <c r="U74" s="115" t="s">
        <v>280</v>
      </c>
      <c r="V74" s="80">
        <v>42247</v>
      </c>
      <c r="W74" s="81">
        <v>3200</v>
      </c>
      <c r="X74" s="39" t="s">
        <v>355</v>
      </c>
      <c r="Y74" s="109">
        <v>42269</v>
      </c>
      <c r="Z74" s="108">
        <v>273.5</v>
      </c>
      <c r="AA74" s="67" t="s">
        <v>412</v>
      </c>
      <c r="AB74" s="86">
        <v>42299</v>
      </c>
      <c r="AC74" s="87">
        <v>328</v>
      </c>
      <c r="AD74" s="111" t="s">
        <v>510</v>
      </c>
      <c r="AE74" s="90">
        <v>42338</v>
      </c>
      <c r="AF74" s="91">
        <v>3200</v>
      </c>
      <c r="AG74" s="59" t="s">
        <v>611</v>
      </c>
      <c r="AH74" s="113">
        <v>42354</v>
      </c>
      <c r="AI74" s="114">
        <v>450</v>
      </c>
      <c r="AJ74" s="63" t="s">
        <v>678</v>
      </c>
    </row>
    <row r="75" spans="1:37" x14ac:dyDescent="0.25">
      <c r="A75" s="10"/>
      <c r="B75" s="95"/>
      <c r="C75" s="8"/>
      <c r="D75" s="5"/>
      <c r="E75" s="23"/>
      <c r="F75" s="6"/>
      <c r="G75" s="71"/>
      <c r="H75" s="70"/>
      <c r="I75" s="71"/>
      <c r="J75" s="38"/>
      <c r="K75" s="97"/>
      <c r="L75" s="39"/>
      <c r="M75" s="96"/>
      <c r="N75" s="99"/>
      <c r="O75" s="7"/>
      <c r="P75" s="101"/>
      <c r="Q75" s="68"/>
      <c r="R75" s="27"/>
      <c r="S75" s="75">
        <v>42213</v>
      </c>
      <c r="T75" s="76">
        <v>1300</v>
      </c>
      <c r="U75" s="52" t="s">
        <v>290</v>
      </c>
      <c r="V75" s="80">
        <v>42247</v>
      </c>
      <c r="W75" s="81">
        <v>29000</v>
      </c>
      <c r="X75" s="39" t="s">
        <v>393</v>
      </c>
      <c r="Y75" s="109">
        <v>42269</v>
      </c>
      <c r="Z75" s="108">
        <v>129</v>
      </c>
      <c r="AA75" s="67" t="s">
        <v>413</v>
      </c>
      <c r="AB75" s="86">
        <v>42299</v>
      </c>
      <c r="AC75" s="87">
        <v>50</v>
      </c>
      <c r="AD75" s="111" t="s">
        <v>495</v>
      </c>
      <c r="AE75" s="90">
        <v>42338</v>
      </c>
      <c r="AF75" s="91">
        <v>29000</v>
      </c>
      <c r="AG75" s="59" t="s">
        <v>612</v>
      </c>
      <c r="AH75" s="113">
        <v>42355</v>
      </c>
      <c r="AI75" s="114">
        <v>271.39999999999998</v>
      </c>
      <c r="AJ75" s="63" t="s">
        <v>679</v>
      </c>
    </row>
    <row r="76" spans="1:37" x14ac:dyDescent="0.25">
      <c r="A76" s="10"/>
      <c r="B76" s="95"/>
      <c r="C76" s="8"/>
      <c r="D76" s="5"/>
      <c r="E76" s="23"/>
      <c r="F76" s="6"/>
      <c r="G76" s="71"/>
      <c r="H76" s="70"/>
      <c r="I76" s="71"/>
      <c r="J76" s="38"/>
      <c r="K76" s="97"/>
      <c r="L76" s="39"/>
      <c r="M76" s="96"/>
      <c r="N76" s="99"/>
      <c r="O76" s="7"/>
      <c r="P76" s="101"/>
      <c r="Q76" s="68"/>
      <c r="R76" s="27"/>
      <c r="S76" s="75">
        <v>42214</v>
      </c>
      <c r="T76" s="76">
        <v>130</v>
      </c>
      <c r="U76" s="52" t="s">
        <v>292</v>
      </c>
      <c r="V76" s="80">
        <v>42247</v>
      </c>
      <c r="W76" s="81">
        <v>4000</v>
      </c>
      <c r="X76" s="39" t="s">
        <v>356</v>
      </c>
      <c r="Y76" s="109">
        <v>42270</v>
      </c>
      <c r="Z76" s="108">
        <v>1760</v>
      </c>
      <c r="AA76" s="115" t="s">
        <v>414</v>
      </c>
      <c r="AB76" s="86">
        <v>42300</v>
      </c>
      <c r="AC76" s="87">
        <v>1000</v>
      </c>
      <c r="AD76" s="111" t="s">
        <v>106</v>
      </c>
      <c r="AE76" s="90">
        <v>42338</v>
      </c>
      <c r="AF76" s="91">
        <v>4000</v>
      </c>
      <c r="AG76" s="59" t="s">
        <v>542</v>
      </c>
      <c r="AH76" s="113">
        <v>42355</v>
      </c>
      <c r="AI76" s="114">
        <v>18</v>
      </c>
      <c r="AJ76" s="63" t="s">
        <v>680</v>
      </c>
    </row>
    <row r="77" spans="1:37" x14ac:dyDescent="0.25">
      <c r="A77" s="10"/>
      <c r="B77" s="95"/>
      <c r="C77" s="8"/>
      <c r="D77" s="5"/>
      <c r="E77" s="23"/>
      <c r="F77" s="6"/>
      <c r="G77" s="71"/>
      <c r="H77" s="70"/>
      <c r="I77" s="71"/>
      <c r="J77" s="38"/>
      <c r="K77" s="97"/>
      <c r="L77" s="39"/>
      <c r="M77" s="96"/>
      <c r="N77" s="99"/>
      <c r="O77" s="7"/>
      <c r="P77" s="101"/>
      <c r="Q77" s="68"/>
      <c r="R77" s="27"/>
      <c r="S77" s="75">
        <v>42214</v>
      </c>
      <c r="T77" s="76">
        <v>350</v>
      </c>
      <c r="U77" s="52" t="s">
        <v>291</v>
      </c>
      <c r="V77" s="39"/>
      <c r="W77" s="81"/>
      <c r="X77" s="39"/>
      <c r="Y77" s="109">
        <v>42270</v>
      </c>
      <c r="Z77" s="108">
        <v>1050</v>
      </c>
      <c r="AA77" s="67" t="s">
        <v>415</v>
      </c>
      <c r="AB77" s="86">
        <v>42300</v>
      </c>
      <c r="AC77" s="87">
        <v>1800</v>
      </c>
      <c r="AD77" s="111" t="s">
        <v>511</v>
      </c>
      <c r="AE77" s="59"/>
      <c r="AF77" s="91"/>
      <c r="AG77" s="59"/>
      <c r="AH77" s="113">
        <v>42355</v>
      </c>
      <c r="AI77" s="114">
        <v>181.08</v>
      </c>
      <c r="AJ77" s="63" t="s">
        <v>681</v>
      </c>
    </row>
    <row r="78" spans="1:37" x14ac:dyDescent="0.25">
      <c r="A78" s="10"/>
      <c r="B78" s="95"/>
      <c r="C78" s="8"/>
      <c r="D78" s="5"/>
      <c r="E78" s="23"/>
      <c r="F78" s="6"/>
      <c r="G78" s="71"/>
      <c r="H78" s="70"/>
      <c r="I78" s="71"/>
      <c r="J78" s="38"/>
      <c r="K78" s="97"/>
      <c r="L78" s="39"/>
      <c r="M78" s="96"/>
      <c r="N78" s="99"/>
      <c r="O78" s="7"/>
      <c r="P78" s="101"/>
      <c r="Q78" s="68"/>
      <c r="R78" s="27"/>
      <c r="S78" s="75">
        <v>42216</v>
      </c>
      <c r="T78" s="76">
        <v>600</v>
      </c>
      <c r="U78" s="52" t="s">
        <v>106</v>
      </c>
      <c r="V78" s="39"/>
      <c r="W78" s="81"/>
      <c r="X78" s="39"/>
      <c r="Y78" s="109">
        <v>42270</v>
      </c>
      <c r="Z78" s="108">
        <v>350</v>
      </c>
      <c r="AA78" s="67" t="s">
        <v>417</v>
      </c>
      <c r="AB78" s="86">
        <v>42300</v>
      </c>
      <c r="AC78" s="87">
        <v>250</v>
      </c>
      <c r="AD78" s="111" t="s">
        <v>512</v>
      </c>
      <c r="AE78" s="41"/>
      <c r="AF78" s="42"/>
      <c r="AG78" s="41"/>
      <c r="AH78" s="113">
        <v>42355</v>
      </c>
      <c r="AI78" s="114">
        <v>816.5</v>
      </c>
      <c r="AJ78" s="63" t="s">
        <v>682</v>
      </c>
      <c r="AK78" s="41"/>
    </row>
    <row r="79" spans="1:37" x14ac:dyDescent="0.25">
      <c r="A79" s="10"/>
      <c r="B79" s="95"/>
      <c r="C79" s="8"/>
      <c r="D79" s="5"/>
      <c r="E79" s="23"/>
      <c r="F79" s="6"/>
      <c r="G79" s="71"/>
      <c r="H79" s="70"/>
      <c r="I79" s="71"/>
      <c r="J79" s="38"/>
      <c r="K79" s="97"/>
      <c r="L79" s="39"/>
      <c r="M79" s="96"/>
      <c r="N79" s="99"/>
      <c r="O79" s="7"/>
      <c r="P79" s="101"/>
      <c r="Q79" s="68"/>
      <c r="R79" s="27"/>
      <c r="S79" s="75">
        <v>42216</v>
      </c>
      <c r="T79" s="76">
        <v>29000</v>
      </c>
      <c r="U79" s="52" t="s">
        <v>278</v>
      </c>
      <c r="V79" s="39"/>
      <c r="W79" s="81"/>
      <c r="X79" s="39"/>
      <c r="Y79" s="84">
        <v>42270</v>
      </c>
      <c r="Z79" s="85">
        <v>200</v>
      </c>
      <c r="AA79" s="67" t="s">
        <v>418</v>
      </c>
      <c r="AB79" s="86">
        <v>42300</v>
      </c>
      <c r="AC79" s="87">
        <v>350</v>
      </c>
      <c r="AD79" s="111" t="s">
        <v>513</v>
      </c>
      <c r="AE79" s="41"/>
      <c r="AF79" s="42"/>
      <c r="AG79" s="41"/>
      <c r="AH79" s="113">
        <v>42355</v>
      </c>
      <c r="AI79" s="114">
        <v>20</v>
      </c>
      <c r="AJ79" s="63" t="s">
        <v>683</v>
      </c>
      <c r="AK79" s="41"/>
    </row>
    <row r="80" spans="1:37" x14ac:dyDescent="0.25">
      <c r="A80" s="10"/>
      <c r="B80" s="95"/>
      <c r="C80" s="8"/>
      <c r="D80" s="5"/>
      <c r="E80" s="23"/>
      <c r="F80" s="6"/>
      <c r="G80" s="71"/>
      <c r="H80" s="70"/>
      <c r="I80" s="71"/>
      <c r="J80" s="38"/>
      <c r="K80" s="97"/>
      <c r="L80" s="39"/>
      <c r="M80" s="96"/>
      <c r="N80" s="99"/>
      <c r="O80" s="7"/>
      <c r="P80" s="101"/>
      <c r="Q80" s="68"/>
      <c r="R80" s="27"/>
      <c r="S80" s="75">
        <v>42216</v>
      </c>
      <c r="T80" s="76">
        <v>3200</v>
      </c>
      <c r="U80" s="52" t="s">
        <v>279</v>
      </c>
      <c r="V80" s="39"/>
      <c r="W80" s="81"/>
      <c r="X80" s="39"/>
      <c r="Y80" s="84">
        <v>42270</v>
      </c>
      <c r="Z80" s="85">
        <v>70</v>
      </c>
      <c r="AA80" s="67" t="s">
        <v>419</v>
      </c>
      <c r="AB80" s="86">
        <v>42300</v>
      </c>
      <c r="AC80" s="87">
        <v>1200</v>
      </c>
      <c r="AD80" s="111" t="s">
        <v>514</v>
      </c>
      <c r="AE80" s="41"/>
      <c r="AF80" s="42"/>
      <c r="AG80" s="41"/>
      <c r="AH80" s="113">
        <v>42355</v>
      </c>
      <c r="AI80" s="114">
        <v>600</v>
      </c>
      <c r="AJ80" s="63" t="s">
        <v>685</v>
      </c>
      <c r="AK80" s="41"/>
    </row>
    <row r="81" spans="1:37" x14ac:dyDescent="0.25">
      <c r="A81" s="10"/>
      <c r="B81" s="95"/>
      <c r="C81" s="8"/>
      <c r="D81" s="5"/>
      <c r="E81" s="23"/>
      <c r="F81" s="6"/>
      <c r="G81" s="71"/>
      <c r="H81" s="70"/>
      <c r="I81" s="71"/>
      <c r="J81" s="38"/>
      <c r="K81" s="97"/>
      <c r="L81" s="39"/>
      <c r="M81" s="96"/>
      <c r="N81" s="99"/>
      <c r="O81" s="7"/>
      <c r="P81" s="101"/>
      <c r="Q81" s="68"/>
      <c r="R81" s="27"/>
      <c r="S81" s="75">
        <v>42216</v>
      </c>
      <c r="T81" s="76">
        <v>800</v>
      </c>
      <c r="U81" s="52" t="s">
        <v>293</v>
      </c>
      <c r="V81" s="39"/>
      <c r="W81" s="81"/>
      <c r="X81" s="39"/>
      <c r="Y81" s="84">
        <v>42270</v>
      </c>
      <c r="Z81" s="85">
        <v>555</v>
      </c>
      <c r="AA81" s="67" t="s">
        <v>420</v>
      </c>
      <c r="AB81" s="86">
        <v>42300</v>
      </c>
      <c r="AC81" s="87">
        <v>1400</v>
      </c>
      <c r="AD81" s="111" t="s">
        <v>515</v>
      </c>
      <c r="AE81" s="41"/>
      <c r="AF81" s="42"/>
      <c r="AG81" s="41"/>
      <c r="AH81" s="113">
        <v>42355</v>
      </c>
      <c r="AI81" s="114">
        <v>278.39999999999998</v>
      </c>
      <c r="AJ81" s="63" t="s">
        <v>686</v>
      </c>
      <c r="AK81" s="41"/>
    </row>
    <row r="82" spans="1:37" x14ac:dyDescent="0.25">
      <c r="A82" s="10"/>
      <c r="B82" s="95"/>
      <c r="C82" s="8"/>
      <c r="D82" s="5"/>
      <c r="E82" s="23"/>
      <c r="F82" s="6"/>
      <c r="G82" s="71"/>
      <c r="H82" s="70"/>
      <c r="I82" s="71"/>
      <c r="J82" s="38"/>
      <c r="K82" s="97"/>
      <c r="L82" s="39"/>
      <c r="M82" s="96"/>
      <c r="N82" s="99"/>
      <c r="O82" s="7"/>
      <c r="P82" s="101"/>
      <c r="Q82" s="68"/>
      <c r="R82" s="27"/>
      <c r="S82" s="75">
        <v>42216</v>
      </c>
      <c r="T82" s="76">
        <v>400</v>
      </c>
      <c r="U82" s="52" t="s">
        <v>294</v>
      </c>
      <c r="V82" s="39"/>
      <c r="W82" s="81"/>
      <c r="X82" s="39"/>
      <c r="Y82" s="84">
        <v>42270</v>
      </c>
      <c r="Z82" s="85">
        <v>54</v>
      </c>
      <c r="AA82" s="67" t="s">
        <v>421</v>
      </c>
      <c r="AB82" s="86">
        <v>42302</v>
      </c>
      <c r="AC82" s="87">
        <v>80</v>
      </c>
      <c r="AD82" s="111" t="s">
        <v>516</v>
      </c>
      <c r="AE82" s="41"/>
      <c r="AF82" s="42"/>
      <c r="AG82" s="41"/>
      <c r="AH82" s="113">
        <v>42356</v>
      </c>
      <c r="AI82" s="114">
        <v>278.39999999999998</v>
      </c>
      <c r="AJ82" s="63" t="s">
        <v>684</v>
      </c>
      <c r="AK82" s="41"/>
    </row>
    <row r="83" spans="1:37" x14ac:dyDescent="0.25">
      <c r="A83" s="10"/>
      <c r="B83" s="95"/>
      <c r="C83" s="8"/>
      <c r="D83" s="5"/>
      <c r="E83" s="23"/>
      <c r="F83" s="6"/>
      <c r="G83" s="71"/>
      <c r="H83" s="70"/>
      <c r="I83" s="71"/>
      <c r="J83" s="38"/>
      <c r="K83" s="97"/>
      <c r="L83" s="39"/>
      <c r="M83" s="96"/>
      <c r="N83" s="99"/>
      <c r="O83" s="7"/>
      <c r="P83" s="101"/>
      <c r="Q83" s="68"/>
      <c r="R83" s="27"/>
      <c r="S83" s="75">
        <v>42216</v>
      </c>
      <c r="T83" s="76">
        <v>400</v>
      </c>
      <c r="U83" s="52" t="s">
        <v>295</v>
      </c>
      <c r="V83" s="39"/>
      <c r="W83" s="81"/>
      <c r="X83" s="39"/>
      <c r="Y83" s="84">
        <v>42270</v>
      </c>
      <c r="Z83" s="85">
        <v>109</v>
      </c>
      <c r="AA83" s="67" t="s">
        <v>422</v>
      </c>
      <c r="AB83" s="86">
        <v>42302</v>
      </c>
      <c r="AC83" s="87">
        <v>500</v>
      </c>
      <c r="AD83" s="111" t="s">
        <v>517</v>
      </c>
      <c r="AE83" s="41"/>
      <c r="AF83" s="42"/>
      <c r="AG83" s="41"/>
      <c r="AH83" s="113">
        <v>42356</v>
      </c>
      <c r="AI83" s="114">
        <v>500</v>
      </c>
      <c r="AJ83" s="63" t="s">
        <v>687</v>
      </c>
      <c r="AK83" s="41"/>
    </row>
    <row r="84" spans="1:37" x14ac:dyDescent="0.25">
      <c r="A84" s="10"/>
      <c r="B84" s="95"/>
      <c r="C84" s="8"/>
      <c r="D84" s="5"/>
      <c r="E84" s="23"/>
      <c r="F84" s="6"/>
      <c r="G84" s="71"/>
      <c r="H84" s="70"/>
      <c r="I84" s="71"/>
      <c r="J84" s="38"/>
      <c r="K84" s="97"/>
      <c r="L84" s="39"/>
      <c r="M84" s="96"/>
      <c r="N84" s="99"/>
      <c r="O84" s="7"/>
      <c r="P84" s="101"/>
      <c r="Q84" s="68"/>
      <c r="R84" s="27"/>
      <c r="S84" s="75">
        <v>42216</v>
      </c>
      <c r="T84" s="76">
        <v>300</v>
      </c>
      <c r="U84" s="52" t="s">
        <v>296</v>
      </c>
      <c r="V84" s="39"/>
      <c r="W84" s="81"/>
      <c r="X84" s="39"/>
      <c r="Y84" s="84">
        <v>42271</v>
      </c>
      <c r="Z84" s="85">
        <v>135.69999999999999</v>
      </c>
      <c r="AA84" s="67" t="s">
        <v>423</v>
      </c>
      <c r="AB84" s="86">
        <v>42302</v>
      </c>
      <c r="AC84" s="87">
        <v>799</v>
      </c>
      <c r="AD84" s="111" t="s">
        <v>518</v>
      </c>
      <c r="AE84" s="41"/>
      <c r="AF84" s="42"/>
      <c r="AG84" s="41"/>
      <c r="AH84" s="113">
        <v>42356</v>
      </c>
      <c r="AI84" s="114">
        <v>142</v>
      </c>
      <c r="AJ84" s="63" t="s">
        <v>688</v>
      </c>
      <c r="AK84" s="41"/>
    </row>
    <row r="85" spans="1:37" x14ac:dyDescent="0.25">
      <c r="A85" s="10"/>
      <c r="B85" s="95"/>
      <c r="C85" s="8"/>
      <c r="D85" s="5"/>
      <c r="E85" s="23"/>
      <c r="F85" s="6"/>
      <c r="G85" s="71"/>
      <c r="H85" s="70"/>
      <c r="I85" s="71"/>
      <c r="J85" s="38"/>
      <c r="K85" s="97"/>
      <c r="L85" s="39"/>
      <c r="M85" s="96"/>
      <c r="N85" s="99"/>
      <c r="O85" s="7"/>
      <c r="P85" s="101"/>
      <c r="Q85" s="68"/>
      <c r="R85" s="27"/>
      <c r="S85" s="75">
        <v>42216</v>
      </c>
      <c r="T85" s="76">
        <v>600</v>
      </c>
      <c r="U85" s="52" t="s">
        <v>297</v>
      </c>
      <c r="V85" s="39"/>
      <c r="W85" s="81"/>
      <c r="X85" s="39"/>
      <c r="Y85" s="84">
        <v>42271</v>
      </c>
      <c r="Z85" s="85">
        <v>180</v>
      </c>
      <c r="AA85" s="67" t="s">
        <v>424</v>
      </c>
      <c r="AB85" s="86">
        <v>42302</v>
      </c>
      <c r="AC85" s="87">
        <v>505</v>
      </c>
      <c r="AD85" s="111" t="s">
        <v>519</v>
      </c>
      <c r="AE85" s="41"/>
      <c r="AF85" s="42"/>
      <c r="AG85" s="41"/>
      <c r="AH85" s="113">
        <v>42356</v>
      </c>
      <c r="AI85" s="114">
        <v>350</v>
      </c>
      <c r="AJ85" s="63" t="s">
        <v>689</v>
      </c>
      <c r="AK85" s="41"/>
    </row>
    <row r="86" spans="1:37" x14ac:dyDescent="0.25">
      <c r="A86" s="10"/>
      <c r="B86" s="95"/>
      <c r="C86" s="8"/>
      <c r="D86" s="5"/>
      <c r="E86" s="23"/>
      <c r="F86" s="6"/>
      <c r="G86" s="71"/>
      <c r="H86" s="70"/>
      <c r="I86" s="71"/>
      <c r="J86" s="38"/>
      <c r="K86" s="97"/>
      <c r="L86" s="39"/>
      <c r="M86" s="96"/>
      <c r="N86" s="99"/>
      <c r="O86" s="7"/>
      <c r="P86" s="101"/>
      <c r="Q86" s="68"/>
      <c r="R86" s="27"/>
      <c r="S86" s="75">
        <v>42216</v>
      </c>
      <c r="T86" s="76">
        <v>2963.61</v>
      </c>
      <c r="U86" s="52" t="s">
        <v>298</v>
      </c>
      <c r="V86" s="39"/>
      <c r="W86" s="81"/>
      <c r="X86" s="39"/>
      <c r="Y86" s="84">
        <v>42271</v>
      </c>
      <c r="Z86" s="85">
        <v>205</v>
      </c>
      <c r="AA86" s="67" t="s">
        <v>425</v>
      </c>
      <c r="AB86" s="86">
        <v>42302</v>
      </c>
      <c r="AC86" s="87">
        <v>143.5</v>
      </c>
      <c r="AD86" s="111" t="s">
        <v>520</v>
      </c>
      <c r="AE86" s="41"/>
      <c r="AF86" s="42"/>
      <c r="AG86" s="41"/>
      <c r="AH86" s="113">
        <v>42356</v>
      </c>
      <c r="AI86" s="114">
        <v>200</v>
      </c>
      <c r="AJ86" s="63" t="s">
        <v>690</v>
      </c>
      <c r="AK86" s="41"/>
    </row>
    <row r="87" spans="1:37" x14ac:dyDescent="0.25">
      <c r="A87" s="10"/>
      <c r="B87" s="95"/>
      <c r="C87" s="8"/>
      <c r="D87" s="5"/>
      <c r="E87" s="23"/>
      <c r="F87" s="6"/>
      <c r="G87" s="71"/>
      <c r="H87" s="70"/>
      <c r="I87" s="71"/>
      <c r="J87" s="38"/>
      <c r="K87" s="97"/>
      <c r="L87" s="39"/>
      <c r="M87" s="96"/>
      <c r="N87" s="99"/>
      <c r="O87" s="7"/>
      <c r="P87" s="101"/>
      <c r="Q87" s="68"/>
      <c r="R87" s="27"/>
      <c r="S87" s="75">
        <v>42216</v>
      </c>
      <c r="T87" s="76">
        <v>120</v>
      </c>
      <c r="U87" s="52" t="s">
        <v>125</v>
      </c>
      <c r="V87" s="39"/>
      <c r="W87" s="81"/>
      <c r="X87" s="39"/>
      <c r="Y87" s="84">
        <v>42271</v>
      </c>
      <c r="Z87" s="85">
        <v>40</v>
      </c>
      <c r="AA87" s="67" t="s">
        <v>426</v>
      </c>
      <c r="AB87" s="86">
        <v>42302</v>
      </c>
      <c r="AC87" s="87">
        <v>135</v>
      </c>
      <c r="AD87" s="111" t="s">
        <v>550</v>
      </c>
      <c r="AE87" s="41"/>
      <c r="AF87" s="42"/>
      <c r="AG87" s="41"/>
      <c r="AH87" s="113">
        <v>42356</v>
      </c>
      <c r="AI87" s="114">
        <v>797</v>
      </c>
      <c r="AJ87" s="63" t="s">
        <v>691</v>
      </c>
      <c r="AK87" s="41"/>
    </row>
    <row r="88" spans="1:37" x14ac:dyDescent="0.25">
      <c r="A88" s="10"/>
      <c r="B88" s="95"/>
      <c r="C88" s="8"/>
      <c r="D88" s="5"/>
      <c r="E88" s="23"/>
      <c r="F88" s="6"/>
      <c r="G88" s="71"/>
      <c r="H88" s="70"/>
      <c r="I88" s="71"/>
      <c r="J88" s="38"/>
      <c r="K88" s="97"/>
      <c r="L88" s="39"/>
      <c r="M88" s="96"/>
      <c r="N88" s="99"/>
      <c r="O88" s="7"/>
      <c r="P88" s="101"/>
      <c r="Q88" s="68"/>
      <c r="R88" s="27"/>
      <c r="S88" s="52"/>
      <c r="T88" s="76"/>
      <c r="U88" s="52"/>
      <c r="Y88" s="84">
        <v>42271</v>
      </c>
      <c r="Z88" s="85">
        <v>120</v>
      </c>
      <c r="AA88" s="67" t="s">
        <v>427</v>
      </c>
      <c r="AB88" s="86">
        <v>42302</v>
      </c>
      <c r="AC88" s="87">
        <v>60</v>
      </c>
      <c r="AD88" s="111" t="s">
        <v>549</v>
      </c>
      <c r="AE88" s="41"/>
      <c r="AF88" s="42"/>
      <c r="AG88" s="41"/>
      <c r="AH88" s="113">
        <v>42356</v>
      </c>
      <c r="AI88" s="114">
        <v>572</v>
      </c>
      <c r="AJ88" s="63" t="s">
        <v>691</v>
      </c>
      <c r="AK88" s="41"/>
    </row>
    <row r="89" spans="1:37" x14ac:dyDescent="0.25">
      <c r="A89" s="44"/>
      <c r="B89" s="45"/>
      <c r="C89" s="41"/>
      <c r="D89" s="43"/>
      <c r="E89" s="41"/>
      <c r="F89" s="41"/>
      <c r="G89" s="88"/>
      <c r="H89" s="89"/>
      <c r="I89" s="88"/>
      <c r="J89" s="43"/>
      <c r="K89" s="41"/>
      <c r="L89" s="41"/>
      <c r="M89" s="41"/>
      <c r="N89" s="42"/>
      <c r="O89" s="41"/>
      <c r="P89" s="41"/>
      <c r="S89" s="41"/>
      <c r="T89" s="42"/>
      <c r="U89" s="41"/>
      <c r="Y89" s="84">
        <v>42271</v>
      </c>
      <c r="Z89" s="85">
        <v>5500</v>
      </c>
      <c r="AA89" s="67" t="s">
        <v>428</v>
      </c>
      <c r="AB89" s="86">
        <v>42303</v>
      </c>
      <c r="AC89" s="87">
        <v>162.5</v>
      </c>
      <c r="AD89" s="111" t="s">
        <v>521</v>
      </c>
      <c r="AE89" s="41"/>
      <c r="AF89" s="42"/>
      <c r="AG89" s="41"/>
      <c r="AH89" s="113">
        <v>42356</v>
      </c>
      <c r="AI89" s="114">
        <v>1000</v>
      </c>
      <c r="AJ89" s="63" t="s">
        <v>630</v>
      </c>
      <c r="AK89" s="41"/>
    </row>
    <row r="90" spans="1:37" x14ac:dyDescent="0.25">
      <c r="A90" s="43"/>
      <c r="B90" s="45"/>
      <c r="C90" s="41"/>
      <c r="D90" s="43"/>
      <c r="E90" s="41"/>
      <c r="F90" s="41"/>
      <c r="G90" s="43"/>
      <c r="H90" s="42"/>
      <c r="I90" s="41"/>
      <c r="J90" s="43"/>
      <c r="M90" s="41"/>
      <c r="N90" s="42"/>
      <c r="O90" s="41"/>
      <c r="P90" s="41"/>
      <c r="S90" s="41"/>
      <c r="T90" s="42"/>
      <c r="U90" s="41"/>
      <c r="Y90" s="84">
        <v>42272</v>
      </c>
      <c r="Z90" s="85">
        <v>720</v>
      </c>
      <c r="AA90" s="67" t="s">
        <v>429</v>
      </c>
      <c r="AB90" s="86">
        <v>42304</v>
      </c>
      <c r="AC90" s="87">
        <v>218.5</v>
      </c>
      <c r="AD90" s="56" t="s">
        <v>523</v>
      </c>
      <c r="AE90" s="41"/>
      <c r="AF90" s="42"/>
      <c r="AG90" s="41"/>
      <c r="AH90" s="113">
        <v>42356</v>
      </c>
      <c r="AI90" s="114">
        <v>23</v>
      </c>
      <c r="AJ90" s="63" t="s">
        <v>692</v>
      </c>
      <c r="AK90" s="41"/>
    </row>
    <row r="91" spans="1:37" x14ac:dyDescent="0.25">
      <c r="A91" s="43"/>
      <c r="B91" s="45"/>
      <c r="C91" s="45"/>
      <c r="D91" s="43"/>
      <c r="E91" s="41"/>
      <c r="F91" s="41"/>
      <c r="G91" s="43"/>
      <c r="H91" s="42"/>
      <c r="I91" s="41"/>
      <c r="J91" s="43"/>
      <c r="M91" s="41"/>
      <c r="N91" s="42"/>
      <c r="O91" s="41"/>
      <c r="P91" s="41"/>
      <c r="S91" s="41"/>
      <c r="T91" s="42"/>
      <c r="U91" s="41"/>
      <c r="Y91" s="84">
        <v>42272</v>
      </c>
      <c r="Z91" s="85">
        <v>200</v>
      </c>
      <c r="AA91" s="67" t="s">
        <v>430</v>
      </c>
      <c r="AB91" s="86">
        <v>42304</v>
      </c>
      <c r="AC91" s="87">
        <v>144.62</v>
      </c>
      <c r="AD91" s="56" t="s">
        <v>524</v>
      </c>
      <c r="AE91" s="41"/>
      <c r="AF91" s="42"/>
      <c r="AG91" s="41"/>
      <c r="AH91" s="113">
        <v>42356</v>
      </c>
      <c r="AI91" s="114">
        <v>500</v>
      </c>
      <c r="AJ91" s="63" t="s">
        <v>693</v>
      </c>
      <c r="AK91" s="41"/>
    </row>
    <row r="92" spans="1:37" x14ac:dyDescent="0.25">
      <c r="A92" s="43"/>
      <c r="B92" s="43"/>
      <c r="C92" s="41"/>
      <c r="D92" s="43"/>
      <c r="E92" s="41"/>
      <c r="F92" s="41"/>
      <c r="G92" s="43"/>
      <c r="H92" s="42"/>
      <c r="I92" s="41"/>
      <c r="J92" s="43"/>
      <c r="M92" s="41"/>
      <c r="N92" s="42"/>
      <c r="O92" s="41"/>
      <c r="P92" s="41"/>
      <c r="S92" s="41"/>
      <c r="T92" s="42"/>
      <c r="U92" s="41"/>
      <c r="Y92" s="84">
        <v>42272</v>
      </c>
      <c r="Z92" s="85">
        <v>350</v>
      </c>
      <c r="AA92" s="67" t="s">
        <v>431</v>
      </c>
      <c r="AB92" s="86">
        <v>42304</v>
      </c>
      <c r="AC92" s="87">
        <v>708</v>
      </c>
      <c r="AD92" s="56" t="s">
        <v>525</v>
      </c>
      <c r="AE92" s="41"/>
      <c r="AF92" s="41"/>
      <c r="AG92" s="41"/>
      <c r="AH92" s="113">
        <v>42356</v>
      </c>
      <c r="AI92" s="114">
        <v>132</v>
      </c>
      <c r="AJ92" s="63" t="s">
        <v>694</v>
      </c>
      <c r="AK92" s="41"/>
    </row>
    <row r="93" spans="1:37" x14ac:dyDescent="0.25">
      <c r="A93" s="43"/>
      <c r="B93" s="45"/>
      <c r="C93" s="41"/>
      <c r="D93" s="43"/>
      <c r="E93" s="41"/>
      <c r="F93" s="41"/>
      <c r="G93" s="43"/>
      <c r="H93" s="42"/>
      <c r="I93" s="41"/>
      <c r="J93" s="43"/>
      <c r="M93" s="41"/>
      <c r="N93" s="42"/>
      <c r="O93" s="41"/>
      <c r="P93" s="41"/>
      <c r="S93" s="41"/>
      <c r="T93" s="42"/>
      <c r="U93" s="41"/>
      <c r="Y93" s="84">
        <v>42272</v>
      </c>
      <c r="Z93" s="85">
        <v>800</v>
      </c>
      <c r="AA93" s="67" t="s">
        <v>370</v>
      </c>
      <c r="AB93" s="86">
        <v>42304</v>
      </c>
      <c r="AC93" s="87">
        <v>1407</v>
      </c>
      <c r="AD93" s="56" t="s">
        <v>526</v>
      </c>
      <c r="AE93" s="41"/>
      <c r="AF93" s="41"/>
      <c r="AG93" s="41"/>
      <c r="AH93" s="113">
        <v>42356</v>
      </c>
      <c r="AI93" s="114">
        <v>61</v>
      </c>
      <c r="AJ93" s="63" t="s">
        <v>695</v>
      </c>
      <c r="AK93" s="41"/>
    </row>
    <row r="94" spans="1:37" x14ac:dyDescent="0.25">
      <c r="A94" s="43"/>
      <c r="B94" s="45"/>
      <c r="C94" s="41"/>
      <c r="D94" s="43"/>
      <c r="E94" s="41"/>
      <c r="F94" s="41"/>
      <c r="G94" s="43"/>
      <c r="H94" s="42"/>
      <c r="I94" s="41"/>
      <c r="J94" s="43"/>
      <c r="M94" s="41"/>
      <c r="N94" s="42"/>
      <c r="O94" s="41"/>
      <c r="P94" s="41"/>
      <c r="S94" s="41"/>
      <c r="T94" s="42"/>
      <c r="U94" s="41"/>
      <c r="Y94" s="84">
        <v>42272</v>
      </c>
      <c r="Z94" s="85">
        <v>900</v>
      </c>
      <c r="AA94" s="67" t="s">
        <v>432</v>
      </c>
      <c r="AB94" s="86">
        <v>42304</v>
      </c>
      <c r="AC94" s="87">
        <v>80</v>
      </c>
      <c r="AD94" s="111" t="s">
        <v>527</v>
      </c>
      <c r="AE94" s="41"/>
      <c r="AF94" s="41"/>
      <c r="AG94" s="41"/>
      <c r="AH94" s="113">
        <v>42357</v>
      </c>
      <c r="AI94" s="114">
        <v>2100</v>
      </c>
      <c r="AJ94" s="63" t="s">
        <v>696</v>
      </c>
      <c r="AK94" s="41"/>
    </row>
    <row r="95" spans="1:37" x14ac:dyDescent="0.25">
      <c r="A95" s="43"/>
      <c r="B95" s="45"/>
      <c r="C95" s="41"/>
      <c r="D95" s="43"/>
      <c r="E95" s="41"/>
      <c r="F95" s="41"/>
      <c r="G95" s="43"/>
      <c r="H95" s="42"/>
      <c r="I95" s="41"/>
      <c r="J95" s="43"/>
      <c r="M95" s="41"/>
      <c r="N95" s="42"/>
      <c r="O95" s="41"/>
      <c r="P95" s="41"/>
      <c r="S95" s="41"/>
      <c r="T95" s="42"/>
      <c r="U95" s="41"/>
      <c r="Y95" s="84">
        <v>42272</v>
      </c>
      <c r="Z95" s="85">
        <v>150</v>
      </c>
      <c r="AA95" s="67" t="s">
        <v>433</v>
      </c>
      <c r="AB95" s="86">
        <v>42304</v>
      </c>
      <c r="AC95" s="87">
        <v>250</v>
      </c>
      <c r="AD95" s="111" t="s">
        <v>528</v>
      </c>
      <c r="AH95" s="113">
        <v>42357</v>
      </c>
      <c r="AI95" s="114">
        <v>80</v>
      </c>
      <c r="AJ95" s="63" t="s">
        <v>697</v>
      </c>
    </row>
    <row r="96" spans="1:37" x14ac:dyDescent="0.25">
      <c r="A96" s="43"/>
      <c r="B96" s="45"/>
      <c r="C96" s="41"/>
      <c r="D96" s="43"/>
      <c r="E96" s="41"/>
      <c r="F96" s="41"/>
      <c r="G96" s="43"/>
      <c r="H96" s="42"/>
      <c r="I96" s="41"/>
      <c r="J96" s="43"/>
      <c r="M96" s="41"/>
      <c r="N96" s="42"/>
      <c r="O96" s="41"/>
      <c r="P96" s="41"/>
      <c r="S96" s="41"/>
      <c r="T96" s="42"/>
      <c r="U96" s="41"/>
      <c r="Y96" s="84">
        <v>42272</v>
      </c>
      <c r="Z96" s="85">
        <v>48</v>
      </c>
      <c r="AA96" s="67" t="s">
        <v>434</v>
      </c>
      <c r="AB96" s="86">
        <v>42304</v>
      </c>
      <c r="AC96" s="87">
        <v>20</v>
      </c>
      <c r="AD96" s="111" t="s">
        <v>529</v>
      </c>
      <c r="AH96" s="113">
        <v>42357</v>
      </c>
      <c r="AI96" s="114">
        <v>75</v>
      </c>
      <c r="AJ96" s="63" t="s">
        <v>692</v>
      </c>
    </row>
    <row r="97" spans="1:37" x14ac:dyDescent="0.25">
      <c r="A97" s="43"/>
      <c r="B97" s="45"/>
      <c r="C97" s="41"/>
      <c r="D97" s="43"/>
      <c r="E97" s="41"/>
      <c r="F97" s="41"/>
      <c r="G97" s="43"/>
      <c r="H97" s="42"/>
      <c r="I97" s="41"/>
      <c r="J97" s="43"/>
      <c r="M97" s="41"/>
      <c r="N97" s="42"/>
      <c r="O97" s="41"/>
      <c r="P97" s="41"/>
      <c r="S97" s="102"/>
      <c r="T97" s="103"/>
      <c r="U97" s="102"/>
      <c r="Y97" s="84">
        <v>42273</v>
      </c>
      <c r="Z97" s="85">
        <v>30</v>
      </c>
      <c r="AA97" s="67" t="s">
        <v>435</v>
      </c>
      <c r="AB97" s="86">
        <v>42304</v>
      </c>
      <c r="AC97" s="87">
        <v>20</v>
      </c>
      <c r="AD97" s="111" t="s">
        <v>561</v>
      </c>
      <c r="AH97" s="113">
        <v>42357</v>
      </c>
      <c r="AI97" s="114">
        <v>94.5</v>
      </c>
      <c r="AJ97" s="63" t="s">
        <v>691</v>
      </c>
    </row>
    <row r="98" spans="1:37" x14ac:dyDescent="0.25">
      <c r="A98" s="43"/>
      <c r="B98" s="45"/>
      <c r="C98" s="41"/>
      <c r="D98" s="43"/>
      <c r="E98" s="41"/>
      <c r="F98" s="41"/>
      <c r="G98" s="43"/>
      <c r="H98" s="42"/>
      <c r="I98" s="41"/>
      <c r="J98" s="43"/>
      <c r="P98" s="41"/>
      <c r="S98" s="102"/>
      <c r="T98" s="103"/>
      <c r="U98" s="102"/>
      <c r="Y98" s="84">
        <v>42273</v>
      </c>
      <c r="Z98" s="85">
        <v>400</v>
      </c>
      <c r="AA98" s="67" t="s">
        <v>436</v>
      </c>
      <c r="AB98" s="86">
        <v>42305</v>
      </c>
      <c r="AC98" s="87">
        <v>48</v>
      </c>
      <c r="AD98" s="111" t="s">
        <v>530</v>
      </c>
      <c r="AH98" s="113">
        <v>42357</v>
      </c>
      <c r="AI98" s="114">
        <v>23</v>
      </c>
      <c r="AJ98" s="63" t="s">
        <v>691</v>
      </c>
    </row>
    <row r="99" spans="1:37" x14ac:dyDescent="0.25">
      <c r="A99" s="43"/>
      <c r="B99" s="45"/>
      <c r="C99" s="41"/>
      <c r="D99" s="43"/>
      <c r="E99" s="41"/>
      <c r="F99" s="41"/>
      <c r="G99" s="43"/>
      <c r="H99" s="42"/>
      <c r="I99" s="41"/>
      <c r="J99" s="43"/>
      <c r="P99" s="41"/>
      <c r="S99" s="102"/>
      <c r="T99" s="103"/>
      <c r="U99" s="102"/>
      <c r="Y99" s="84">
        <v>42273</v>
      </c>
      <c r="Z99" s="85">
        <v>80</v>
      </c>
      <c r="AA99" s="67" t="s">
        <v>402</v>
      </c>
      <c r="AB99" s="86">
        <v>42305</v>
      </c>
      <c r="AC99" s="87">
        <v>450</v>
      </c>
      <c r="AD99" s="56" t="s">
        <v>532</v>
      </c>
      <c r="AH99" s="113">
        <v>42357</v>
      </c>
      <c r="AI99" s="114">
        <v>200</v>
      </c>
      <c r="AJ99" s="63" t="s">
        <v>698</v>
      </c>
    </row>
    <row r="100" spans="1:37" x14ac:dyDescent="0.25">
      <c r="A100" s="43"/>
      <c r="B100" s="45"/>
      <c r="C100" s="41"/>
      <c r="D100" s="43"/>
      <c r="E100" s="41"/>
      <c r="F100" s="41"/>
      <c r="G100" s="43"/>
      <c r="H100" s="42"/>
      <c r="I100" s="41"/>
      <c r="J100" s="43"/>
      <c r="P100" s="41"/>
      <c r="Y100" s="84">
        <v>42273</v>
      </c>
      <c r="Z100" s="85">
        <v>248.3</v>
      </c>
      <c r="AA100" s="67" t="s">
        <v>372</v>
      </c>
      <c r="AB100" s="86">
        <v>42305</v>
      </c>
      <c r="AC100" s="87">
        <v>30</v>
      </c>
      <c r="AD100" s="56" t="s">
        <v>531</v>
      </c>
      <c r="AH100" s="113">
        <v>42357</v>
      </c>
      <c r="AI100" s="114">
        <v>210</v>
      </c>
      <c r="AJ100" s="63" t="s">
        <v>699</v>
      </c>
    </row>
    <row r="101" spans="1:37" x14ac:dyDescent="0.25">
      <c r="A101" s="43"/>
      <c r="B101" s="45"/>
      <c r="C101" s="41"/>
      <c r="D101" s="43"/>
      <c r="E101" s="41"/>
      <c r="F101" s="41"/>
      <c r="G101" s="43"/>
      <c r="H101" s="42"/>
      <c r="I101" s="41"/>
      <c r="J101" s="43"/>
      <c r="Y101" s="84">
        <v>42273</v>
      </c>
      <c r="Z101" s="85">
        <v>13</v>
      </c>
      <c r="AA101" s="67" t="s">
        <v>437</v>
      </c>
      <c r="AB101" s="86">
        <v>42305</v>
      </c>
      <c r="AC101" s="87">
        <v>128</v>
      </c>
      <c r="AD101" s="56" t="s">
        <v>533</v>
      </c>
      <c r="AH101" s="113">
        <v>42357</v>
      </c>
      <c r="AI101" s="114">
        <v>200</v>
      </c>
      <c r="AJ101" s="63" t="s">
        <v>700</v>
      </c>
    </row>
    <row r="102" spans="1:37" x14ac:dyDescent="0.25">
      <c r="A102" s="43"/>
      <c r="B102" s="45"/>
      <c r="C102" s="41"/>
      <c r="D102" s="43"/>
      <c r="E102" s="41"/>
      <c r="F102" s="41"/>
      <c r="G102" s="43"/>
      <c r="H102" s="42"/>
      <c r="I102" s="41"/>
      <c r="J102" s="43"/>
      <c r="Y102" s="84">
        <v>42273</v>
      </c>
      <c r="Z102" s="85">
        <v>200</v>
      </c>
      <c r="AA102" s="67" t="s">
        <v>442</v>
      </c>
      <c r="AB102" s="86">
        <v>42305</v>
      </c>
      <c r="AC102" s="87">
        <v>203.55</v>
      </c>
      <c r="AD102" s="56" t="s">
        <v>534</v>
      </c>
      <c r="AH102" s="113">
        <v>42358</v>
      </c>
      <c r="AI102" s="114">
        <v>120</v>
      </c>
      <c r="AJ102" s="63" t="s">
        <v>701</v>
      </c>
    </row>
    <row r="103" spans="1:37" x14ac:dyDescent="0.25">
      <c r="A103" s="43"/>
      <c r="B103" s="45"/>
      <c r="C103" s="41"/>
      <c r="D103" s="43"/>
      <c r="E103" s="41"/>
      <c r="F103" s="41"/>
      <c r="G103" s="43"/>
      <c r="H103" s="42"/>
      <c r="I103" s="41"/>
      <c r="J103" s="43"/>
      <c r="Y103" s="84">
        <v>42274</v>
      </c>
      <c r="Z103" s="85">
        <v>48</v>
      </c>
      <c r="AA103" s="67" t="s">
        <v>438</v>
      </c>
      <c r="AB103" s="86">
        <v>42305</v>
      </c>
      <c r="AC103" s="87">
        <v>104</v>
      </c>
      <c r="AD103" s="56" t="s">
        <v>535</v>
      </c>
      <c r="AH103" s="113">
        <v>42359</v>
      </c>
      <c r="AI103" s="114">
        <v>199</v>
      </c>
      <c r="AJ103" s="63" t="s">
        <v>77</v>
      </c>
    </row>
    <row r="104" spans="1:37" x14ac:dyDescent="0.25">
      <c r="A104" s="43"/>
      <c r="B104" s="45"/>
      <c r="C104" s="41"/>
      <c r="D104" s="43"/>
      <c r="E104" s="41"/>
      <c r="F104" s="41"/>
      <c r="G104" s="43"/>
      <c r="H104" s="42"/>
      <c r="I104" s="41"/>
      <c r="J104" s="43"/>
      <c r="Y104" s="84">
        <v>42274</v>
      </c>
      <c r="Z104" s="85">
        <v>30</v>
      </c>
      <c r="AA104" s="67" t="s">
        <v>439</v>
      </c>
      <c r="AB104" s="86">
        <v>42305</v>
      </c>
      <c r="AC104" s="87">
        <v>127</v>
      </c>
      <c r="AD104" s="56" t="s">
        <v>535</v>
      </c>
      <c r="AH104" s="113">
        <v>42329</v>
      </c>
      <c r="AI104" s="114">
        <v>1400</v>
      </c>
      <c r="AJ104" s="63" t="s">
        <v>721</v>
      </c>
    </row>
    <row r="105" spans="1:37" x14ac:dyDescent="0.25">
      <c r="A105" s="43"/>
      <c r="B105" s="45"/>
      <c r="C105" s="41"/>
      <c r="D105" s="43"/>
      <c r="E105" s="41"/>
      <c r="F105" s="41"/>
      <c r="G105" s="43"/>
      <c r="H105" s="42"/>
      <c r="I105" s="41"/>
      <c r="J105" s="43"/>
      <c r="Y105" s="84">
        <v>42275</v>
      </c>
      <c r="Z105" s="85">
        <v>350</v>
      </c>
      <c r="AA105" s="67" t="s">
        <v>443</v>
      </c>
      <c r="AB105" s="86">
        <v>42305</v>
      </c>
      <c r="AC105" s="87">
        <v>550</v>
      </c>
      <c r="AD105" s="56" t="s">
        <v>537</v>
      </c>
      <c r="AH105" s="113">
        <v>42359</v>
      </c>
      <c r="AI105" s="114">
        <v>956.6</v>
      </c>
      <c r="AJ105" s="63" t="s">
        <v>684</v>
      </c>
      <c r="AK105" s="121"/>
    </row>
    <row r="106" spans="1:37" x14ac:dyDescent="0.25">
      <c r="A106" s="43"/>
      <c r="B106" s="45"/>
      <c r="C106" s="41"/>
      <c r="D106" s="43"/>
      <c r="E106" s="41"/>
      <c r="F106" s="41"/>
      <c r="G106" s="43"/>
      <c r="H106" s="42"/>
      <c r="I106" s="41"/>
      <c r="J106" s="43"/>
      <c r="Y106" s="84">
        <v>42275</v>
      </c>
      <c r="Z106" s="85">
        <v>128</v>
      </c>
      <c r="AA106" s="67" t="s">
        <v>444</v>
      </c>
      <c r="AB106" s="86">
        <v>42306</v>
      </c>
      <c r="AC106" s="87">
        <v>750</v>
      </c>
      <c r="AD106" s="56" t="s">
        <v>538</v>
      </c>
      <c r="AH106" s="113">
        <v>42360</v>
      </c>
      <c r="AI106" s="114">
        <v>37</v>
      </c>
      <c r="AJ106" s="63" t="s">
        <v>722</v>
      </c>
      <c r="AK106" s="121"/>
    </row>
    <row r="107" spans="1:37" x14ac:dyDescent="0.25">
      <c r="A107" s="43"/>
      <c r="B107" s="45"/>
      <c r="C107" s="41"/>
      <c r="D107" s="43"/>
      <c r="E107" s="41"/>
      <c r="F107" s="41"/>
      <c r="G107" s="43"/>
      <c r="H107" s="42"/>
      <c r="I107" s="41"/>
      <c r="J107" s="43"/>
      <c r="Y107" s="84">
        <v>42275</v>
      </c>
      <c r="Z107" s="85">
        <v>19</v>
      </c>
      <c r="AA107" s="67" t="s">
        <v>445</v>
      </c>
      <c r="AB107" s="86">
        <v>42306</v>
      </c>
      <c r="AC107" s="87">
        <v>400</v>
      </c>
      <c r="AD107" s="56" t="s">
        <v>539</v>
      </c>
      <c r="AH107" s="113">
        <v>42360</v>
      </c>
      <c r="AI107" s="114">
        <v>1100</v>
      </c>
      <c r="AJ107" s="63" t="s">
        <v>723</v>
      </c>
      <c r="AK107" s="121"/>
    </row>
    <row r="108" spans="1:37" x14ac:dyDescent="0.25">
      <c r="A108" s="43"/>
      <c r="B108" s="45"/>
      <c r="C108" s="41"/>
      <c r="D108" s="43"/>
      <c r="E108" s="41"/>
      <c r="F108" s="41"/>
      <c r="G108" s="43"/>
      <c r="H108" s="42"/>
      <c r="I108" s="41"/>
      <c r="J108" s="43"/>
      <c r="Y108" s="84">
        <v>42276</v>
      </c>
      <c r="Z108" s="85">
        <v>150</v>
      </c>
      <c r="AA108" s="67" t="s">
        <v>446</v>
      </c>
      <c r="AB108" s="86">
        <v>42306</v>
      </c>
      <c r="AC108" s="87">
        <v>350</v>
      </c>
      <c r="AD108" s="56" t="s">
        <v>548</v>
      </c>
      <c r="AH108" s="113">
        <v>42360</v>
      </c>
      <c r="AI108" s="114">
        <v>1235</v>
      </c>
      <c r="AJ108" s="63" t="s">
        <v>684</v>
      </c>
      <c r="AK108" s="121"/>
    </row>
    <row r="109" spans="1:37" x14ac:dyDescent="0.25">
      <c r="A109" s="43"/>
      <c r="B109" s="45"/>
      <c r="C109" s="41"/>
      <c r="D109" s="43"/>
      <c r="E109" s="41"/>
      <c r="F109" s="41"/>
      <c r="G109" s="43"/>
      <c r="H109" s="42"/>
      <c r="I109" s="41"/>
      <c r="J109" s="43"/>
      <c r="Y109" s="84">
        <v>42277</v>
      </c>
      <c r="Z109" s="85">
        <v>350</v>
      </c>
      <c r="AA109" s="67" t="s">
        <v>447</v>
      </c>
      <c r="AB109" s="86">
        <v>42306</v>
      </c>
      <c r="AC109" s="87">
        <v>1001</v>
      </c>
      <c r="AD109" s="56" t="s">
        <v>547</v>
      </c>
      <c r="AH109" s="123">
        <v>42361</v>
      </c>
      <c r="AI109" s="124">
        <v>400</v>
      </c>
      <c r="AJ109" s="125" t="s">
        <v>702</v>
      </c>
      <c r="AK109" s="121"/>
    </row>
    <row r="110" spans="1:37" x14ac:dyDescent="0.25">
      <c r="A110" s="43"/>
      <c r="B110" s="45"/>
      <c r="C110" s="41"/>
      <c r="D110" s="43"/>
      <c r="E110" s="41"/>
      <c r="F110" s="41"/>
      <c r="G110" s="43"/>
      <c r="H110" s="42"/>
      <c r="I110" s="41"/>
      <c r="J110" s="43"/>
      <c r="Y110" s="84">
        <v>42277</v>
      </c>
      <c r="Z110" s="85">
        <v>600</v>
      </c>
      <c r="AA110" s="67" t="s">
        <v>448</v>
      </c>
      <c r="AB110" s="86">
        <v>42306</v>
      </c>
      <c r="AC110" s="87">
        <v>1393.9</v>
      </c>
      <c r="AD110" s="56" t="s">
        <v>562</v>
      </c>
      <c r="AH110" s="123">
        <v>42361</v>
      </c>
      <c r="AI110" s="124">
        <v>600</v>
      </c>
      <c r="AJ110" s="125" t="s">
        <v>703</v>
      </c>
      <c r="AK110" s="121"/>
    </row>
    <row r="111" spans="1:37" x14ac:dyDescent="0.25">
      <c r="A111" s="43"/>
      <c r="B111" s="45"/>
      <c r="C111" s="41"/>
      <c r="D111" s="43"/>
      <c r="E111" s="41"/>
      <c r="F111" s="41"/>
      <c r="G111" s="43"/>
      <c r="H111" s="42"/>
      <c r="I111" s="41"/>
      <c r="J111" s="43"/>
      <c r="Y111" s="84">
        <v>42277</v>
      </c>
      <c r="Z111" s="85">
        <v>80</v>
      </c>
      <c r="AA111" s="67" t="s">
        <v>402</v>
      </c>
      <c r="AB111" s="86">
        <v>42307</v>
      </c>
      <c r="AC111" s="87">
        <v>1200</v>
      </c>
      <c r="AD111" s="56" t="s">
        <v>546</v>
      </c>
      <c r="AH111" s="123">
        <v>42361</v>
      </c>
      <c r="AI111" s="124">
        <v>3</v>
      </c>
      <c r="AJ111" s="125" t="s">
        <v>720</v>
      </c>
      <c r="AK111" s="121"/>
    </row>
    <row r="112" spans="1:37" x14ac:dyDescent="0.25">
      <c r="A112" s="43"/>
      <c r="B112" s="45"/>
      <c r="C112" s="41"/>
      <c r="D112" s="43"/>
      <c r="E112" s="41"/>
      <c r="F112" s="41"/>
      <c r="G112" s="43"/>
      <c r="H112" s="42"/>
      <c r="I112" s="41"/>
      <c r="J112" s="43"/>
      <c r="Y112" s="84">
        <v>42277</v>
      </c>
      <c r="Z112" s="85">
        <v>194.9</v>
      </c>
      <c r="AA112" s="67" t="s">
        <v>372</v>
      </c>
      <c r="AB112" s="86">
        <v>42307</v>
      </c>
      <c r="AC112" s="87">
        <v>1000</v>
      </c>
      <c r="AD112" s="56" t="s">
        <v>540</v>
      </c>
      <c r="AH112" s="123">
        <v>42361</v>
      </c>
      <c r="AI112" s="124">
        <v>530</v>
      </c>
      <c r="AJ112" s="125" t="s">
        <v>704</v>
      </c>
      <c r="AK112" s="121"/>
    </row>
    <row r="113" spans="1:37" x14ac:dyDescent="0.25">
      <c r="A113" s="43"/>
      <c r="B113" s="45"/>
      <c r="C113" s="41"/>
      <c r="D113" s="43"/>
      <c r="E113" s="41"/>
      <c r="F113" s="41"/>
      <c r="G113" s="43"/>
      <c r="H113" s="42"/>
      <c r="I113" s="41"/>
      <c r="J113" s="43"/>
      <c r="Y113" s="84">
        <v>42277</v>
      </c>
      <c r="Z113" s="85">
        <v>39.799999999999997</v>
      </c>
      <c r="AA113" s="67" t="s">
        <v>449</v>
      </c>
      <c r="AB113" s="86">
        <v>42307</v>
      </c>
      <c r="AC113" s="87">
        <v>32</v>
      </c>
      <c r="AD113" s="56" t="s">
        <v>543</v>
      </c>
      <c r="AH113" s="123">
        <v>42362</v>
      </c>
      <c r="AI113" s="124">
        <v>75</v>
      </c>
      <c r="AJ113" s="125" t="s">
        <v>705</v>
      </c>
      <c r="AK113" s="121"/>
    </row>
    <row r="114" spans="1:37" x14ac:dyDescent="0.25">
      <c r="A114" s="43"/>
      <c r="B114" s="45"/>
      <c r="C114" s="41"/>
      <c r="D114" s="43"/>
      <c r="E114" s="41"/>
      <c r="F114" s="41"/>
      <c r="G114" s="43"/>
      <c r="H114" s="42"/>
      <c r="I114" s="41"/>
      <c r="J114" s="43"/>
      <c r="Y114" s="84">
        <v>42277</v>
      </c>
      <c r="Z114" s="85">
        <v>15</v>
      </c>
      <c r="AA114" s="67" t="s">
        <v>450</v>
      </c>
      <c r="AB114" s="86">
        <v>42308</v>
      </c>
      <c r="AC114" s="87">
        <v>4000</v>
      </c>
      <c r="AD114" s="56" t="s">
        <v>541</v>
      </c>
      <c r="AH114" s="123">
        <v>42362</v>
      </c>
      <c r="AI114" s="124">
        <v>46</v>
      </c>
      <c r="AJ114" s="125" t="s">
        <v>706</v>
      </c>
      <c r="AK114" s="121"/>
    </row>
    <row r="115" spans="1:37" x14ac:dyDescent="0.25">
      <c r="A115" s="43"/>
      <c r="B115" s="45"/>
      <c r="C115" s="41"/>
      <c r="D115" s="43"/>
      <c r="E115" s="41"/>
      <c r="F115" s="41"/>
      <c r="G115" s="43"/>
      <c r="H115" s="42"/>
      <c r="I115" s="41"/>
      <c r="J115" s="43"/>
      <c r="Y115" s="84">
        <v>42247</v>
      </c>
      <c r="Z115" s="85">
        <v>3200</v>
      </c>
      <c r="AA115" s="67" t="s">
        <v>355</v>
      </c>
      <c r="AB115" s="86">
        <v>42308</v>
      </c>
      <c r="AC115" s="87">
        <v>350</v>
      </c>
      <c r="AD115" s="56" t="s">
        <v>545</v>
      </c>
      <c r="AH115" s="123">
        <v>42362</v>
      </c>
      <c r="AI115" s="124">
        <v>600</v>
      </c>
      <c r="AJ115" s="125" t="s">
        <v>707</v>
      </c>
      <c r="AK115" s="121"/>
    </row>
    <row r="116" spans="1:37" x14ac:dyDescent="0.25">
      <c r="A116" s="43"/>
      <c r="B116" s="45"/>
      <c r="C116" s="41"/>
      <c r="D116" s="43"/>
      <c r="E116" s="41"/>
      <c r="F116" s="41"/>
      <c r="G116" s="43"/>
      <c r="H116" s="42"/>
      <c r="I116" s="41"/>
      <c r="J116" s="43"/>
      <c r="Y116" s="84">
        <v>42247</v>
      </c>
      <c r="Z116" s="85">
        <v>29000</v>
      </c>
      <c r="AA116" s="67" t="s">
        <v>393</v>
      </c>
      <c r="AB116" s="86">
        <v>42308</v>
      </c>
      <c r="AC116" s="87">
        <v>350</v>
      </c>
      <c r="AD116" s="56" t="s">
        <v>544</v>
      </c>
      <c r="AH116" s="123">
        <v>42362</v>
      </c>
      <c r="AI116" s="124">
        <v>500</v>
      </c>
      <c r="AJ116" s="125" t="s">
        <v>708</v>
      </c>
      <c r="AK116" s="121"/>
    </row>
    <row r="117" spans="1:37" x14ac:dyDescent="0.25">
      <c r="A117" s="43"/>
      <c r="B117" s="45"/>
      <c r="C117" s="41"/>
      <c r="D117" s="43"/>
      <c r="E117" s="41"/>
      <c r="F117" s="41"/>
      <c r="G117" s="43"/>
      <c r="H117" s="42"/>
      <c r="I117" s="41"/>
      <c r="J117" s="43"/>
      <c r="Y117" s="84">
        <v>42247</v>
      </c>
      <c r="Z117" s="85">
        <v>4000</v>
      </c>
      <c r="AA117" s="67" t="s">
        <v>542</v>
      </c>
      <c r="AB117" s="86">
        <v>42308</v>
      </c>
      <c r="AC117" s="87">
        <v>87</v>
      </c>
      <c r="AD117" s="56" t="s">
        <v>551</v>
      </c>
      <c r="AH117" s="123">
        <v>42363</v>
      </c>
      <c r="AI117" s="124">
        <v>1000</v>
      </c>
      <c r="AJ117" s="125" t="s">
        <v>709</v>
      </c>
      <c r="AK117" s="121"/>
    </row>
    <row r="118" spans="1:37" x14ac:dyDescent="0.25">
      <c r="A118" s="43"/>
      <c r="B118" s="45"/>
      <c r="C118" s="41"/>
      <c r="D118" s="43"/>
      <c r="E118" s="41"/>
      <c r="F118" s="41"/>
      <c r="G118" s="43"/>
      <c r="H118" s="42"/>
      <c r="I118" s="41"/>
      <c r="J118" s="43"/>
      <c r="Y118" s="67"/>
      <c r="Z118" s="85"/>
      <c r="AA118" s="67"/>
      <c r="AB118" s="86">
        <v>42308</v>
      </c>
      <c r="AC118" s="87">
        <v>120</v>
      </c>
      <c r="AD118" s="56" t="s">
        <v>552</v>
      </c>
      <c r="AH118" s="123">
        <v>42364</v>
      </c>
      <c r="AI118" s="124">
        <v>500</v>
      </c>
      <c r="AJ118" s="125" t="s">
        <v>710</v>
      </c>
      <c r="AK118" s="121"/>
    </row>
    <row r="119" spans="1:37" x14ac:dyDescent="0.25">
      <c r="A119" s="43"/>
      <c r="B119" s="45"/>
      <c r="C119" s="41"/>
      <c r="D119" s="43"/>
      <c r="E119" s="41"/>
      <c r="F119" s="41"/>
      <c r="G119" s="43"/>
      <c r="H119" s="42"/>
      <c r="I119" s="41"/>
      <c r="J119" s="43"/>
      <c r="Y119" s="41"/>
      <c r="Z119" s="42"/>
      <c r="AA119" s="41"/>
      <c r="AB119" s="86">
        <v>42308</v>
      </c>
      <c r="AC119" s="87">
        <v>600</v>
      </c>
      <c r="AD119" s="56" t="s">
        <v>553</v>
      </c>
      <c r="AH119" s="123">
        <v>42364</v>
      </c>
      <c r="AI119" s="124">
        <v>500</v>
      </c>
      <c r="AJ119" s="125" t="s">
        <v>711</v>
      </c>
      <c r="AK119" s="121"/>
    </row>
    <row r="120" spans="1:37" x14ac:dyDescent="0.25">
      <c r="A120" s="43"/>
      <c r="B120" s="45"/>
      <c r="C120" s="41"/>
      <c r="D120" s="43"/>
      <c r="E120" s="41"/>
      <c r="F120" s="41"/>
      <c r="G120" s="43"/>
      <c r="H120" s="42"/>
      <c r="I120" s="41"/>
      <c r="J120" s="43"/>
      <c r="Y120" s="41"/>
      <c r="Z120" s="42"/>
      <c r="AA120" s="41"/>
      <c r="AB120" s="86">
        <v>42308</v>
      </c>
      <c r="AC120" s="87">
        <v>400</v>
      </c>
      <c r="AD120" s="56" t="s">
        <v>554</v>
      </c>
      <c r="AH120" s="123">
        <v>42365</v>
      </c>
      <c r="AI120" s="124">
        <v>65</v>
      </c>
      <c r="AJ120" s="125" t="s">
        <v>636</v>
      </c>
      <c r="AK120" s="121"/>
    </row>
    <row r="121" spans="1:37" x14ac:dyDescent="0.25">
      <c r="A121" s="43"/>
      <c r="B121" s="45"/>
      <c r="C121" s="41"/>
      <c r="D121" s="43"/>
      <c r="E121" s="41"/>
      <c r="F121" s="41"/>
      <c r="G121" s="43"/>
      <c r="H121" s="42"/>
      <c r="I121" s="41"/>
      <c r="J121" s="43"/>
      <c r="Y121" s="41"/>
      <c r="Z121" s="42"/>
      <c r="AA121" s="41"/>
      <c r="AB121" s="86">
        <v>42308</v>
      </c>
      <c r="AC121" s="87">
        <v>84</v>
      </c>
      <c r="AD121" s="56" t="s">
        <v>555</v>
      </c>
      <c r="AH121" s="123">
        <v>42365</v>
      </c>
      <c r="AI121" s="124">
        <v>23</v>
      </c>
      <c r="AJ121" s="125" t="s">
        <v>636</v>
      </c>
      <c r="AK121" s="121"/>
    </row>
    <row r="122" spans="1:37" x14ac:dyDescent="0.25">
      <c r="A122" s="43"/>
      <c r="B122" s="45"/>
      <c r="C122" s="41"/>
      <c r="D122" s="43"/>
      <c r="E122" s="41"/>
      <c r="F122" s="41"/>
      <c r="G122" s="43"/>
      <c r="H122" s="42"/>
      <c r="I122" s="41"/>
      <c r="J122" s="43"/>
      <c r="Y122" s="41"/>
      <c r="Z122" s="42"/>
      <c r="AA122" s="41"/>
      <c r="AB122" s="86">
        <v>42308</v>
      </c>
      <c r="AC122" s="87">
        <v>100</v>
      </c>
      <c r="AD122" s="56" t="s">
        <v>556</v>
      </c>
      <c r="AH122" s="123">
        <v>42366</v>
      </c>
      <c r="AI122" s="124">
        <v>150</v>
      </c>
      <c r="AJ122" s="125" t="s">
        <v>712</v>
      </c>
      <c r="AK122" s="121"/>
    </row>
    <row r="123" spans="1:37" x14ac:dyDescent="0.25">
      <c r="A123" s="43"/>
      <c r="B123" s="45"/>
      <c r="C123" s="41"/>
      <c r="D123" s="43"/>
      <c r="E123" s="41"/>
      <c r="F123" s="41"/>
      <c r="G123" s="43"/>
      <c r="H123" s="42"/>
      <c r="I123" s="41"/>
      <c r="J123" s="43"/>
      <c r="AB123" s="86">
        <v>42308</v>
      </c>
      <c r="AC123" s="87">
        <v>18</v>
      </c>
      <c r="AD123" s="56" t="s">
        <v>557</v>
      </c>
      <c r="AH123" s="123">
        <v>42366</v>
      </c>
      <c r="AI123" s="124">
        <v>150</v>
      </c>
      <c r="AJ123" s="125" t="s">
        <v>713</v>
      </c>
      <c r="AK123" s="121"/>
    </row>
    <row r="124" spans="1:37" x14ac:dyDescent="0.25">
      <c r="A124" s="43"/>
      <c r="B124" s="45"/>
      <c r="C124" s="41"/>
      <c r="D124" s="43"/>
      <c r="E124" s="41"/>
      <c r="F124" s="41"/>
      <c r="G124" s="43"/>
      <c r="H124" s="42"/>
      <c r="I124" s="41"/>
      <c r="J124" s="43"/>
      <c r="AB124" s="86">
        <v>42308</v>
      </c>
      <c r="AC124" s="87">
        <v>350</v>
      </c>
      <c r="AD124" s="56" t="s">
        <v>558</v>
      </c>
      <c r="AH124" s="123">
        <v>42366</v>
      </c>
      <c r="AI124" s="124">
        <v>78</v>
      </c>
      <c r="AJ124" s="125" t="s">
        <v>124</v>
      </c>
      <c r="AK124" s="122"/>
    </row>
    <row r="125" spans="1:37" x14ac:dyDescent="0.25">
      <c r="A125" s="43"/>
      <c r="B125" s="45"/>
      <c r="C125" s="41"/>
      <c r="D125" s="43"/>
      <c r="E125" s="41"/>
      <c r="F125" s="41"/>
      <c r="G125" s="43"/>
      <c r="H125" s="42"/>
      <c r="I125" s="41"/>
      <c r="J125" s="43"/>
      <c r="AB125" s="86">
        <v>42308</v>
      </c>
      <c r="AC125" s="87">
        <v>3200</v>
      </c>
      <c r="AD125" s="56" t="s">
        <v>559</v>
      </c>
      <c r="AH125" s="123">
        <v>42366</v>
      </c>
      <c r="AI125" s="124">
        <v>130</v>
      </c>
      <c r="AJ125" s="125" t="s">
        <v>714</v>
      </c>
      <c r="AK125" s="122"/>
    </row>
    <row r="126" spans="1:37" x14ac:dyDescent="0.25">
      <c r="A126" s="43"/>
      <c r="B126" s="45"/>
      <c r="C126" s="41"/>
      <c r="D126" s="43"/>
      <c r="E126" s="41"/>
      <c r="F126" s="41"/>
      <c r="G126" s="43"/>
      <c r="H126" s="42"/>
      <c r="I126" s="41"/>
      <c r="J126" s="43"/>
      <c r="AB126" s="86">
        <v>42308</v>
      </c>
      <c r="AC126" s="87">
        <v>80</v>
      </c>
      <c r="AD126" s="56" t="s">
        <v>491</v>
      </c>
      <c r="AH126" s="123">
        <v>42367</v>
      </c>
      <c r="AI126" s="124">
        <v>350</v>
      </c>
      <c r="AJ126" s="125" t="s">
        <v>724</v>
      </c>
      <c r="AK126" s="122"/>
    </row>
    <row r="127" spans="1:37" x14ac:dyDescent="0.25">
      <c r="A127" s="43"/>
      <c r="B127" s="45"/>
      <c r="C127" s="41"/>
      <c r="D127" s="43"/>
      <c r="E127" s="41"/>
      <c r="F127" s="41"/>
      <c r="G127" s="43"/>
      <c r="H127" s="42"/>
      <c r="I127" s="41"/>
      <c r="J127" s="43"/>
      <c r="AB127" s="56"/>
      <c r="AC127" s="87"/>
      <c r="AD127" s="56"/>
      <c r="AH127" s="123">
        <v>42368</v>
      </c>
      <c r="AI127" s="124">
        <v>130</v>
      </c>
      <c r="AJ127" s="125" t="s">
        <v>725</v>
      </c>
    </row>
    <row r="128" spans="1:37" x14ac:dyDescent="0.25">
      <c r="A128" s="43"/>
      <c r="B128" s="45"/>
      <c r="C128" s="41"/>
      <c r="D128" s="43"/>
      <c r="E128" s="41"/>
      <c r="F128" s="41"/>
      <c r="G128" s="43"/>
      <c r="H128" s="42"/>
      <c r="I128" s="41"/>
      <c r="J128" s="43"/>
      <c r="AB128" s="41"/>
      <c r="AC128" s="42"/>
      <c r="AD128" s="41"/>
      <c r="AH128" s="123">
        <v>42368</v>
      </c>
      <c r="AI128" s="124">
        <v>150</v>
      </c>
      <c r="AJ128" s="125" t="s">
        <v>726</v>
      </c>
    </row>
    <row r="129" spans="1:36" x14ac:dyDescent="0.25">
      <c r="A129" s="43"/>
      <c r="B129" s="45"/>
      <c r="C129" s="41"/>
      <c r="D129" s="43"/>
      <c r="E129" s="41"/>
      <c r="F129" s="41"/>
      <c r="G129" s="43"/>
      <c r="H129" s="42"/>
      <c r="I129" s="41"/>
      <c r="J129" s="43"/>
      <c r="AB129" s="41"/>
      <c r="AC129" s="42"/>
      <c r="AD129" s="41"/>
      <c r="AH129" s="123">
        <v>42368</v>
      </c>
      <c r="AI129" s="124">
        <v>480</v>
      </c>
      <c r="AJ129" s="125" t="s">
        <v>727</v>
      </c>
    </row>
    <row r="130" spans="1:36" x14ac:dyDescent="0.25">
      <c r="A130" s="43"/>
      <c r="B130" s="45"/>
      <c r="C130" s="41"/>
      <c r="D130" s="43"/>
      <c r="E130" s="41"/>
      <c r="F130" s="41"/>
      <c r="G130" s="43"/>
      <c r="H130" s="42"/>
      <c r="I130" s="41"/>
      <c r="J130" s="43"/>
      <c r="AH130" s="123">
        <v>42368</v>
      </c>
      <c r="AI130" s="124">
        <v>40</v>
      </c>
      <c r="AJ130" s="125" t="s">
        <v>728</v>
      </c>
    </row>
    <row r="131" spans="1:36" x14ac:dyDescent="0.25">
      <c r="A131" s="43"/>
      <c r="B131" s="45"/>
      <c r="C131" s="41"/>
      <c r="D131" s="43"/>
      <c r="E131" s="41"/>
      <c r="F131" s="41"/>
      <c r="G131" s="43"/>
      <c r="H131" s="42"/>
      <c r="I131" s="41"/>
      <c r="J131" s="43"/>
      <c r="AH131" s="123">
        <v>42368</v>
      </c>
      <c r="AI131" s="124">
        <v>56</v>
      </c>
      <c r="AJ131" s="125" t="s">
        <v>730</v>
      </c>
    </row>
    <row r="132" spans="1:36" x14ac:dyDescent="0.25">
      <c r="A132" s="43"/>
      <c r="B132" s="45"/>
      <c r="C132" s="41"/>
      <c r="D132" s="43"/>
      <c r="E132" s="41"/>
      <c r="F132" s="41"/>
      <c r="G132" s="43"/>
      <c r="H132" s="42"/>
      <c r="I132" s="41"/>
      <c r="J132" s="43"/>
      <c r="AH132" s="123">
        <v>42368</v>
      </c>
      <c r="AI132" s="124">
        <v>92.8</v>
      </c>
      <c r="AJ132" s="125" t="s">
        <v>729</v>
      </c>
    </row>
    <row r="133" spans="1:36" x14ac:dyDescent="0.25">
      <c r="A133" s="43"/>
      <c r="B133" s="45"/>
      <c r="C133" s="41"/>
      <c r="D133" s="43"/>
      <c r="E133" s="41"/>
      <c r="F133" s="41"/>
      <c r="G133" s="43"/>
      <c r="H133" s="42"/>
      <c r="I133" s="41"/>
      <c r="J133" s="43"/>
      <c r="AH133" s="123">
        <v>42369</v>
      </c>
      <c r="AI133" s="124">
        <v>450</v>
      </c>
      <c r="AJ133" s="125" t="s">
        <v>715</v>
      </c>
    </row>
    <row r="134" spans="1:36" x14ac:dyDescent="0.25">
      <c r="A134" s="43"/>
      <c r="B134" s="45"/>
      <c r="C134" s="41"/>
      <c r="D134" s="43"/>
      <c r="E134" s="41"/>
      <c r="F134" s="41"/>
      <c r="G134" s="43"/>
      <c r="H134" s="42"/>
      <c r="I134" s="41"/>
      <c r="J134" s="43"/>
      <c r="AH134" s="123">
        <v>42369</v>
      </c>
      <c r="AI134" s="124">
        <v>600</v>
      </c>
      <c r="AJ134" s="125" t="s">
        <v>716</v>
      </c>
    </row>
    <row r="135" spans="1:36" x14ac:dyDescent="0.25">
      <c r="A135" s="43"/>
      <c r="B135" s="45"/>
      <c r="C135" s="41"/>
      <c r="D135" s="43"/>
      <c r="E135" s="41"/>
      <c r="F135" s="41"/>
      <c r="G135" s="43"/>
      <c r="H135" s="42"/>
      <c r="I135" s="41"/>
      <c r="J135" s="43"/>
      <c r="AH135" s="123">
        <v>42369</v>
      </c>
      <c r="AI135" s="124">
        <v>3200</v>
      </c>
      <c r="AJ135" s="125" t="s">
        <v>717</v>
      </c>
    </row>
    <row r="136" spans="1:36" x14ac:dyDescent="0.25">
      <c r="A136" s="43"/>
      <c r="B136" s="45"/>
      <c r="C136" s="41"/>
      <c r="D136" s="43"/>
      <c r="E136" s="41"/>
      <c r="F136" s="41"/>
      <c r="G136" s="43"/>
      <c r="H136" s="42"/>
      <c r="I136" s="41"/>
      <c r="J136" s="43"/>
      <c r="AH136" s="123">
        <v>42369</v>
      </c>
      <c r="AI136" s="124">
        <v>29000</v>
      </c>
      <c r="AJ136" s="125" t="s">
        <v>718</v>
      </c>
    </row>
    <row r="137" spans="1:36" x14ac:dyDescent="0.25">
      <c r="A137" s="43"/>
      <c r="B137" s="45"/>
      <c r="C137" s="41"/>
      <c r="D137" s="43"/>
      <c r="E137" s="41"/>
      <c r="F137" s="41"/>
      <c r="G137" s="43"/>
      <c r="H137" s="42"/>
      <c r="I137" s="41"/>
      <c r="J137" s="43"/>
      <c r="AH137" s="123">
        <v>42369</v>
      </c>
      <c r="AI137" s="124">
        <v>4000</v>
      </c>
      <c r="AJ137" s="125" t="s">
        <v>719</v>
      </c>
    </row>
    <row r="138" spans="1:36" x14ac:dyDescent="0.25">
      <c r="A138" s="43"/>
      <c r="B138" s="45"/>
      <c r="C138" s="41"/>
      <c r="D138" s="43"/>
      <c r="E138" s="41"/>
      <c r="F138" s="41"/>
      <c r="G138" s="43"/>
      <c r="H138" s="42"/>
      <c r="I138" s="41"/>
      <c r="J138" s="43"/>
      <c r="AH138" s="63"/>
      <c r="AI138" s="114"/>
      <c r="AJ138" s="63"/>
    </row>
    <row r="139" spans="1:36" x14ac:dyDescent="0.25">
      <c r="A139" s="43"/>
      <c r="B139" s="45"/>
      <c r="C139" s="41"/>
      <c r="D139" s="43"/>
      <c r="E139" s="41"/>
      <c r="F139" s="41"/>
      <c r="G139" s="43"/>
      <c r="H139" s="42"/>
      <c r="I139" s="41"/>
      <c r="J139" s="43"/>
      <c r="AH139" s="41"/>
      <c r="AI139" s="42"/>
      <c r="AJ139" s="41"/>
    </row>
    <row r="140" spans="1:36" x14ac:dyDescent="0.25">
      <c r="A140" s="43"/>
      <c r="B140" s="45"/>
      <c r="C140" s="41"/>
      <c r="D140" s="43"/>
      <c r="E140" s="41"/>
      <c r="F140" s="41"/>
      <c r="G140" s="43"/>
      <c r="H140" s="42"/>
      <c r="I140" s="41"/>
      <c r="J140" s="43"/>
      <c r="AH140" s="41"/>
      <c r="AI140" s="42"/>
      <c r="AJ140" s="41"/>
    </row>
    <row r="141" spans="1:36" x14ac:dyDescent="0.25">
      <c r="A141" s="43"/>
      <c r="B141" s="45"/>
      <c r="C141" s="41"/>
      <c r="D141" s="43"/>
      <c r="E141" s="41"/>
      <c r="F141" s="41"/>
      <c r="G141" s="43"/>
      <c r="H141" s="42"/>
      <c r="I141" s="41"/>
      <c r="J141" s="43"/>
      <c r="AH141" s="41"/>
      <c r="AI141" s="42"/>
      <c r="AJ141" s="41"/>
    </row>
    <row r="142" spans="1:36" x14ac:dyDescent="0.25">
      <c r="A142" s="43"/>
      <c r="B142" s="45"/>
      <c r="C142" s="41"/>
      <c r="D142" s="43"/>
      <c r="E142" s="41"/>
      <c r="F142" s="41"/>
      <c r="G142" s="43"/>
      <c r="H142" s="42"/>
      <c r="I142" s="41"/>
      <c r="J142" s="43"/>
      <c r="AH142" s="41"/>
      <c r="AI142" s="42"/>
      <c r="AJ142" s="41"/>
    </row>
    <row r="143" spans="1:36" x14ac:dyDescent="0.25">
      <c r="A143" s="43"/>
      <c r="B143" s="45"/>
      <c r="C143" s="41"/>
      <c r="D143" s="43"/>
      <c r="E143" s="41"/>
      <c r="F143" s="41"/>
      <c r="G143" s="43"/>
      <c r="H143" s="42"/>
      <c r="I143" s="41"/>
      <c r="J143" s="43"/>
      <c r="AH143" s="41"/>
      <c r="AI143" s="42"/>
      <c r="AJ143" s="41"/>
    </row>
    <row r="144" spans="1:36" x14ac:dyDescent="0.25">
      <c r="A144" s="43"/>
      <c r="B144" s="45"/>
      <c r="C144" s="41"/>
      <c r="D144" s="43"/>
      <c r="E144" s="41"/>
      <c r="F144" s="41"/>
      <c r="G144" s="43"/>
      <c r="H144" s="42"/>
      <c r="I144" s="41"/>
      <c r="J144" s="43"/>
      <c r="AH144" s="41"/>
      <c r="AI144" s="42"/>
      <c r="AJ144" s="41"/>
    </row>
    <row r="145" spans="1:36" x14ac:dyDescent="0.25">
      <c r="A145" s="43"/>
      <c r="B145" s="45"/>
      <c r="C145" s="41"/>
      <c r="D145" s="43"/>
      <c r="E145" s="41"/>
      <c r="F145" s="41"/>
      <c r="G145" s="43"/>
      <c r="H145" s="42"/>
      <c r="I145" s="41"/>
      <c r="J145" s="43"/>
      <c r="AH145" s="41"/>
      <c r="AI145" s="42"/>
      <c r="AJ145" s="41"/>
    </row>
    <row r="146" spans="1:36" x14ac:dyDescent="0.25">
      <c r="A146" s="43"/>
      <c r="B146" s="45"/>
      <c r="C146" s="41"/>
      <c r="D146" s="43"/>
      <c r="E146" s="41"/>
      <c r="F146" s="41"/>
      <c r="G146" s="43"/>
      <c r="H146" s="42"/>
      <c r="I146" s="41"/>
      <c r="J146" s="43"/>
      <c r="AH146" s="41"/>
      <c r="AI146" s="42"/>
      <c r="AJ146" s="41"/>
    </row>
    <row r="147" spans="1:36" x14ac:dyDescent="0.25">
      <c r="A147" s="43"/>
      <c r="B147" s="45"/>
      <c r="C147" s="41"/>
      <c r="D147" s="43"/>
      <c r="E147" s="41"/>
      <c r="F147" s="41"/>
      <c r="G147" s="43"/>
      <c r="H147" s="42"/>
      <c r="I147" s="41"/>
      <c r="J147" s="43"/>
      <c r="AH147" s="41"/>
      <c r="AI147" s="42"/>
      <c r="AJ147" s="41"/>
    </row>
    <row r="148" spans="1:36" x14ac:dyDescent="0.25">
      <c r="A148" s="43"/>
      <c r="B148" s="45"/>
      <c r="C148" s="41"/>
      <c r="D148" s="43"/>
      <c r="E148" s="41"/>
      <c r="F148" s="41"/>
      <c r="G148" s="43"/>
      <c r="H148" s="42"/>
      <c r="I148" s="41"/>
      <c r="J148" s="43"/>
      <c r="AH148" s="41"/>
      <c r="AI148" s="42"/>
      <c r="AJ148" s="41"/>
    </row>
    <row r="149" spans="1:36" x14ac:dyDescent="0.25">
      <c r="A149" s="43"/>
      <c r="B149" s="45"/>
      <c r="C149" s="41"/>
      <c r="D149" s="43"/>
      <c r="E149" s="41"/>
      <c r="F149" s="41"/>
      <c r="G149" s="43"/>
      <c r="H149" s="42"/>
      <c r="I149" s="41"/>
      <c r="J149" s="43"/>
      <c r="AH149" s="41"/>
      <c r="AI149" s="42"/>
      <c r="AJ149" s="41"/>
    </row>
    <row r="150" spans="1:36" x14ac:dyDescent="0.25">
      <c r="A150" s="43"/>
      <c r="B150" s="45"/>
      <c r="C150" s="41"/>
      <c r="D150" s="43"/>
      <c r="E150" s="41"/>
      <c r="F150" s="41"/>
      <c r="G150" s="43"/>
      <c r="H150" s="42"/>
      <c r="I150" s="41"/>
      <c r="J150" s="43"/>
      <c r="AH150" s="41"/>
      <c r="AI150" s="42"/>
      <c r="AJ150" s="41"/>
    </row>
    <row r="151" spans="1:36" x14ac:dyDescent="0.25">
      <c r="A151" s="43"/>
      <c r="B151" s="45"/>
      <c r="C151" s="41"/>
      <c r="D151" s="43"/>
      <c r="E151" s="41"/>
      <c r="F151" s="41"/>
      <c r="G151" s="43"/>
      <c r="H151" s="42"/>
      <c r="I151" s="41"/>
      <c r="J151" s="43"/>
      <c r="AH151" s="41"/>
      <c r="AI151" s="42"/>
      <c r="AJ151" s="41"/>
    </row>
    <row r="152" spans="1:36" x14ac:dyDescent="0.25">
      <c r="A152" s="43"/>
      <c r="B152" s="45"/>
      <c r="C152" s="41"/>
      <c r="D152" s="43"/>
      <c r="E152" s="41"/>
      <c r="F152" s="41"/>
      <c r="G152" s="43"/>
      <c r="H152" s="42"/>
      <c r="I152" s="41"/>
      <c r="J152" s="43"/>
      <c r="AH152" s="41"/>
      <c r="AI152" s="42"/>
      <c r="AJ152" s="41"/>
    </row>
    <row r="153" spans="1:36" x14ac:dyDescent="0.25">
      <c r="A153" s="43"/>
      <c r="B153" s="45"/>
      <c r="C153" s="41"/>
      <c r="D153" s="43"/>
      <c r="E153" s="41"/>
      <c r="F153" s="41"/>
      <c r="G153" s="43"/>
      <c r="H153" s="42"/>
      <c r="I153" s="41"/>
      <c r="J153" s="43"/>
      <c r="AH153" s="41"/>
      <c r="AI153" s="42"/>
      <c r="AJ153" s="41"/>
    </row>
    <row r="154" spans="1:36" x14ac:dyDescent="0.25">
      <c r="A154" s="43"/>
      <c r="B154" s="45"/>
      <c r="C154" s="41"/>
      <c r="D154" s="43"/>
      <c r="E154" s="41"/>
      <c r="F154" s="41"/>
      <c r="G154" s="43"/>
      <c r="H154" s="42"/>
      <c r="I154" s="41"/>
      <c r="J154" s="43"/>
      <c r="AH154" s="41"/>
      <c r="AI154" s="42"/>
      <c r="AJ154" s="41"/>
    </row>
    <row r="155" spans="1:36" x14ac:dyDescent="0.25">
      <c r="A155" s="43"/>
      <c r="B155" s="45"/>
      <c r="C155" s="41"/>
      <c r="D155" s="43"/>
      <c r="E155" s="41"/>
      <c r="F155" s="41"/>
      <c r="G155" s="43"/>
      <c r="H155" s="42"/>
      <c r="I155" s="41"/>
      <c r="J155" s="43"/>
      <c r="AH155" s="41"/>
      <c r="AI155" s="42"/>
      <c r="AJ155" s="41"/>
    </row>
    <row r="156" spans="1:36" x14ac:dyDescent="0.25">
      <c r="A156" s="43"/>
      <c r="B156" s="45"/>
      <c r="C156" s="41"/>
      <c r="D156" s="43"/>
      <c r="E156" s="41"/>
      <c r="F156" s="41"/>
      <c r="G156" s="43"/>
      <c r="H156" s="42"/>
      <c r="I156" s="41"/>
      <c r="J156" s="43"/>
      <c r="AH156" s="41"/>
      <c r="AI156" s="42"/>
      <c r="AJ156" s="41"/>
    </row>
    <row r="157" spans="1:36" x14ac:dyDescent="0.25">
      <c r="A157" s="43"/>
      <c r="B157" s="45"/>
      <c r="C157" s="41"/>
      <c r="D157" s="43"/>
      <c r="E157" s="41"/>
      <c r="F157" s="41"/>
      <c r="G157" s="43"/>
      <c r="H157" s="42"/>
      <c r="I157" s="41"/>
      <c r="J157" s="43"/>
      <c r="AH157" s="41"/>
      <c r="AI157" s="42"/>
      <c r="AJ157" s="41"/>
    </row>
    <row r="158" spans="1:36" x14ac:dyDescent="0.25">
      <c r="A158" s="43"/>
      <c r="B158" s="45"/>
      <c r="C158" s="41"/>
      <c r="D158" s="43"/>
      <c r="E158" s="41"/>
      <c r="F158" s="41"/>
      <c r="G158" s="43"/>
      <c r="H158" s="42"/>
      <c r="I158" s="41"/>
      <c r="J158" s="43"/>
      <c r="AH158" s="41"/>
      <c r="AI158" s="42"/>
      <c r="AJ158" s="41"/>
    </row>
    <row r="159" spans="1:36" x14ac:dyDescent="0.25">
      <c r="A159" s="43"/>
      <c r="B159" s="45"/>
      <c r="C159" s="41"/>
      <c r="D159" s="43"/>
      <c r="E159" s="41"/>
      <c r="F159" s="41"/>
      <c r="G159" s="43"/>
      <c r="H159" s="42"/>
      <c r="I159" s="41"/>
      <c r="J159" s="43"/>
      <c r="AH159" s="41"/>
      <c r="AI159" s="42"/>
      <c r="AJ159" s="41"/>
    </row>
    <row r="160" spans="1:36" x14ac:dyDescent="0.25">
      <c r="A160" s="43"/>
      <c r="B160" s="45"/>
      <c r="C160" s="41"/>
      <c r="D160" s="43"/>
      <c r="E160" s="41"/>
      <c r="F160" s="41"/>
      <c r="G160" s="43"/>
      <c r="H160" s="42"/>
      <c r="I160" s="41"/>
      <c r="J160" s="43"/>
    </row>
    <row r="161" spans="1:10" x14ac:dyDescent="0.25">
      <c r="A161" s="43"/>
      <c r="B161" s="45"/>
      <c r="C161" s="41"/>
      <c r="D161" s="43"/>
      <c r="E161" s="41"/>
      <c r="F161" s="41"/>
      <c r="G161" s="43"/>
      <c r="H161" s="42"/>
      <c r="I161" s="41"/>
      <c r="J161" s="43"/>
    </row>
    <row r="162" spans="1:10" x14ac:dyDescent="0.25">
      <c r="A162" s="43"/>
      <c r="B162" s="45"/>
      <c r="C162" s="41"/>
      <c r="D162" s="43"/>
      <c r="E162" s="41"/>
      <c r="F162" s="41"/>
      <c r="G162" s="43"/>
      <c r="H162" s="42"/>
      <c r="I162" s="41"/>
      <c r="J162" s="43"/>
    </row>
    <row r="163" spans="1:10" x14ac:dyDescent="0.25">
      <c r="A163" s="43"/>
      <c r="B163" s="45"/>
      <c r="C163" s="41"/>
      <c r="D163" s="43"/>
      <c r="E163" s="41"/>
      <c r="F163" s="41"/>
      <c r="G163" s="43"/>
      <c r="H163" s="42"/>
      <c r="I163" s="41"/>
      <c r="J163" s="43"/>
    </row>
    <row r="164" spans="1:10" x14ac:dyDescent="0.25">
      <c r="A164" s="43"/>
      <c r="B164" s="45"/>
      <c r="C164" s="41"/>
      <c r="D164" s="43"/>
      <c r="E164" s="41"/>
      <c r="F164" s="41"/>
      <c r="G164" s="43"/>
      <c r="H164" s="42"/>
      <c r="I164" s="41"/>
      <c r="J164" s="43"/>
    </row>
    <row r="165" spans="1:10" x14ac:dyDescent="0.25">
      <c r="A165" s="43"/>
      <c r="B165" s="45"/>
      <c r="C165" s="41"/>
      <c r="D165" s="43"/>
      <c r="E165" s="41"/>
      <c r="F165" s="41"/>
      <c r="G165" s="43"/>
      <c r="H165" s="42"/>
      <c r="I165" s="41"/>
      <c r="J165" s="43"/>
    </row>
    <row r="166" spans="1:10" x14ac:dyDescent="0.25">
      <c r="A166" s="43"/>
      <c r="B166" s="45"/>
      <c r="C166" s="41"/>
      <c r="D166" s="43"/>
      <c r="E166" s="41"/>
      <c r="F166" s="41"/>
      <c r="G166" s="43"/>
      <c r="H166" s="42"/>
      <c r="I166" s="41"/>
      <c r="J166" s="43"/>
    </row>
    <row r="167" spans="1:10" x14ac:dyDescent="0.25">
      <c r="A167" s="43"/>
      <c r="B167" s="45"/>
      <c r="C167" s="41"/>
      <c r="D167" s="43"/>
      <c r="E167" s="41"/>
      <c r="F167" s="41"/>
      <c r="G167" s="43"/>
      <c r="H167" s="42"/>
      <c r="I167" s="41"/>
      <c r="J167" s="43"/>
    </row>
    <row r="168" spans="1:10" x14ac:dyDescent="0.25">
      <c r="A168" s="43"/>
      <c r="B168" s="45"/>
      <c r="C168" s="41"/>
      <c r="D168" s="43"/>
      <c r="E168" s="41"/>
      <c r="F168" s="41"/>
      <c r="G168" s="43"/>
      <c r="H168" s="42"/>
      <c r="I168" s="41"/>
      <c r="J168" s="43"/>
    </row>
    <row r="169" spans="1:10" x14ac:dyDescent="0.25">
      <c r="A169" s="43"/>
      <c r="B169" s="45"/>
      <c r="C169" s="41"/>
      <c r="D169" s="43"/>
      <c r="E169" s="41"/>
      <c r="F169" s="41"/>
      <c r="G169" s="43"/>
      <c r="H169" s="42"/>
      <c r="I169" s="41"/>
      <c r="J169" s="43"/>
    </row>
    <row r="170" spans="1:10" x14ac:dyDescent="0.25">
      <c r="A170" s="43"/>
      <c r="B170" s="45"/>
      <c r="C170" s="41"/>
      <c r="D170" s="43"/>
      <c r="E170" s="41"/>
      <c r="F170" s="41"/>
      <c r="G170" s="43"/>
      <c r="H170" s="42"/>
      <c r="I170" s="41"/>
      <c r="J170" s="43"/>
    </row>
    <row r="171" spans="1:10" x14ac:dyDescent="0.25">
      <c r="A171" s="43"/>
      <c r="B171" s="45"/>
      <c r="C171" s="41"/>
      <c r="D171" s="43"/>
      <c r="E171" s="41"/>
      <c r="F171" s="41"/>
      <c r="G171" s="43"/>
      <c r="H171" s="42"/>
      <c r="I171" s="41"/>
      <c r="J171" s="43"/>
    </row>
    <row r="172" spans="1:10" x14ac:dyDescent="0.25">
      <c r="A172" s="43"/>
      <c r="B172" s="45"/>
      <c r="C172" s="41"/>
      <c r="D172" s="43"/>
      <c r="E172" s="41"/>
      <c r="F172" s="41"/>
      <c r="G172" s="43"/>
      <c r="H172" s="42"/>
      <c r="I172" s="41"/>
      <c r="J172" s="43"/>
    </row>
    <row r="173" spans="1:10" x14ac:dyDescent="0.25">
      <c r="A173" s="43"/>
      <c r="B173" s="45"/>
      <c r="C173" s="41"/>
      <c r="D173" s="43"/>
      <c r="E173" s="41"/>
      <c r="F173" s="41"/>
      <c r="G173" s="43"/>
      <c r="H173" s="42"/>
      <c r="I173" s="41"/>
      <c r="J173" s="43"/>
    </row>
    <row r="174" spans="1:10" x14ac:dyDescent="0.25">
      <c r="A174" s="43"/>
      <c r="B174" s="45"/>
      <c r="C174" s="41"/>
      <c r="D174" s="43"/>
      <c r="E174" s="41"/>
      <c r="F174" s="41"/>
      <c r="G174" s="43"/>
      <c r="H174" s="42"/>
      <c r="I174" s="41"/>
      <c r="J174" s="43"/>
    </row>
    <row r="175" spans="1:10" x14ac:dyDescent="0.25">
      <c r="A175" s="43"/>
      <c r="B175" s="45"/>
      <c r="C175" s="41"/>
      <c r="D175" s="43"/>
      <c r="E175" s="41"/>
      <c r="F175" s="41"/>
      <c r="G175" s="43"/>
      <c r="H175" s="42"/>
      <c r="I175" s="41"/>
      <c r="J175" s="43"/>
    </row>
    <row r="176" spans="1:10" x14ac:dyDescent="0.25">
      <c r="A176" s="43"/>
      <c r="B176" s="45"/>
      <c r="C176" s="41"/>
      <c r="D176" s="43"/>
      <c r="E176" s="41"/>
      <c r="F176" s="41"/>
      <c r="G176" s="43"/>
      <c r="H176" s="42"/>
      <c r="I176" s="41"/>
      <c r="J176" s="43"/>
    </row>
    <row r="177" spans="1:10" x14ac:dyDescent="0.25">
      <c r="A177" s="43"/>
      <c r="B177" s="45"/>
      <c r="C177" s="41"/>
      <c r="D177" s="43"/>
      <c r="E177" s="41"/>
      <c r="F177" s="41"/>
      <c r="G177" s="43"/>
      <c r="H177" s="42"/>
      <c r="I177" s="41"/>
      <c r="J177" s="43"/>
    </row>
    <row r="178" spans="1:10" x14ac:dyDescent="0.25">
      <c r="A178" s="43"/>
      <c r="B178" s="45"/>
      <c r="C178" s="41"/>
      <c r="D178" s="43"/>
      <c r="E178" s="41"/>
      <c r="F178" s="41"/>
      <c r="G178" s="43"/>
      <c r="H178" s="42"/>
      <c r="I178" s="41"/>
      <c r="J178" s="43"/>
    </row>
    <row r="179" spans="1:10" x14ac:dyDescent="0.25">
      <c r="A179" s="43"/>
      <c r="B179" s="45"/>
      <c r="C179" s="41"/>
      <c r="D179" s="43"/>
      <c r="E179" s="41"/>
      <c r="F179" s="41"/>
      <c r="G179" s="43"/>
      <c r="H179" s="42"/>
      <c r="I179" s="41"/>
      <c r="J179" s="43"/>
    </row>
    <row r="180" spans="1:10" x14ac:dyDescent="0.25">
      <c r="A180" s="43"/>
      <c r="B180" s="45"/>
      <c r="C180" s="41"/>
      <c r="D180" s="43"/>
      <c r="E180" s="41"/>
      <c r="F180" s="41"/>
      <c r="G180" s="43"/>
      <c r="H180" s="42"/>
      <c r="I180" s="41"/>
      <c r="J180" s="43"/>
    </row>
    <row r="181" spans="1:10" x14ac:dyDescent="0.25">
      <c r="A181" s="43"/>
      <c r="B181" s="45"/>
      <c r="C181" s="41"/>
      <c r="D181" s="43"/>
      <c r="E181" s="41"/>
      <c r="F181" s="41"/>
      <c r="G181" s="43"/>
      <c r="H181" s="42"/>
      <c r="I181" s="41"/>
      <c r="J181" s="43"/>
    </row>
    <row r="182" spans="1:10" x14ac:dyDescent="0.25">
      <c r="A182" s="43"/>
      <c r="B182" s="45"/>
      <c r="C182" s="41"/>
      <c r="D182" s="43"/>
      <c r="E182" s="41"/>
      <c r="F182" s="41"/>
      <c r="G182" s="43"/>
      <c r="H182" s="42"/>
      <c r="I182" s="41"/>
      <c r="J182" s="43"/>
    </row>
    <row r="183" spans="1:10" x14ac:dyDescent="0.25">
      <c r="A183" s="43"/>
      <c r="B183" s="45"/>
      <c r="C183" s="41"/>
      <c r="G183" s="43"/>
      <c r="H183" s="42"/>
      <c r="I183" s="41"/>
      <c r="J183" s="43"/>
    </row>
    <row r="184" spans="1:10" x14ac:dyDescent="0.25">
      <c r="A184" s="43"/>
      <c r="B184" s="45"/>
      <c r="C184" s="41"/>
      <c r="G184" s="43"/>
      <c r="H184" s="42"/>
      <c r="I184" s="41"/>
      <c r="J184" s="43"/>
    </row>
    <row r="185" spans="1:10" x14ac:dyDescent="0.25">
      <c r="A185" s="43"/>
      <c r="B185" s="45"/>
      <c r="C185" s="41"/>
      <c r="G185" s="43"/>
      <c r="H185" s="42"/>
      <c r="I185" s="41"/>
      <c r="J185" s="43"/>
    </row>
    <row r="186" spans="1:10" x14ac:dyDescent="0.25">
      <c r="A186" s="43"/>
      <c r="B186" s="45"/>
      <c r="C186" s="41"/>
      <c r="G186" s="43"/>
      <c r="H186" s="42"/>
      <c r="I186" s="41"/>
    </row>
    <row r="187" spans="1:10" x14ac:dyDescent="0.25">
      <c r="A187" s="43"/>
      <c r="B187" s="45"/>
      <c r="C187" s="41"/>
      <c r="G187" s="43"/>
      <c r="H187" s="42"/>
      <c r="I187" s="41"/>
    </row>
    <row r="188" spans="1:10" x14ac:dyDescent="0.25">
      <c r="A188" s="43"/>
      <c r="B188" s="45"/>
      <c r="C188" s="41"/>
      <c r="G188" s="43"/>
      <c r="H188" s="42"/>
      <c r="I188" s="41"/>
    </row>
    <row r="189" spans="1:10" x14ac:dyDescent="0.25">
      <c r="B189" s="11"/>
      <c r="G189" s="43"/>
      <c r="H189" s="42"/>
      <c r="I189" s="41"/>
    </row>
    <row r="190" spans="1:10" x14ac:dyDescent="0.25">
      <c r="B190" s="11"/>
      <c r="G190" s="43"/>
      <c r="H190" s="42"/>
      <c r="I190" s="41"/>
    </row>
    <row r="191" spans="1:10" x14ac:dyDescent="0.25">
      <c r="B191" s="11"/>
      <c r="G191" s="43"/>
      <c r="H191" s="42"/>
      <c r="I191" s="41"/>
    </row>
    <row r="192" spans="1:10" x14ac:dyDescent="0.25">
      <c r="B192" s="11"/>
      <c r="G192" s="43"/>
      <c r="H192" s="42"/>
      <c r="I192" s="41"/>
    </row>
    <row r="193" spans="2:9" x14ac:dyDescent="0.25">
      <c r="B193" s="11"/>
      <c r="G193" s="43"/>
      <c r="H193" s="41"/>
      <c r="I193" s="41"/>
    </row>
    <row r="194" spans="2:9" x14ac:dyDescent="0.25">
      <c r="B194" s="11"/>
    </row>
    <row r="195" spans="2:9" x14ac:dyDescent="0.25">
      <c r="B195" s="11"/>
    </row>
    <row r="196" spans="2:9" x14ac:dyDescent="0.25">
      <c r="B196" s="11"/>
    </row>
    <row r="197" spans="2:9" x14ac:dyDescent="0.25">
      <c r="B197" s="11"/>
    </row>
    <row r="198" spans="2:9" x14ac:dyDescent="0.25">
      <c r="B198" s="11"/>
    </row>
    <row r="199" spans="2:9" x14ac:dyDescent="0.25">
      <c r="B199" s="11"/>
    </row>
    <row r="200" spans="2:9" x14ac:dyDescent="0.25">
      <c r="B200" s="11"/>
    </row>
    <row r="201" spans="2:9" x14ac:dyDescent="0.25">
      <c r="B201" s="11"/>
    </row>
    <row r="202" spans="2:9" x14ac:dyDescent="0.25">
      <c r="B202" s="11"/>
    </row>
    <row r="203" spans="2:9" x14ac:dyDescent="0.25">
      <c r="B203" s="11"/>
    </row>
    <row r="204" spans="2:9" x14ac:dyDescent="0.25">
      <c r="B204" s="11"/>
    </row>
    <row r="205" spans="2:9" x14ac:dyDescent="0.25">
      <c r="B205" s="11"/>
    </row>
    <row r="206" spans="2:9" x14ac:dyDescent="0.25">
      <c r="B206" s="11"/>
    </row>
    <row r="207" spans="2:9" x14ac:dyDescent="0.25">
      <c r="B207" s="11"/>
    </row>
    <row r="208" spans="2:9" x14ac:dyDescent="0.25">
      <c r="B208" s="11"/>
    </row>
    <row r="209" spans="2:2" x14ac:dyDescent="0.25">
      <c r="B209" s="11"/>
    </row>
    <row r="210" spans="2:2" x14ac:dyDescent="0.25">
      <c r="B210" s="11"/>
    </row>
    <row r="211" spans="2:2" x14ac:dyDescent="0.25">
      <c r="B211" s="11"/>
    </row>
    <row r="212" spans="2:2" x14ac:dyDescent="0.25">
      <c r="B212" s="11"/>
    </row>
    <row r="213" spans="2:2" x14ac:dyDescent="0.25">
      <c r="B213" s="11"/>
    </row>
    <row r="214" spans="2:2" x14ac:dyDescent="0.25">
      <c r="B214" s="11"/>
    </row>
    <row r="215" spans="2:2" x14ac:dyDescent="0.25">
      <c r="B215" s="11"/>
    </row>
    <row r="216" spans="2:2" x14ac:dyDescent="0.25">
      <c r="B216" s="11"/>
    </row>
    <row r="217" spans="2:2" x14ac:dyDescent="0.25">
      <c r="B217" s="11"/>
    </row>
    <row r="218" spans="2:2" x14ac:dyDescent="0.25">
      <c r="B218" s="11"/>
    </row>
    <row r="219" spans="2:2" x14ac:dyDescent="0.25">
      <c r="B219" s="11"/>
    </row>
    <row r="220" spans="2:2" x14ac:dyDescent="0.25">
      <c r="B220" s="11"/>
    </row>
    <row r="221" spans="2:2" x14ac:dyDescent="0.25">
      <c r="B221" s="11"/>
    </row>
    <row r="222" spans="2:2" x14ac:dyDescent="0.25">
      <c r="B222" s="11"/>
    </row>
    <row r="223" spans="2:2" x14ac:dyDescent="0.25">
      <c r="B223" s="11"/>
    </row>
    <row r="224" spans="2:2" x14ac:dyDescent="0.25">
      <c r="B224" s="11"/>
    </row>
    <row r="225" spans="2:2" x14ac:dyDescent="0.25">
      <c r="B225" s="11"/>
    </row>
    <row r="226" spans="2:2" x14ac:dyDescent="0.25">
      <c r="B226" s="11"/>
    </row>
    <row r="227" spans="2:2" x14ac:dyDescent="0.25">
      <c r="B227" s="11"/>
    </row>
    <row r="228" spans="2:2" x14ac:dyDescent="0.25">
      <c r="B228" s="11"/>
    </row>
    <row r="229" spans="2:2" x14ac:dyDescent="0.25">
      <c r="B229" s="11"/>
    </row>
    <row r="230" spans="2:2" x14ac:dyDescent="0.25">
      <c r="B230" s="11"/>
    </row>
    <row r="231" spans="2:2" x14ac:dyDescent="0.25">
      <c r="B231" s="11"/>
    </row>
    <row r="232" spans="2:2" x14ac:dyDescent="0.25">
      <c r="B232" s="11"/>
    </row>
    <row r="233" spans="2:2" x14ac:dyDescent="0.25">
      <c r="B233" s="11"/>
    </row>
    <row r="234" spans="2:2" x14ac:dyDescent="0.25">
      <c r="B234" s="11"/>
    </row>
    <row r="235" spans="2:2" x14ac:dyDescent="0.25">
      <c r="B235" s="11"/>
    </row>
    <row r="236" spans="2:2" x14ac:dyDescent="0.25">
      <c r="B236" s="11"/>
    </row>
    <row r="237" spans="2:2" x14ac:dyDescent="0.25">
      <c r="B237" s="11"/>
    </row>
    <row r="238" spans="2:2" x14ac:dyDescent="0.25">
      <c r="B238" s="11"/>
    </row>
    <row r="239" spans="2:2" x14ac:dyDescent="0.25">
      <c r="B239" s="11"/>
    </row>
    <row r="240" spans="2:2" x14ac:dyDescent="0.25">
      <c r="B240" s="11"/>
    </row>
    <row r="241" spans="2:2" x14ac:dyDescent="0.25">
      <c r="B241" s="11"/>
    </row>
    <row r="242" spans="2:2" x14ac:dyDescent="0.25">
      <c r="B242" s="11"/>
    </row>
    <row r="243" spans="2:2" x14ac:dyDescent="0.25">
      <c r="B243" s="11"/>
    </row>
    <row r="244" spans="2:2" x14ac:dyDescent="0.25">
      <c r="B244" s="11"/>
    </row>
    <row r="245" spans="2:2" x14ac:dyDescent="0.25">
      <c r="B245" s="11"/>
    </row>
    <row r="246" spans="2:2" x14ac:dyDescent="0.25">
      <c r="B246" s="11"/>
    </row>
    <row r="247" spans="2:2" x14ac:dyDescent="0.25">
      <c r="B247" s="11"/>
    </row>
    <row r="248" spans="2:2" x14ac:dyDescent="0.25">
      <c r="B248" s="11"/>
    </row>
    <row r="249" spans="2:2" x14ac:dyDescent="0.25">
      <c r="B249" s="11"/>
    </row>
    <row r="250" spans="2:2" x14ac:dyDescent="0.25">
      <c r="B250" s="11"/>
    </row>
    <row r="251" spans="2:2" x14ac:dyDescent="0.25">
      <c r="B251" s="11"/>
    </row>
    <row r="252" spans="2:2" x14ac:dyDescent="0.25">
      <c r="B252" s="11"/>
    </row>
    <row r="253" spans="2:2" x14ac:dyDescent="0.25">
      <c r="B253" s="11"/>
    </row>
    <row r="254" spans="2:2" x14ac:dyDescent="0.25">
      <c r="B254" s="11"/>
    </row>
    <row r="255" spans="2:2" x14ac:dyDescent="0.25">
      <c r="B255" s="11"/>
    </row>
    <row r="256" spans="2:2" x14ac:dyDescent="0.25">
      <c r="B256" s="11"/>
    </row>
    <row r="257" spans="2:2" x14ac:dyDescent="0.25">
      <c r="B257" s="11"/>
    </row>
    <row r="258" spans="2:2" x14ac:dyDescent="0.25">
      <c r="B258" s="11"/>
    </row>
    <row r="259" spans="2:2" x14ac:dyDescent="0.25">
      <c r="B259" s="11"/>
    </row>
    <row r="260" spans="2:2" x14ac:dyDescent="0.25">
      <c r="B260" s="11"/>
    </row>
    <row r="261" spans="2:2" x14ac:dyDescent="0.25">
      <c r="B261" s="11"/>
    </row>
    <row r="262" spans="2:2" x14ac:dyDescent="0.25">
      <c r="B262" s="11"/>
    </row>
    <row r="263" spans="2:2" x14ac:dyDescent="0.25">
      <c r="B263" s="11"/>
    </row>
    <row r="264" spans="2:2" x14ac:dyDescent="0.25">
      <c r="B264" s="11"/>
    </row>
    <row r="265" spans="2:2" x14ac:dyDescent="0.25">
      <c r="B265" s="11"/>
    </row>
    <row r="266" spans="2:2" x14ac:dyDescent="0.25">
      <c r="B266" s="11"/>
    </row>
    <row r="267" spans="2:2" x14ac:dyDescent="0.25">
      <c r="B267" s="11"/>
    </row>
    <row r="268" spans="2:2" x14ac:dyDescent="0.25">
      <c r="B268" s="11"/>
    </row>
    <row r="269" spans="2:2" x14ac:dyDescent="0.25">
      <c r="B269" s="11"/>
    </row>
    <row r="270" spans="2:2" x14ac:dyDescent="0.25">
      <c r="B270" s="11"/>
    </row>
    <row r="271" spans="2:2" x14ac:dyDescent="0.25">
      <c r="B271" s="11"/>
    </row>
    <row r="272" spans="2:2" x14ac:dyDescent="0.25">
      <c r="B272" s="11"/>
    </row>
    <row r="273" spans="2:2" x14ac:dyDescent="0.25">
      <c r="B273" s="11"/>
    </row>
    <row r="274" spans="2:2" x14ac:dyDescent="0.25">
      <c r="B274" s="11"/>
    </row>
    <row r="275" spans="2:2" x14ac:dyDescent="0.25">
      <c r="B275" s="11"/>
    </row>
    <row r="276" spans="2:2" x14ac:dyDescent="0.25">
      <c r="B276" s="11"/>
    </row>
    <row r="277" spans="2:2" x14ac:dyDescent="0.25">
      <c r="B277" s="11"/>
    </row>
    <row r="278" spans="2:2" x14ac:dyDescent="0.25">
      <c r="B278" s="11"/>
    </row>
    <row r="279" spans="2:2" x14ac:dyDescent="0.25">
      <c r="B279" s="11"/>
    </row>
    <row r="280" spans="2:2" x14ac:dyDescent="0.25">
      <c r="B280" s="11"/>
    </row>
    <row r="281" spans="2:2" x14ac:dyDescent="0.25">
      <c r="B281" s="11"/>
    </row>
    <row r="282" spans="2:2" x14ac:dyDescent="0.25">
      <c r="B282" s="11"/>
    </row>
    <row r="283" spans="2:2" x14ac:dyDescent="0.25">
      <c r="B283" s="11"/>
    </row>
    <row r="284" spans="2:2" x14ac:dyDescent="0.25">
      <c r="B284" s="11"/>
    </row>
    <row r="285" spans="2:2" x14ac:dyDescent="0.25">
      <c r="B285" s="11"/>
    </row>
    <row r="286" spans="2:2" x14ac:dyDescent="0.25">
      <c r="B286" s="11"/>
    </row>
  </sheetData>
  <mergeCells count="14">
    <mergeCell ref="V2:X2"/>
    <mergeCell ref="Y2:AA2"/>
    <mergeCell ref="AB2:AD2"/>
    <mergeCell ref="AE2:AG2"/>
    <mergeCell ref="AH2:AJ2"/>
    <mergeCell ref="S2:U2"/>
    <mergeCell ref="P2:R2"/>
    <mergeCell ref="A1:K1"/>
    <mergeCell ref="L1:M1"/>
    <mergeCell ref="M2:O2"/>
    <mergeCell ref="J2:L2"/>
    <mergeCell ref="G2:I2"/>
    <mergeCell ref="D2:F2"/>
    <mergeCell ref="A2:C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CIBRAS DE CONTROL 2015</vt:lpstr>
      <vt:lpstr>'CIBRAS DE CONTROL 2015'!Área_de_impresión</vt:lpstr>
      <vt:lpstr>'CIBRAS DE CONTROL 2015'!Títulos_a_imprimir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Bsala</cp:lastModifiedBy>
  <cp:lastPrinted>2015-12-23T22:34:37Z</cp:lastPrinted>
  <dcterms:created xsi:type="dcterms:W3CDTF">2013-12-30T22:30:56Z</dcterms:created>
  <dcterms:modified xsi:type="dcterms:W3CDTF">2016-01-05T22:35:36Z</dcterms:modified>
</cp:coreProperties>
</file>